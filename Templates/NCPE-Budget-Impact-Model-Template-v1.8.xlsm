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4"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1607367\Desktop\"/>
    </mc:Choice>
  </mc:AlternateContent>
  <xr:revisionPtr revIDLastSave="0" documentId="8_{488C3351-84F3-4F90-9372-A44A4DC10E6B}" xr6:coauthVersionLast="36" xr6:coauthVersionMax="36" xr10:uidLastSave="{00000000-0000-0000-0000-000000000000}"/>
  <bookViews>
    <workbookView xWindow="0" yWindow="0" windowWidth="28800" windowHeight="11730" tabRatio="912" xr2:uid="{00000000-000D-0000-FFFF-FFFF00000000}"/>
  </bookViews>
  <sheets>
    <sheet name="Title page" sheetId="2" r:id="rId1"/>
    <sheet name="Version Control" sheetId="16" r:id="rId2"/>
    <sheet name="Instructions" sheetId="3" r:id="rId3"/>
    <sheet name="Irish Population Estimates" sheetId="1" r:id="rId4"/>
    <sheet name="Patient Population" sheetId="4" r:id="rId5"/>
    <sheet name="Drug Acquisition Costs" sheetId="12" r:id="rId6"/>
    <sheet name="Drug Acquisition Costs (PAS)" sheetId="13" r:id="rId7"/>
    <sheet name="Additional Costs" sheetId="6" r:id="rId8"/>
    <sheet name="Results" sheetId="7" r:id="rId9"/>
    <sheet name="Results (PAS)" sheetId="14" r:id="rId10"/>
    <sheet name="References" sheetId="8" r:id="rId11"/>
    <sheet name="Analysis of Uncertainty" sheetId="10" r:id="rId12"/>
  </sheets>
  <definedNames>
    <definedName name="CHO" localSheetId="5">References!$F$36</definedName>
    <definedName name="CHO">References!$F$36</definedName>
    <definedName name="CHT" localSheetId="5">References!$F$35</definedName>
    <definedName name="CHT">References!$F$35</definedName>
    <definedName name="CNF" localSheetId="5">References!$F$33</definedName>
    <definedName name="CNF">References!$F$33</definedName>
    <definedName name="CYF" localSheetId="5">References!$F$34</definedName>
    <definedName name="CYF">References!$F$34</definedName>
    <definedName name="DaysInYear">References!$F$43</definedName>
    <definedName name="DF" localSheetId="5">References!$F$40</definedName>
    <definedName name="DF">References!$F$40</definedName>
    <definedName name="Gross_Drug_BI" localSheetId="5">Results!$N$36</definedName>
    <definedName name="Gross_Drug_BI">Results!$N$36</definedName>
    <definedName name="InterventionINN">'Title page'!$D$30</definedName>
    <definedName name="Mort_1">'Patient Population'!$E$31</definedName>
    <definedName name="Mort_2">'Patient Population'!$F$31</definedName>
    <definedName name="Mort_3">'Patient Population'!$G$31</definedName>
    <definedName name="Mort_4">'Patient Population'!$H$31</definedName>
    <definedName name="Mort_5">'Patient Population'!$I$31</definedName>
    <definedName name="MR" localSheetId="5">References!$F$37</definedName>
    <definedName name="MR">References!$F$37</definedName>
    <definedName name="MRB" localSheetId="5">References!$F$38</definedName>
    <definedName name="MRB">References!$F$38</definedName>
    <definedName name="NameComparator1">'Title page'!$D$42</definedName>
    <definedName name="NameComparator10">'Title page'!$D$51</definedName>
    <definedName name="NameComparator11">'Title page'!$D$52</definedName>
    <definedName name="NameComparator12">'Title page'!$D$53</definedName>
    <definedName name="NameComparator2">'Title page'!$D$43</definedName>
    <definedName name="NameComparator3">'Title page'!$D$44</definedName>
    <definedName name="NameComparator4">'Title page'!$D$45</definedName>
    <definedName name="NameComparator5">'Title page'!$D$46</definedName>
    <definedName name="NameComparator6">'Title page'!$D$47</definedName>
    <definedName name="NameComparator7">'Title page'!$D$48</definedName>
    <definedName name="NameComparator8">'Title page'!$D$49</definedName>
    <definedName name="NameComparator9">'Title page'!$D$50</definedName>
    <definedName name="Net_BI">Results!$N$152</definedName>
    <definedName name="Net_Drug_BI">Results!$N$145</definedName>
    <definedName name="NumberofComparators">'Title page'!$K$39</definedName>
    <definedName name="PC" localSheetId="5">References!$F$41</definedName>
    <definedName name="PC">References!$F$41</definedName>
    <definedName name="StartComp10DAC">'Drug Acquisition Costs'!$B$895</definedName>
    <definedName name="StartComp10DACPAS">'Drug Acquisition Costs (PAS)'!$B$895</definedName>
    <definedName name="StartComp11DAC">'Drug Acquisition Costs'!$B$980</definedName>
    <definedName name="StartComp11DACPAS">'Drug Acquisition Costs (PAS)'!$B$980</definedName>
    <definedName name="StartComp12DAC">'Drug Acquisition Costs'!$B$1065</definedName>
    <definedName name="StartComp12DACPAS">'Drug Acquisition Costs (PAS)'!$B$1065</definedName>
    <definedName name="StartComp1DAC">'Drug Acquisition Costs'!$B$128</definedName>
    <definedName name="StartComp1DACPAS">'Drug Acquisition Costs (PAS)'!$B$128</definedName>
    <definedName name="StartComp2DAC">'Drug Acquisition Costs'!$B$213</definedName>
    <definedName name="StartComp2DACPAS">'Drug Acquisition Costs (PAS)'!$B$213</definedName>
    <definedName name="StartComp3DAC">'Drug Acquisition Costs'!$B$299</definedName>
    <definedName name="StartComp3DACPAS">'Drug Acquisition Costs (PAS)'!$B$299</definedName>
    <definedName name="StartComp4DAC">'Drug Acquisition Costs'!$B$384</definedName>
    <definedName name="StartComp4DACPAS">'Drug Acquisition Costs (PAS)'!$B$384</definedName>
    <definedName name="StartComp5DAC">'Drug Acquisition Costs'!$B$470</definedName>
    <definedName name="StartComp5DACPAS">'Drug Acquisition Costs (PAS)'!$B$470</definedName>
    <definedName name="StartComp6DAC">'Drug Acquisition Costs'!$B$555</definedName>
    <definedName name="StartComp6DACPAS">'Drug Acquisition Costs (PAS)'!$B$555</definedName>
    <definedName name="StartComp7DAC">'Drug Acquisition Costs'!$B$640</definedName>
    <definedName name="StartComp7DACPAS">'Drug Acquisition Costs (PAS)'!$B$640</definedName>
    <definedName name="StartComp8DAC">'Drug Acquisition Costs'!$B$725</definedName>
    <definedName name="StartComp8DACPAS">'Drug Acquisition Costs (PAS)'!$B$725</definedName>
    <definedName name="StartComp9DAC">'Drug Acquisition Costs'!$B$810</definedName>
    <definedName name="StartComp9DACPAS">'Drug Acquisition Costs (PAS)'!$B$810</definedName>
    <definedName name="StartIntDAC">'Drug Acquisition Costs'!$B$43</definedName>
    <definedName name="StartIntDACPAS">'Drug Acquisition Costs (PAS)'!$B$43</definedName>
    <definedName name="tblSA_OWSA">'Analysis of Uncertainty'!$B$27:$Y$36</definedName>
    <definedName name="TrDur" localSheetId="5">'Drug Acquisition Costs'!#REF!</definedName>
    <definedName name="TrDur">#REF!</definedName>
    <definedName name="VT" localSheetId="5">References!$F$39</definedName>
    <definedName name="VT">References!$F$39</definedName>
  </definedNames>
  <calcPr calcId="191029"/>
</workbook>
</file>

<file path=xl/calcChain.xml><?xml version="1.0" encoding="utf-8"?>
<calcChain xmlns="http://schemas.openxmlformats.org/spreadsheetml/2006/main">
  <c r="H85" i="12" l="1"/>
  <c r="I102" i="13" l="1"/>
  <c r="G102" i="13"/>
  <c r="H92" i="13"/>
  <c r="H93" i="13"/>
  <c r="G93" i="13"/>
  <c r="G94" i="13"/>
  <c r="G92" i="13"/>
  <c r="G64" i="13"/>
  <c r="H64" i="13"/>
  <c r="I64" i="13"/>
  <c r="F64" i="13"/>
  <c r="F62" i="13"/>
  <c r="G51" i="13" l="1"/>
  <c r="H51" i="13"/>
  <c r="I51" i="13"/>
  <c r="F51" i="13"/>
  <c r="G49" i="13"/>
  <c r="H49" i="13"/>
  <c r="I49" i="13"/>
  <c r="F49" i="13"/>
  <c r="F29" i="13" l="1"/>
  <c r="G29" i="13"/>
  <c r="H29" i="13"/>
  <c r="I29" i="13"/>
  <c r="F30" i="13"/>
  <c r="G30" i="13"/>
  <c r="H30" i="13"/>
  <c r="I30" i="13"/>
  <c r="F31" i="13"/>
  <c r="G31" i="13"/>
  <c r="H31" i="13"/>
  <c r="I31" i="13"/>
  <c r="F32" i="13"/>
  <c r="G32" i="13"/>
  <c r="H32" i="13"/>
  <c r="I32" i="13"/>
  <c r="F33" i="13"/>
  <c r="G33" i="13"/>
  <c r="H33" i="13"/>
  <c r="I33" i="13"/>
  <c r="F34" i="13"/>
  <c r="G34" i="13"/>
  <c r="H34" i="13"/>
  <c r="I34" i="13"/>
  <c r="F35" i="13"/>
  <c r="G35" i="13"/>
  <c r="H35" i="13"/>
  <c r="I35" i="13"/>
  <c r="F36" i="13"/>
  <c r="G36" i="13"/>
  <c r="H36" i="13"/>
  <c r="I36" i="13"/>
  <c r="F37" i="13"/>
  <c r="G37" i="13"/>
  <c r="H37" i="13"/>
  <c r="I37" i="13"/>
  <c r="F38" i="13"/>
  <c r="G38" i="13"/>
  <c r="H38" i="13"/>
  <c r="I38" i="13"/>
  <c r="F39" i="13"/>
  <c r="G39" i="13"/>
  <c r="H39" i="13"/>
  <c r="I39" i="13"/>
  <c r="F40" i="13"/>
  <c r="G40" i="13"/>
  <c r="H40" i="13"/>
  <c r="I40" i="13"/>
  <c r="E30" i="13"/>
  <c r="E31" i="13"/>
  <c r="E32" i="13"/>
  <c r="E33" i="13"/>
  <c r="E34" i="13"/>
  <c r="E35" i="13"/>
  <c r="E36" i="13"/>
  <c r="E37" i="13"/>
  <c r="E38" i="13"/>
  <c r="E39" i="13"/>
  <c r="E40" i="13"/>
  <c r="E29" i="13"/>
  <c r="E30" i="4" l="1"/>
  <c r="F30" i="4"/>
  <c r="G30" i="4"/>
  <c r="H30" i="4"/>
  <c r="I30" i="4"/>
  <c r="E76" i="13" l="1"/>
  <c r="F82" i="4" l="1"/>
  <c r="G82" i="4"/>
  <c r="H82" i="4"/>
  <c r="I82" i="4"/>
  <c r="E82" i="4"/>
  <c r="F62" i="4"/>
  <c r="G62" i="4"/>
  <c r="H62" i="4"/>
  <c r="I62" i="4"/>
  <c r="E62" i="4"/>
  <c r="L140" i="14" l="1"/>
  <c r="K140" i="14"/>
  <c r="J140" i="14"/>
  <c r="I140" i="14"/>
  <c r="H140" i="14"/>
  <c r="L136" i="14"/>
  <c r="K136" i="14"/>
  <c r="J136" i="14"/>
  <c r="I136" i="14"/>
  <c r="H136" i="14"/>
  <c r="L132" i="14"/>
  <c r="K132" i="14"/>
  <c r="J132" i="14"/>
  <c r="I132" i="14"/>
  <c r="H132" i="14"/>
  <c r="L128" i="14"/>
  <c r="K128" i="14"/>
  <c r="J128" i="14"/>
  <c r="I128" i="14"/>
  <c r="H128" i="14"/>
  <c r="L124" i="14"/>
  <c r="K124" i="14"/>
  <c r="J124" i="14"/>
  <c r="I124" i="14"/>
  <c r="H124" i="14"/>
  <c r="L120" i="14"/>
  <c r="K120" i="14"/>
  <c r="J120" i="14"/>
  <c r="I120" i="14"/>
  <c r="H120" i="14"/>
  <c r="L116" i="14"/>
  <c r="K116" i="14"/>
  <c r="J116" i="14"/>
  <c r="I116" i="14"/>
  <c r="H116" i="14"/>
  <c r="L112" i="14"/>
  <c r="K112" i="14"/>
  <c r="J112" i="14"/>
  <c r="I112" i="14"/>
  <c r="H112" i="14"/>
  <c r="L108" i="14"/>
  <c r="K108" i="14"/>
  <c r="J108" i="14"/>
  <c r="I108" i="14"/>
  <c r="H108" i="14"/>
  <c r="L104" i="14"/>
  <c r="K104" i="14"/>
  <c r="J104" i="14"/>
  <c r="I104" i="14"/>
  <c r="H104" i="14"/>
  <c r="L100" i="14"/>
  <c r="K100" i="14"/>
  <c r="J100" i="14"/>
  <c r="I100" i="14"/>
  <c r="H100" i="14"/>
  <c r="L96" i="14"/>
  <c r="K96" i="14"/>
  <c r="J96" i="14"/>
  <c r="I96" i="14"/>
  <c r="H96" i="14"/>
  <c r="L87" i="14"/>
  <c r="K87" i="14"/>
  <c r="J87" i="14"/>
  <c r="I87" i="14"/>
  <c r="H87" i="14"/>
  <c r="L83" i="14"/>
  <c r="K83" i="14"/>
  <c r="J83" i="14"/>
  <c r="I83" i="14"/>
  <c r="H83" i="14"/>
  <c r="L79" i="14"/>
  <c r="K79" i="14"/>
  <c r="J79" i="14"/>
  <c r="I79" i="14"/>
  <c r="H79" i="14"/>
  <c r="L75" i="14"/>
  <c r="K75" i="14"/>
  <c r="J75" i="14"/>
  <c r="I75" i="14"/>
  <c r="H75" i="14"/>
  <c r="L71" i="14"/>
  <c r="K71" i="14"/>
  <c r="J71" i="14"/>
  <c r="I71" i="14"/>
  <c r="H71" i="14"/>
  <c r="L67" i="14"/>
  <c r="K67" i="14"/>
  <c r="J67" i="14"/>
  <c r="I67" i="14"/>
  <c r="H67" i="14"/>
  <c r="L63" i="14"/>
  <c r="K63" i="14"/>
  <c r="J63" i="14"/>
  <c r="I63" i="14"/>
  <c r="H63" i="14"/>
  <c r="L59" i="14"/>
  <c r="K59" i="14"/>
  <c r="J59" i="14"/>
  <c r="I59" i="14"/>
  <c r="H59" i="14"/>
  <c r="L55" i="14"/>
  <c r="K55" i="14"/>
  <c r="J55" i="14"/>
  <c r="I55" i="14"/>
  <c r="H55" i="14"/>
  <c r="L51" i="14"/>
  <c r="K51" i="14"/>
  <c r="J51" i="14"/>
  <c r="I51" i="14"/>
  <c r="H51" i="14"/>
  <c r="L47" i="14"/>
  <c r="K47" i="14"/>
  <c r="J47" i="14"/>
  <c r="I47" i="14"/>
  <c r="H47" i="14"/>
  <c r="L43" i="14"/>
  <c r="K43" i="14"/>
  <c r="J43" i="14"/>
  <c r="I43" i="14"/>
  <c r="H43" i="14"/>
  <c r="I31" i="14"/>
  <c r="J31" i="14"/>
  <c r="K31" i="14"/>
  <c r="L31" i="14"/>
  <c r="H31" i="14"/>
  <c r="B139" i="14"/>
  <c r="B135" i="14"/>
  <c r="B131" i="14"/>
  <c r="B127" i="14"/>
  <c r="B123" i="14"/>
  <c r="B119" i="14"/>
  <c r="B115" i="14"/>
  <c r="B111" i="14"/>
  <c r="B107" i="14"/>
  <c r="B103" i="14"/>
  <c r="B99" i="14"/>
  <c r="B95" i="14"/>
  <c r="B86" i="14"/>
  <c r="B82" i="14"/>
  <c r="B78" i="14"/>
  <c r="B74" i="14"/>
  <c r="B70" i="14"/>
  <c r="B66" i="14"/>
  <c r="B62" i="14"/>
  <c r="B58" i="14"/>
  <c r="B54" i="14"/>
  <c r="B50" i="14"/>
  <c r="B46" i="14"/>
  <c r="B42" i="14"/>
  <c r="B30" i="14"/>
  <c r="I1128" i="13" l="1"/>
  <c r="H1128" i="13"/>
  <c r="B1128" i="13"/>
  <c r="I1127" i="13"/>
  <c r="H1127" i="13"/>
  <c r="B1127" i="13"/>
  <c r="I1126" i="13"/>
  <c r="H1126" i="13"/>
  <c r="I1125" i="13"/>
  <c r="H1125" i="13"/>
  <c r="B1125" i="13"/>
  <c r="I1124" i="13"/>
  <c r="H1124" i="13"/>
  <c r="B1124" i="13"/>
  <c r="H1116" i="13"/>
  <c r="F1130" i="13" s="1"/>
  <c r="H1115" i="13"/>
  <c r="F1129" i="13" s="1"/>
  <c r="I1129" i="13" s="1"/>
  <c r="K1111" i="13"/>
  <c r="H1107" i="13"/>
  <c r="G1107" i="13"/>
  <c r="H1106" i="13"/>
  <c r="G1106" i="13"/>
  <c r="I1099" i="13"/>
  <c r="H1099" i="13"/>
  <c r="G1099" i="13"/>
  <c r="F1099" i="13"/>
  <c r="I1098" i="13"/>
  <c r="H1098" i="13"/>
  <c r="G1098" i="13"/>
  <c r="F1098" i="13"/>
  <c r="I1097" i="13"/>
  <c r="H1097" i="13"/>
  <c r="G1097" i="13"/>
  <c r="F1097" i="13"/>
  <c r="E1097" i="13"/>
  <c r="I1096" i="13"/>
  <c r="H1096" i="13"/>
  <c r="G1096" i="13"/>
  <c r="F1096" i="13"/>
  <c r="E1096" i="13"/>
  <c r="E1095" i="13"/>
  <c r="B1095" i="13"/>
  <c r="B1126" i="13" s="1"/>
  <c r="I1094" i="13"/>
  <c r="H1094" i="13"/>
  <c r="G1094" i="13"/>
  <c r="F1094" i="13"/>
  <c r="E1094" i="13"/>
  <c r="G1095" i="13" s="1"/>
  <c r="I1093" i="13"/>
  <c r="H1093" i="13"/>
  <c r="G1093" i="13"/>
  <c r="F1093" i="13"/>
  <c r="I1092" i="13"/>
  <c r="H1092" i="13"/>
  <c r="G1092" i="13"/>
  <c r="F1092" i="13"/>
  <c r="I1084" i="13"/>
  <c r="H1084" i="13"/>
  <c r="G1084" i="13"/>
  <c r="F1084" i="13"/>
  <c r="B1084" i="13"/>
  <c r="B1065" i="13"/>
  <c r="I1043" i="13"/>
  <c r="H1043" i="13"/>
  <c r="B1043" i="13"/>
  <c r="I1042" i="13"/>
  <c r="H1042" i="13"/>
  <c r="B1042" i="13"/>
  <c r="I1041" i="13"/>
  <c r="H1041" i="13"/>
  <c r="I1040" i="13"/>
  <c r="H1040" i="13"/>
  <c r="B1040" i="13"/>
  <c r="I1039" i="13"/>
  <c r="H1039" i="13"/>
  <c r="B1039" i="13"/>
  <c r="H1031" i="13"/>
  <c r="F1045" i="13" s="1"/>
  <c r="H1030" i="13"/>
  <c r="F1044" i="13" s="1"/>
  <c r="K1026" i="13"/>
  <c r="H1022" i="13"/>
  <c r="G1022" i="13"/>
  <c r="H1021" i="13"/>
  <c r="G1021" i="13"/>
  <c r="I1014" i="13"/>
  <c r="H1014" i="13"/>
  <c r="G1014" i="13"/>
  <c r="F1014" i="13"/>
  <c r="I1013" i="13"/>
  <c r="H1013" i="13"/>
  <c r="G1013" i="13"/>
  <c r="F1013" i="13"/>
  <c r="I1012" i="13"/>
  <c r="H1012" i="13"/>
  <c r="G1012" i="13"/>
  <c r="F1012" i="13"/>
  <c r="E1012" i="13"/>
  <c r="I1011" i="13"/>
  <c r="H1011" i="13"/>
  <c r="G1011" i="13"/>
  <c r="F1011" i="13"/>
  <c r="E1011" i="13"/>
  <c r="E1010" i="13"/>
  <c r="B1010" i="13"/>
  <c r="B1041" i="13" s="1"/>
  <c r="I1009" i="13"/>
  <c r="H1009" i="13"/>
  <c r="G1009" i="13"/>
  <c r="F1009" i="13"/>
  <c r="E1009" i="13"/>
  <c r="H1010" i="13" s="1"/>
  <c r="I1008" i="13"/>
  <c r="H1008" i="13"/>
  <c r="G1008" i="13"/>
  <c r="F1008" i="13"/>
  <c r="I1007" i="13"/>
  <c r="H1007" i="13"/>
  <c r="G1007" i="13"/>
  <c r="F1007" i="13"/>
  <c r="I999" i="13"/>
  <c r="H999" i="13"/>
  <c r="G999" i="13"/>
  <c r="F999" i="13"/>
  <c r="B999" i="13"/>
  <c r="B980" i="13"/>
  <c r="I958" i="13"/>
  <c r="H958" i="13"/>
  <c r="B958" i="13"/>
  <c r="I957" i="13"/>
  <c r="H957" i="13"/>
  <c r="B957" i="13"/>
  <c r="I956" i="13"/>
  <c r="H956" i="13"/>
  <c r="I955" i="13"/>
  <c r="H955" i="13"/>
  <c r="B955" i="13"/>
  <c r="I954" i="13"/>
  <c r="H954" i="13"/>
  <c r="B954" i="13"/>
  <c r="H946" i="13"/>
  <c r="F960" i="13" s="1"/>
  <c r="H945" i="13"/>
  <c r="F959" i="13" s="1"/>
  <c r="K941" i="13"/>
  <c r="H937" i="13"/>
  <c r="G937" i="13"/>
  <c r="H936" i="13"/>
  <c r="G936" i="13"/>
  <c r="I929" i="13"/>
  <c r="H929" i="13"/>
  <c r="G929" i="13"/>
  <c r="F929" i="13"/>
  <c r="I928" i="13"/>
  <c r="H928" i="13"/>
  <c r="G928" i="13"/>
  <c r="F928" i="13"/>
  <c r="I927" i="13"/>
  <c r="H927" i="13"/>
  <c r="G927" i="13"/>
  <c r="F927" i="13"/>
  <c r="E927" i="13"/>
  <c r="I926" i="13"/>
  <c r="H926" i="13"/>
  <c r="G926" i="13"/>
  <c r="F926" i="13"/>
  <c r="E926" i="13"/>
  <c r="E925" i="13"/>
  <c r="B925" i="13"/>
  <c r="B956" i="13" s="1"/>
  <c r="I924" i="13"/>
  <c r="H924" i="13"/>
  <c r="G924" i="13"/>
  <c r="F924" i="13"/>
  <c r="E924" i="13"/>
  <c r="I925" i="13" s="1"/>
  <c r="I923" i="13"/>
  <c r="H923" i="13"/>
  <c r="G923" i="13"/>
  <c r="F923" i="13"/>
  <c r="I922" i="13"/>
  <c r="H922" i="13"/>
  <c r="G922" i="13"/>
  <c r="F922" i="13"/>
  <c r="I914" i="13"/>
  <c r="H914" i="13"/>
  <c r="G914" i="13"/>
  <c r="F914" i="13"/>
  <c r="B914" i="13"/>
  <c r="B895" i="13"/>
  <c r="I873" i="13"/>
  <c r="H873" i="13"/>
  <c r="B873" i="13"/>
  <c r="I872" i="13"/>
  <c r="H872" i="13"/>
  <c r="B872" i="13"/>
  <c r="I871" i="13"/>
  <c r="H871" i="13"/>
  <c r="I870" i="13"/>
  <c r="H870" i="13"/>
  <c r="B870" i="13"/>
  <c r="I869" i="13"/>
  <c r="H869" i="13"/>
  <c r="B869" i="13"/>
  <c r="H861" i="13"/>
  <c r="F875" i="13" s="1"/>
  <c r="H860" i="13"/>
  <c r="F874" i="13" s="1"/>
  <c r="K856" i="13"/>
  <c r="H852" i="13"/>
  <c r="G852" i="13"/>
  <c r="H851" i="13"/>
  <c r="G851" i="13"/>
  <c r="I844" i="13"/>
  <c r="H844" i="13"/>
  <c r="G844" i="13"/>
  <c r="F844" i="13"/>
  <c r="I843" i="13"/>
  <c r="H843" i="13"/>
  <c r="G843" i="13"/>
  <c r="F843" i="13"/>
  <c r="I842" i="13"/>
  <c r="H842" i="13"/>
  <c r="G842" i="13"/>
  <c r="F842" i="13"/>
  <c r="E842" i="13"/>
  <c r="I841" i="13"/>
  <c r="H841" i="13"/>
  <c r="G841" i="13"/>
  <c r="F841" i="13"/>
  <c r="E841" i="13"/>
  <c r="E840" i="13"/>
  <c r="B840" i="13"/>
  <c r="B871" i="13" s="1"/>
  <c r="I839" i="13"/>
  <c r="H839" i="13"/>
  <c r="G839" i="13"/>
  <c r="F839" i="13"/>
  <c r="E839" i="13"/>
  <c r="F840" i="13" s="1"/>
  <c r="I838" i="13"/>
  <c r="H838" i="13"/>
  <c r="G838" i="13"/>
  <c r="F838" i="13"/>
  <c r="I837" i="13"/>
  <c r="H837" i="13"/>
  <c r="G837" i="13"/>
  <c r="F837" i="13"/>
  <c r="I829" i="13"/>
  <c r="H829" i="13"/>
  <c r="G829" i="13"/>
  <c r="F829" i="13"/>
  <c r="B829" i="13"/>
  <c r="B810" i="13"/>
  <c r="I788" i="13"/>
  <c r="H788" i="13"/>
  <c r="B788" i="13"/>
  <c r="I787" i="13"/>
  <c r="H787" i="13"/>
  <c r="B787" i="13"/>
  <c r="I786" i="13"/>
  <c r="H786" i="13"/>
  <c r="I785" i="13"/>
  <c r="H785" i="13"/>
  <c r="B785" i="13"/>
  <c r="I784" i="13"/>
  <c r="H784" i="13"/>
  <c r="B784" i="13"/>
  <c r="H776" i="13"/>
  <c r="F790" i="13" s="1"/>
  <c r="H775" i="13"/>
  <c r="F789" i="13" s="1"/>
  <c r="G789" i="13" s="1"/>
  <c r="K771" i="13"/>
  <c r="H767" i="13"/>
  <c r="G767" i="13"/>
  <c r="H766" i="13"/>
  <c r="G766" i="13"/>
  <c r="I759" i="13"/>
  <c r="H759" i="13"/>
  <c r="G759" i="13"/>
  <c r="F759" i="13"/>
  <c r="I758" i="13"/>
  <c r="H758" i="13"/>
  <c r="G758" i="13"/>
  <c r="F758" i="13"/>
  <c r="I757" i="13"/>
  <c r="H757" i="13"/>
  <c r="G757" i="13"/>
  <c r="F757" i="13"/>
  <c r="E757" i="13"/>
  <c r="I756" i="13"/>
  <c r="H756" i="13"/>
  <c r="G756" i="13"/>
  <c r="F756" i="13"/>
  <c r="E756" i="13"/>
  <c r="E755" i="13"/>
  <c r="B755" i="13"/>
  <c r="B786" i="13" s="1"/>
  <c r="I754" i="13"/>
  <c r="H754" i="13"/>
  <c r="G754" i="13"/>
  <c r="F754" i="13"/>
  <c r="E754" i="13"/>
  <c r="I755" i="13" s="1"/>
  <c r="I753" i="13"/>
  <c r="H753" i="13"/>
  <c r="G753" i="13"/>
  <c r="F753" i="13"/>
  <c r="I752" i="13"/>
  <c r="H752" i="13"/>
  <c r="G752" i="13"/>
  <c r="F752" i="13"/>
  <c r="I744" i="13"/>
  <c r="H744" i="13"/>
  <c r="G744" i="13"/>
  <c r="F744" i="13"/>
  <c r="B744" i="13"/>
  <c r="B725" i="13"/>
  <c r="I703" i="13"/>
  <c r="H703" i="13"/>
  <c r="B703" i="13"/>
  <c r="I702" i="13"/>
  <c r="H702" i="13"/>
  <c r="B702" i="13"/>
  <c r="I701" i="13"/>
  <c r="H701" i="13"/>
  <c r="I700" i="13"/>
  <c r="H700" i="13"/>
  <c r="B700" i="13"/>
  <c r="I699" i="13"/>
  <c r="H699" i="13"/>
  <c r="B699" i="13"/>
  <c r="H691" i="13"/>
  <c r="F705" i="13" s="1"/>
  <c r="H690" i="13"/>
  <c r="F704" i="13" s="1"/>
  <c r="K686" i="13"/>
  <c r="H682" i="13"/>
  <c r="G682" i="13"/>
  <c r="H681" i="13"/>
  <c r="G681" i="13"/>
  <c r="I674" i="13"/>
  <c r="H674" i="13"/>
  <c r="G674" i="13"/>
  <c r="F674" i="13"/>
  <c r="I673" i="13"/>
  <c r="H673" i="13"/>
  <c r="G673" i="13"/>
  <c r="F673" i="13"/>
  <c r="I672" i="13"/>
  <c r="H672" i="13"/>
  <c r="G672" i="13"/>
  <c r="F672" i="13"/>
  <c r="E672" i="13"/>
  <c r="I671" i="13"/>
  <c r="H671" i="13"/>
  <c r="G671" i="13"/>
  <c r="F671" i="13"/>
  <c r="E671" i="13"/>
  <c r="E670" i="13"/>
  <c r="B670" i="13"/>
  <c r="B701" i="13" s="1"/>
  <c r="I669" i="13"/>
  <c r="H669" i="13"/>
  <c r="G669" i="13"/>
  <c r="F669" i="13"/>
  <c r="E669" i="13"/>
  <c r="H670" i="13" s="1"/>
  <c r="I668" i="13"/>
  <c r="H668" i="13"/>
  <c r="G668" i="13"/>
  <c r="F668" i="13"/>
  <c r="I667" i="13"/>
  <c r="H667" i="13"/>
  <c r="G667" i="13"/>
  <c r="F667" i="13"/>
  <c r="I659" i="13"/>
  <c r="H659" i="13"/>
  <c r="G659" i="13"/>
  <c r="F659" i="13"/>
  <c r="B659" i="13"/>
  <c r="B640" i="13"/>
  <c r="I618" i="13"/>
  <c r="H618" i="13"/>
  <c r="B618" i="13"/>
  <c r="I617" i="13"/>
  <c r="H617" i="13"/>
  <c r="B617" i="13"/>
  <c r="I616" i="13"/>
  <c r="H616" i="13"/>
  <c r="I615" i="13"/>
  <c r="H615" i="13"/>
  <c r="B615" i="13"/>
  <c r="I614" i="13"/>
  <c r="H614" i="13"/>
  <c r="B614" i="13"/>
  <c r="H606" i="13"/>
  <c r="F620" i="13" s="1"/>
  <c r="H605" i="13"/>
  <c r="F619" i="13" s="1"/>
  <c r="I619" i="13" s="1"/>
  <c r="K601" i="13"/>
  <c r="H597" i="13"/>
  <c r="G597" i="13"/>
  <c r="H596" i="13"/>
  <c r="G596" i="13"/>
  <c r="I589" i="13"/>
  <c r="H589" i="13"/>
  <c r="G589" i="13"/>
  <c r="F589" i="13"/>
  <c r="I588" i="13"/>
  <c r="H588" i="13"/>
  <c r="G588" i="13"/>
  <c r="F588" i="13"/>
  <c r="I587" i="13"/>
  <c r="H587" i="13"/>
  <c r="G587" i="13"/>
  <c r="F587" i="13"/>
  <c r="E587" i="13"/>
  <c r="I586" i="13"/>
  <c r="H586" i="13"/>
  <c r="G586" i="13"/>
  <c r="F586" i="13"/>
  <c r="E586" i="13"/>
  <c r="E585" i="13"/>
  <c r="B585" i="13"/>
  <c r="B616" i="13" s="1"/>
  <c r="I584" i="13"/>
  <c r="H584" i="13"/>
  <c r="G584" i="13"/>
  <c r="F584" i="13"/>
  <c r="E584" i="13"/>
  <c r="G585" i="13" s="1"/>
  <c r="I583" i="13"/>
  <c r="H583" i="13"/>
  <c r="G583" i="13"/>
  <c r="F583" i="13"/>
  <c r="I582" i="13"/>
  <c r="H582" i="13"/>
  <c r="G582" i="13"/>
  <c r="F582" i="13"/>
  <c r="I574" i="13"/>
  <c r="H574" i="13"/>
  <c r="G574" i="13"/>
  <c r="F574" i="13"/>
  <c r="B574" i="13"/>
  <c r="B555" i="13"/>
  <c r="I533" i="13"/>
  <c r="H533" i="13"/>
  <c r="B533" i="13"/>
  <c r="I532" i="13"/>
  <c r="H532" i="13"/>
  <c r="B532" i="13"/>
  <c r="I531" i="13"/>
  <c r="H531" i="13"/>
  <c r="I530" i="13"/>
  <c r="H530" i="13"/>
  <c r="B530" i="13"/>
  <c r="I529" i="13"/>
  <c r="H529" i="13"/>
  <c r="B529" i="13"/>
  <c r="H521" i="13"/>
  <c r="F535" i="13" s="1"/>
  <c r="H520" i="13"/>
  <c r="F534" i="13" s="1"/>
  <c r="K516" i="13"/>
  <c r="H512" i="13"/>
  <c r="G512" i="13"/>
  <c r="H511" i="13"/>
  <c r="G511" i="13"/>
  <c r="I504" i="13"/>
  <c r="H504" i="13"/>
  <c r="G504" i="13"/>
  <c r="F504" i="13"/>
  <c r="I503" i="13"/>
  <c r="H503" i="13"/>
  <c r="G503" i="13"/>
  <c r="F503" i="13"/>
  <c r="I502" i="13"/>
  <c r="H502" i="13"/>
  <c r="G502" i="13"/>
  <c r="F502" i="13"/>
  <c r="E502" i="13"/>
  <c r="I501" i="13"/>
  <c r="H501" i="13"/>
  <c r="G501" i="13"/>
  <c r="F501" i="13"/>
  <c r="E501" i="13"/>
  <c r="E500" i="13"/>
  <c r="B500" i="13"/>
  <c r="B531" i="13" s="1"/>
  <c r="I499" i="13"/>
  <c r="H499" i="13"/>
  <c r="G499" i="13"/>
  <c r="F499" i="13"/>
  <c r="E499" i="13"/>
  <c r="H500" i="13" s="1"/>
  <c r="I498" i="13"/>
  <c r="H498" i="13"/>
  <c r="G498" i="13"/>
  <c r="F498" i="13"/>
  <c r="I497" i="13"/>
  <c r="H497" i="13"/>
  <c r="G497" i="13"/>
  <c r="F497" i="13"/>
  <c r="I489" i="13"/>
  <c r="H489" i="13"/>
  <c r="G489" i="13"/>
  <c r="F489" i="13"/>
  <c r="B489" i="13"/>
  <c r="B470" i="13"/>
  <c r="I447" i="13"/>
  <c r="H447" i="13"/>
  <c r="B447" i="13"/>
  <c r="I446" i="13"/>
  <c r="H446" i="13"/>
  <c r="B446" i="13"/>
  <c r="I445" i="13"/>
  <c r="H445" i="13"/>
  <c r="I444" i="13"/>
  <c r="H444" i="13"/>
  <c r="B444" i="13"/>
  <c r="I443" i="13"/>
  <c r="H443" i="13"/>
  <c r="B443" i="13"/>
  <c r="H435" i="13"/>
  <c r="F449" i="13" s="1"/>
  <c r="H434" i="13"/>
  <c r="F448" i="13" s="1"/>
  <c r="K430" i="13"/>
  <c r="H426" i="13"/>
  <c r="G426" i="13"/>
  <c r="H425" i="13"/>
  <c r="G425" i="13"/>
  <c r="I418" i="13"/>
  <c r="H418" i="13"/>
  <c r="G418" i="13"/>
  <c r="F418" i="13"/>
  <c r="I417" i="13"/>
  <c r="H417" i="13"/>
  <c r="G417" i="13"/>
  <c r="F417" i="13"/>
  <c r="I416" i="13"/>
  <c r="H416" i="13"/>
  <c r="G416" i="13"/>
  <c r="F416" i="13"/>
  <c r="E416" i="13"/>
  <c r="I415" i="13"/>
  <c r="H415" i="13"/>
  <c r="G415" i="13"/>
  <c r="F415" i="13"/>
  <c r="E415" i="13"/>
  <c r="E414" i="13"/>
  <c r="B414" i="13"/>
  <c r="B445" i="13" s="1"/>
  <c r="I413" i="13"/>
  <c r="H413" i="13"/>
  <c r="G413" i="13"/>
  <c r="F413" i="13"/>
  <c r="E413" i="13"/>
  <c r="I414" i="13" s="1"/>
  <c r="I412" i="13"/>
  <c r="H412" i="13"/>
  <c r="G412" i="13"/>
  <c r="F412" i="13"/>
  <c r="I411" i="13"/>
  <c r="H411" i="13"/>
  <c r="G411" i="13"/>
  <c r="F411" i="13"/>
  <c r="I403" i="13"/>
  <c r="H403" i="13"/>
  <c r="G403" i="13"/>
  <c r="F403" i="13"/>
  <c r="B403" i="13"/>
  <c r="B384" i="13"/>
  <c r="I362" i="13"/>
  <c r="H362" i="13"/>
  <c r="B362" i="13"/>
  <c r="I361" i="13"/>
  <c r="H361" i="13"/>
  <c r="B361" i="13"/>
  <c r="I360" i="13"/>
  <c r="H360" i="13"/>
  <c r="I359" i="13"/>
  <c r="H359" i="13"/>
  <c r="B359" i="13"/>
  <c r="I358" i="13"/>
  <c r="H358" i="13"/>
  <c r="B358" i="13"/>
  <c r="H350" i="13"/>
  <c r="F364" i="13" s="1"/>
  <c r="H349" i="13"/>
  <c r="F363" i="13" s="1"/>
  <c r="K345" i="13"/>
  <c r="H341" i="13"/>
  <c r="G341" i="13"/>
  <c r="H340" i="13"/>
  <c r="G340" i="13"/>
  <c r="I333" i="13"/>
  <c r="H333" i="13"/>
  <c r="G333" i="13"/>
  <c r="F333" i="13"/>
  <c r="I332" i="13"/>
  <c r="H332" i="13"/>
  <c r="G332" i="13"/>
  <c r="F332" i="13"/>
  <c r="I331" i="13"/>
  <c r="H331" i="13"/>
  <c r="G331" i="13"/>
  <c r="F331" i="13"/>
  <c r="E331" i="13"/>
  <c r="I330" i="13"/>
  <c r="H330" i="13"/>
  <c r="G330" i="13"/>
  <c r="F330" i="13"/>
  <c r="E330" i="13"/>
  <c r="E329" i="13"/>
  <c r="B329" i="13"/>
  <c r="B360" i="13" s="1"/>
  <c r="I328" i="13"/>
  <c r="H328" i="13"/>
  <c r="G328" i="13"/>
  <c r="F328" i="13"/>
  <c r="E328" i="13"/>
  <c r="F329" i="13" s="1"/>
  <c r="I327" i="13"/>
  <c r="H327" i="13"/>
  <c r="G327" i="13"/>
  <c r="F327" i="13"/>
  <c r="I326" i="13"/>
  <c r="H326" i="13"/>
  <c r="G326" i="13"/>
  <c r="F326" i="13"/>
  <c r="I318" i="13"/>
  <c r="H318" i="13"/>
  <c r="G318" i="13"/>
  <c r="F318" i="13"/>
  <c r="B318" i="13"/>
  <c r="B299" i="13"/>
  <c r="I276" i="13"/>
  <c r="H276" i="13"/>
  <c r="B276" i="13"/>
  <c r="I275" i="13"/>
  <c r="H275" i="13"/>
  <c r="B275" i="13"/>
  <c r="I274" i="13"/>
  <c r="H274" i="13"/>
  <c r="I273" i="13"/>
  <c r="H273" i="13"/>
  <c r="B273" i="13"/>
  <c r="I272" i="13"/>
  <c r="H272" i="13"/>
  <c r="B272" i="13"/>
  <c r="H264" i="13"/>
  <c r="F278" i="13" s="1"/>
  <c r="H263" i="13"/>
  <c r="F277" i="13" s="1"/>
  <c r="K259" i="13"/>
  <c r="H255" i="13"/>
  <c r="G255" i="13"/>
  <c r="H254" i="13"/>
  <c r="G254" i="13"/>
  <c r="I247" i="13"/>
  <c r="H247" i="13"/>
  <c r="G247" i="13"/>
  <c r="F247" i="13"/>
  <c r="I246" i="13"/>
  <c r="H246" i="13"/>
  <c r="G246" i="13"/>
  <c r="F246" i="13"/>
  <c r="I245" i="13"/>
  <c r="H245" i="13"/>
  <c r="G245" i="13"/>
  <c r="F245" i="13"/>
  <c r="E245" i="13"/>
  <c r="I244" i="13"/>
  <c r="H244" i="13"/>
  <c r="G244" i="13"/>
  <c r="F244" i="13"/>
  <c r="E244" i="13"/>
  <c r="E243" i="13"/>
  <c r="B243" i="13"/>
  <c r="B274" i="13" s="1"/>
  <c r="I242" i="13"/>
  <c r="H242" i="13"/>
  <c r="G242" i="13"/>
  <c r="F242" i="13"/>
  <c r="E242" i="13"/>
  <c r="I243" i="13" s="1"/>
  <c r="I241" i="13"/>
  <c r="H241" i="13"/>
  <c r="G241" i="13"/>
  <c r="F241" i="13"/>
  <c r="I240" i="13"/>
  <c r="H240" i="13"/>
  <c r="G240" i="13"/>
  <c r="F240" i="13"/>
  <c r="I232" i="13"/>
  <c r="H232" i="13"/>
  <c r="G232" i="13"/>
  <c r="F232" i="13"/>
  <c r="B232" i="13"/>
  <c r="B213" i="13"/>
  <c r="I191" i="13"/>
  <c r="H191" i="13"/>
  <c r="B191" i="13"/>
  <c r="I190" i="13"/>
  <c r="H190" i="13"/>
  <c r="B190" i="13"/>
  <c r="I189" i="13"/>
  <c r="H189" i="13"/>
  <c r="I188" i="13"/>
  <c r="H188" i="13"/>
  <c r="B188" i="13"/>
  <c r="I187" i="13"/>
  <c r="H187" i="13"/>
  <c r="B187" i="13"/>
  <c r="H179" i="13"/>
  <c r="F193" i="13" s="1"/>
  <c r="H178" i="13"/>
  <c r="F192" i="13" s="1"/>
  <c r="K174" i="13"/>
  <c r="H170" i="13"/>
  <c r="G170" i="13"/>
  <c r="H169" i="13"/>
  <c r="G169" i="13"/>
  <c r="I162" i="13"/>
  <c r="H162" i="13"/>
  <c r="G162" i="13"/>
  <c r="F162" i="13"/>
  <c r="I161" i="13"/>
  <c r="H161" i="13"/>
  <c r="G161" i="13"/>
  <c r="F161" i="13"/>
  <c r="I160" i="13"/>
  <c r="H160" i="13"/>
  <c r="G160" i="13"/>
  <c r="F160" i="13"/>
  <c r="E160" i="13"/>
  <c r="I159" i="13"/>
  <c r="H159" i="13"/>
  <c r="G159" i="13"/>
  <c r="F159" i="13"/>
  <c r="E159" i="13"/>
  <c r="E158" i="13"/>
  <c r="B158" i="13"/>
  <c r="B189" i="13" s="1"/>
  <c r="I157" i="13"/>
  <c r="H157" i="13"/>
  <c r="G157" i="13"/>
  <c r="F157" i="13"/>
  <c r="E157" i="13"/>
  <c r="H158" i="13" s="1"/>
  <c r="I156" i="13"/>
  <c r="H156" i="13"/>
  <c r="G156" i="13"/>
  <c r="F156" i="13"/>
  <c r="I155" i="13"/>
  <c r="H155" i="13"/>
  <c r="G155" i="13"/>
  <c r="F155" i="13"/>
  <c r="I147" i="13"/>
  <c r="H147" i="13"/>
  <c r="G147" i="13"/>
  <c r="F147" i="13"/>
  <c r="B147" i="13"/>
  <c r="B128" i="13"/>
  <c r="B109" i="13"/>
  <c r="B107" i="13"/>
  <c r="B105" i="13"/>
  <c r="B104" i="13"/>
  <c r="K91" i="13"/>
  <c r="G87" i="13"/>
  <c r="H87" i="13" s="1"/>
  <c r="H86" i="13"/>
  <c r="H96" i="13" s="1"/>
  <c r="F111" i="13" s="1"/>
  <c r="G86" i="13"/>
  <c r="E77" i="13"/>
  <c r="E75" i="13"/>
  <c r="F75" i="13" s="1"/>
  <c r="E74" i="13"/>
  <c r="B74" i="13"/>
  <c r="B106" i="13" s="1"/>
  <c r="E73" i="13"/>
  <c r="I72" i="13"/>
  <c r="I76" i="13" s="1"/>
  <c r="H72" i="13"/>
  <c r="H76" i="13" s="1"/>
  <c r="G72" i="13"/>
  <c r="G76" i="13" s="1"/>
  <c r="F72" i="13"/>
  <c r="F76" i="13" s="1"/>
  <c r="I71" i="13"/>
  <c r="H71" i="13"/>
  <c r="G71" i="13"/>
  <c r="F71" i="13"/>
  <c r="I63" i="13"/>
  <c r="H63" i="13"/>
  <c r="G63" i="13"/>
  <c r="F63" i="13"/>
  <c r="B63" i="13"/>
  <c r="B43" i="13"/>
  <c r="B40" i="13"/>
  <c r="B39" i="13"/>
  <c r="B38" i="13"/>
  <c r="B37" i="13"/>
  <c r="B36" i="13"/>
  <c r="B35" i="13"/>
  <c r="B34" i="13"/>
  <c r="B33" i="13"/>
  <c r="B32" i="13"/>
  <c r="B31" i="13"/>
  <c r="B30" i="13"/>
  <c r="B29" i="13"/>
  <c r="B28" i="13"/>
  <c r="F108" i="13" l="1"/>
  <c r="I108" i="13" s="1"/>
  <c r="H108" i="13"/>
  <c r="F79" i="13"/>
  <c r="G75" i="13"/>
  <c r="G79" i="13" s="1"/>
  <c r="H75" i="13"/>
  <c r="H79" i="13" s="1"/>
  <c r="I75" i="13"/>
  <c r="I79" i="13" s="1"/>
  <c r="F78" i="13"/>
  <c r="H78" i="13"/>
  <c r="I78" i="13"/>
  <c r="F73" i="13"/>
  <c r="I73" i="13"/>
  <c r="H73" i="13"/>
  <c r="H74" i="13" s="1"/>
  <c r="H77" i="13" s="1"/>
  <c r="G73" i="13"/>
  <c r="G74" i="13" s="1"/>
  <c r="G77" i="13" s="1"/>
  <c r="F872" i="13"/>
  <c r="G872" i="13" s="1"/>
  <c r="F1124" i="13"/>
  <c r="G1124" i="13" s="1"/>
  <c r="F1128" i="13"/>
  <c r="G1128" i="13" s="1"/>
  <c r="H585" i="13"/>
  <c r="F785" i="13"/>
  <c r="G785" i="13" s="1"/>
  <c r="F755" i="13"/>
  <c r="I840" i="13"/>
  <c r="F958" i="13"/>
  <c r="G958" i="13" s="1"/>
  <c r="I277" i="13"/>
  <c r="I279" i="13" s="1"/>
  <c r="G277" i="13"/>
  <c r="F702" i="13"/>
  <c r="G702" i="13" s="1"/>
  <c r="G755" i="13"/>
  <c r="F699" i="13"/>
  <c r="G699" i="13" s="1"/>
  <c r="F447" i="13"/>
  <c r="G447" i="13" s="1"/>
  <c r="F243" i="13"/>
  <c r="F444" i="13"/>
  <c r="G444" i="13" s="1"/>
  <c r="I1131" i="13"/>
  <c r="F187" i="13"/>
  <c r="G187" i="13" s="1"/>
  <c r="F190" i="13"/>
  <c r="G190" i="13" s="1"/>
  <c r="H925" i="13"/>
  <c r="F869" i="13"/>
  <c r="G869" i="13" s="1"/>
  <c r="I1010" i="13"/>
  <c r="I621" i="13"/>
  <c r="F700" i="13"/>
  <c r="G700" i="13" s="1"/>
  <c r="F703" i="13"/>
  <c r="G703" i="13" s="1"/>
  <c r="I1095" i="13"/>
  <c r="F361" i="13"/>
  <c r="G361" i="13" s="1"/>
  <c r="G500" i="13"/>
  <c r="F614" i="13"/>
  <c r="G614" i="13" s="1"/>
  <c r="F188" i="13"/>
  <c r="G188" i="13" s="1"/>
  <c r="F273" i="13"/>
  <c r="G273" i="13" s="1"/>
  <c r="F191" i="13"/>
  <c r="G191" i="13" s="1"/>
  <c r="F272" i="13"/>
  <c r="G272" i="13" s="1"/>
  <c r="G243" i="13"/>
  <c r="F358" i="13"/>
  <c r="G358" i="13" s="1"/>
  <c r="H414" i="13"/>
  <c r="I585" i="13"/>
  <c r="F784" i="13"/>
  <c r="G784" i="13" s="1"/>
  <c r="F954" i="13"/>
  <c r="G954" i="13" s="1"/>
  <c r="F1042" i="13"/>
  <c r="G1042" i="13" s="1"/>
  <c r="F276" i="13"/>
  <c r="G276" i="13" s="1"/>
  <c r="F443" i="13"/>
  <c r="G443" i="13" s="1"/>
  <c r="F532" i="13"/>
  <c r="G532" i="13" s="1"/>
  <c r="F788" i="13"/>
  <c r="G788" i="13" s="1"/>
  <c r="F955" i="13"/>
  <c r="G955" i="13" s="1"/>
  <c r="F957" i="13"/>
  <c r="G957" i="13" s="1"/>
  <c r="F1040" i="13"/>
  <c r="G1040" i="13" s="1"/>
  <c r="G1010" i="13"/>
  <c r="F1127" i="13"/>
  <c r="G1127" i="13" s="1"/>
  <c r="F104" i="13"/>
  <c r="I104" i="13" s="1"/>
  <c r="I74" i="13"/>
  <c r="I77" i="13" s="1"/>
  <c r="F275" i="13"/>
  <c r="G275" i="13" s="1"/>
  <c r="F446" i="13"/>
  <c r="G446" i="13" s="1"/>
  <c r="F530" i="13"/>
  <c r="G530" i="13" s="1"/>
  <c r="F787" i="13"/>
  <c r="G787" i="13" s="1"/>
  <c r="F870" i="13"/>
  <c r="G870" i="13" s="1"/>
  <c r="F1039" i="13"/>
  <c r="G1039" i="13" s="1"/>
  <c r="F359" i="13"/>
  <c r="G359" i="13" s="1"/>
  <c r="I329" i="13"/>
  <c r="F529" i="13"/>
  <c r="G529" i="13" s="1"/>
  <c r="I500" i="13"/>
  <c r="F617" i="13"/>
  <c r="G617" i="13" s="1"/>
  <c r="F618" i="13"/>
  <c r="G618" i="13" s="1"/>
  <c r="F873" i="13"/>
  <c r="G873" i="13" s="1"/>
  <c r="F1043" i="13"/>
  <c r="G1043" i="13" s="1"/>
  <c r="F1125" i="13"/>
  <c r="G1125" i="13" s="1"/>
  <c r="F1095" i="13"/>
  <c r="F362" i="13"/>
  <c r="G362" i="13" s="1"/>
  <c r="F533" i="13"/>
  <c r="G533" i="13" s="1"/>
  <c r="F615" i="13"/>
  <c r="G615" i="13" s="1"/>
  <c r="F585" i="13"/>
  <c r="H1095" i="13"/>
  <c r="G449" i="13"/>
  <c r="I449" i="13"/>
  <c r="I451" i="13" s="1"/>
  <c r="H449" i="13"/>
  <c r="H451" i="13" s="1"/>
  <c r="I620" i="13"/>
  <c r="I622" i="13" s="1"/>
  <c r="G620" i="13"/>
  <c r="H620" i="13"/>
  <c r="H622" i="13" s="1"/>
  <c r="I111" i="13"/>
  <c r="G111" i="13"/>
  <c r="H111" i="13"/>
  <c r="I363" i="13"/>
  <c r="H363" i="13"/>
  <c r="H365" i="13" s="1"/>
  <c r="G363" i="13"/>
  <c r="H704" i="13"/>
  <c r="H706" i="13" s="1"/>
  <c r="G704" i="13"/>
  <c r="I704" i="13"/>
  <c r="I706" i="13" s="1"/>
  <c r="H875" i="13"/>
  <c r="H877" i="13" s="1"/>
  <c r="G875" i="13"/>
  <c r="I875" i="13"/>
  <c r="I877" i="13" s="1"/>
  <c r="I193" i="13"/>
  <c r="I195" i="13" s="1"/>
  <c r="G193" i="13"/>
  <c r="H193" i="13"/>
  <c r="H195" i="13" s="1"/>
  <c r="I365" i="13"/>
  <c r="I959" i="13"/>
  <c r="I961" i="13" s="1"/>
  <c r="G959" i="13"/>
  <c r="H959" i="13"/>
  <c r="H961" i="13" s="1"/>
  <c r="H364" i="13"/>
  <c r="H366" i="13" s="1"/>
  <c r="G364" i="13"/>
  <c r="I364" i="13"/>
  <c r="I366" i="13" s="1"/>
  <c r="I535" i="13"/>
  <c r="I537" i="13" s="1"/>
  <c r="H535" i="13"/>
  <c r="H537" i="13" s="1"/>
  <c r="G535" i="13"/>
  <c r="I448" i="13"/>
  <c r="I450" i="13" s="1"/>
  <c r="G448" i="13"/>
  <c r="H448" i="13"/>
  <c r="H450" i="13" s="1"/>
  <c r="G960" i="13"/>
  <c r="I960" i="13"/>
  <c r="I962" i="13" s="1"/>
  <c r="H960" i="13"/>
  <c r="H962" i="13" s="1"/>
  <c r="I1130" i="13"/>
  <c r="I1132" i="13" s="1"/>
  <c r="H1130" i="13"/>
  <c r="H1132" i="13" s="1"/>
  <c r="G1130" i="13"/>
  <c r="I278" i="13"/>
  <c r="I280" i="13" s="1"/>
  <c r="H278" i="13"/>
  <c r="H280" i="13" s="1"/>
  <c r="G278" i="13"/>
  <c r="I790" i="13"/>
  <c r="I792" i="13" s="1"/>
  <c r="H790" i="13"/>
  <c r="H792" i="13" s="1"/>
  <c r="G790" i="13"/>
  <c r="I874" i="13"/>
  <c r="I876" i="13" s="1"/>
  <c r="H874" i="13"/>
  <c r="H876" i="13" s="1"/>
  <c r="G874" i="13"/>
  <c r="I1044" i="13"/>
  <c r="I1046" i="13" s="1"/>
  <c r="G1044" i="13"/>
  <c r="H1044" i="13"/>
  <c r="H1046" i="13" s="1"/>
  <c r="I534" i="13"/>
  <c r="I536" i="13" s="1"/>
  <c r="H534" i="13"/>
  <c r="H536" i="13" s="1"/>
  <c r="G534" i="13"/>
  <c r="I1045" i="13"/>
  <c r="I1047" i="13" s="1"/>
  <c r="H1045" i="13"/>
  <c r="H1047" i="13" s="1"/>
  <c r="G1045" i="13"/>
  <c r="F1126" i="13"/>
  <c r="H192" i="13"/>
  <c r="H194" i="13" s="1"/>
  <c r="G192" i="13"/>
  <c r="I192" i="13"/>
  <c r="I194" i="13" s="1"/>
  <c r="G705" i="13"/>
  <c r="I705" i="13"/>
  <c r="I707" i="13" s="1"/>
  <c r="H705" i="13"/>
  <c r="H707" i="13" s="1"/>
  <c r="I158" i="13"/>
  <c r="H243" i="13"/>
  <c r="F274" i="13" s="1"/>
  <c r="H277" i="13"/>
  <c r="H279" i="13" s="1"/>
  <c r="G329" i="13"/>
  <c r="F414" i="13"/>
  <c r="I670" i="13"/>
  <c r="H755" i="13"/>
  <c r="F786" i="13" s="1"/>
  <c r="F792" i="13" s="1"/>
  <c r="H789" i="13"/>
  <c r="H791" i="13" s="1"/>
  <c r="G840" i="13"/>
  <c r="F925" i="13"/>
  <c r="F74" i="13"/>
  <c r="H329" i="13"/>
  <c r="G414" i="13"/>
  <c r="F500" i="13"/>
  <c r="F531" i="13" s="1"/>
  <c r="I789" i="13"/>
  <c r="I791" i="13" s="1"/>
  <c r="H840" i="13"/>
  <c r="G925" i="13"/>
  <c r="F1010" i="13"/>
  <c r="F1041" i="13" s="1"/>
  <c r="F158" i="13"/>
  <c r="G619" i="13"/>
  <c r="F670" i="13"/>
  <c r="G1129" i="13"/>
  <c r="G158" i="13"/>
  <c r="H619" i="13"/>
  <c r="H621" i="13" s="1"/>
  <c r="G670" i="13"/>
  <c r="H1129" i="13"/>
  <c r="H1131" i="13" s="1"/>
  <c r="I140" i="7"/>
  <c r="J140" i="7"/>
  <c r="K140" i="7"/>
  <c r="L140" i="7"/>
  <c r="I136" i="7"/>
  <c r="J136" i="7"/>
  <c r="K136" i="7"/>
  <c r="L136" i="7"/>
  <c r="I132" i="7"/>
  <c r="J132" i="7"/>
  <c r="K132" i="7"/>
  <c r="L132" i="7"/>
  <c r="I128" i="7"/>
  <c r="J128" i="7"/>
  <c r="K128" i="7"/>
  <c r="L128" i="7"/>
  <c r="I124" i="7"/>
  <c r="J124" i="7"/>
  <c r="K124" i="7"/>
  <c r="L124" i="7"/>
  <c r="I120" i="7"/>
  <c r="J120" i="7"/>
  <c r="K120" i="7"/>
  <c r="L120" i="7"/>
  <c r="H140" i="7"/>
  <c r="H136" i="7"/>
  <c r="H132" i="7"/>
  <c r="H128" i="7"/>
  <c r="H124" i="7"/>
  <c r="H120" i="7"/>
  <c r="B139" i="7"/>
  <c r="B135" i="7"/>
  <c r="B131" i="7"/>
  <c r="B127" i="7"/>
  <c r="B123" i="7"/>
  <c r="B119" i="7"/>
  <c r="I87" i="7"/>
  <c r="J87" i="7"/>
  <c r="K87" i="7"/>
  <c r="L87" i="7"/>
  <c r="H87" i="7"/>
  <c r="I83" i="7"/>
  <c r="J83" i="7"/>
  <c r="K83" i="7"/>
  <c r="L83" i="7"/>
  <c r="H83" i="7"/>
  <c r="I79" i="7"/>
  <c r="J79" i="7"/>
  <c r="K79" i="7"/>
  <c r="L79" i="7"/>
  <c r="H79" i="7"/>
  <c r="I75" i="7"/>
  <c r="J75" i="7"/>
  <c r="K75" i="7"/>
  <c r="L75" i="7"/>
  <c r="H75" i="7"/>
  <c r="I71" i="7"/>
  <c r="J71" i="7"/>
  <c r="K71" i="7"/>
  <c r="L71" i="7"/>
  <c r="H71" i="7"/>
  <c r="I67" i="7"/>
  <c r="J67" i="7"/>
  <c r="K67" i="7"/>
  <c r="L67" i="7"/>
  <c r="H67" i="7"/>
  <c r="B138" i="4"/>
  <c r="B137" i="4"/>
  <c r="B136" i="4"/>
  <c r="B135" i="4"/>
  <c r="B134" i="4"/>
  <c r="B133" i="4"/>
  <c r="B118" i="4"/>
  <c r="B117" i="4"/>
  <c r="B116" i="4"/>
  <c r="B115" i="4"/>
  <c r="B114" i="4"/>
  <c r="B113" i="4"/>
  <c r="B100" i="4"/>
  <c r="B99" i="4"/>
  <c r="B98" i="4"/>
  <c r="B97" i="4"/>
  <c r="B96" i="4"/>
  <c r="B95" i="4"/>
  <c r="B80" i="4"/>
  <c r="B79" i="4"/>
  <c r="B78" i="4"/>
  <c r="B77" i="4"/>
  <c r="B76" i="4"/>
  <c r="B75" i="4"/>
  <c r="B60" i="4"/>
  <c r="B59" i="4"/>
  <c r="B58" i="4"/>
  <c r="B57" i="4"/>
  <c r="B56" i="4"/>
  <c r="B55" i="4"/>
  <c r="B86" i="7"/>
  <c r="B82" i="7"/>
  <c r="B78" i="7"/>
  <c r="B74" i="7"/>
  <c r="B70" i="7"/>
  <c r="B66" i="7"/>
  <c r="B1065" i="12"/>
  <c r="B980" i="12"/>
  <c r="B895" i="12"/>
  <c r="B810" i="12"/>
  <c r="B725" i="12"/>
  <c r="I1128" i="12"/>
  <c r="H1128" i="12"/>
  <c r="B1128" i="12"/>
  <c r="I1127" i="12"/>
  <c r="H1127" i="12"/>
  <c r="B1127" i="12"/>
  <c r="I1126" i="12"/>
  <c r="H1126" i="12"/>
  <c r="I1125" i="12"/>
  <c r="H1125" i="12"/>
  <c r="B1125" i="12"/>
  <c r="I1124" i="12"/>
  <c r="H1124" i="12"/>
  <c r="B1124" i="12"/>
  <c r="H1116" i="12"/>
  <c r="F1130" i="12" s="1"/>
  <c r="H1115" i="12"/>
  <c r="F1129" i="12" s="1"/>
  <c r="K1111" i="12"/>
  <c r="H1107" i="12"/>
  <c r="G1107" i="12"/>
  <c r="H1106" i="12"/>
  <c r="G1106" i="12"/>
  <c r="I1099" i="12"/>
  <c r="H1099" i="12"/>
  <c r="G1099" i="12"/>
  <c r="F1099" i="12"/>
  <c r="I1098" i="12"/>
  <c r="H1098" i="12"/>
  <c r="G1098" i="12"/>
  <c r="F1098" i="12"/>
  <c r="I1097" i="12"/>
  <c r="H1097" i="12"/>
  <c r="G1097" i="12"/>
  <c r="F1097" i="12"/>
  <c r="E1097" i="12"/>
  <c r="I1096" i="12"/>
  <c r="H1096" i="12"/>
  <c r="G1096" i="12"/>
  <c r="F1096" i="12"/>
  <c r="E1096" i="12"/>
  <c r="E1095" i="12"/>
  <c r="B1095" i="12"/>
  <c r="B1126" i="12" s="1"/>
  <c r="I1094" i="12"/>
  <c r="H1094" i="12"/>
  <c r="G1094" i="12"/>
  <c r="F1094" i="12"/>
  <c r="E1094" i="12"/>
  <c r="I1095" i="12" s="1"/>
  <c r="I1093" i="12"/>
  <c r="H1093" i="12"/>
  <c r="G1093" i="12"/>
  <c r="F1093" i="12"/>
  <c r="I1092" i="12"/>
  <c r="H1092" i="12"/>
  <c r="G1092" i="12"/>
  <c r="F1092" i="12"/>
  <c r="I1084" i="12"/>
  <c r="H1084" i="12"/>
  <c r="G1084" i="12"/>
  <c r="F1084" i="12"/>
  <c r="B1084" i="12"/>
  <c r="I1043" i="12"/>
  <c r="H1043" i="12"/>
  <c r="B1043" i="12"/>
  <c r="I1042" i="12"/>
  <c r="H1042" i="12"/>
  <c r="B1042" i="12"/>
  <c r="I1041" i="12"/>
  <c r="H1041" i="12"/>
  <c r="I1040" i="12"/>
  <c r="H1040" i="12"/>
  <c r="B1040" i="12"/>
  <c r="I1039" i="12"/>
  <c r="H1039" i="12"/>
  <c r="B1039" i="12"/>
  <c r="H1031" i="12"/>
  <c r="F1045" i="12" s="1"/>
  <c r="H1030" i="12"/>
  <c r="F1044" i="12" s="1"/>
  <c r="K1026" i="12"/>
  <c r="H1022" i="12"/>
  <c r="G1022" i="12"/>
  <c r="H1021" i="12"/>
  <c r="G1021" i="12"/>
  <c r="I1014" i="12"/>
  <c r="H1014" i="12"/>
  <c r="G1014" i="12"/>
  <c r="F1014" i="12"/>
  <c r="I1013" i="12"/>
  <c r="H1013" i="12"/>
  <c r="G1013" i="12"/>
  <c r="F1013" i="12"/>
  <c r="I1012" i="12"/>
  <c r="H1012" i="12"/>
  <c r="G1012" i="12"/>
  <c r="F1012" i="12"/>
  <c r="E1012" i="12"/>
  <c r="I1011" i="12"/>
  <c r="H1011" i="12"/>
  <c r="G1011" i="12"/>
  <c r="F1011" i="12"/>
  <c r="E1011" i="12"/>
  <c r="E1010" i="12"/>
  <c r="B1010" i="12"/>
  <c r="B1041" i="12" s="1"/>
  <c r="I1009" i="12"/>
  <c r="H1009" i="12"/>
  <c r="G1009" i="12"/>
  <c r="F1009" i="12"/>
  <c r="E1009" i="12"/>
  <c r="H1010" i="12" s="1"/>
  <c r="I1008" i="12"/>
  <c r="H1008" i="12"/>
  <c r="G1008" i="12"/>
  <c r="F1008" i="12"/>
  <c r="I1007" i="12"/>
  <c r="H1007" i="12"/>
  <c r="G1007" i="12"/>
  <c r="F1007" i="12"/>
  <c r="I999" i="12"/>
  <c r="H999" i="12"/>
  <c r="G999" i="12"/>
  <c r="F999" i="12"/>
  <c r="B999" i="12"/>
  <c r="I958" i="12"/>
  <c r="H958" i="12"/>
  <c r="B958" i="12"/>
  <c r="I957" i="12"/>
  <c r="H957" i="12"/>
  <c r="B957" i="12"/>
  <c r="I956" i="12"/>
  <c r="H956" i="12"/>
  <c r="I955" i="12"/>
  <c r="H955" i="12"/>
  <c r="B955" i="12"/>
  <c r="I954" i="12"/>
  <c r="H954" i="12"/>
  <c r="B954" i="12"/>
  <c r="H946" i="12"/>
  <c r="F960" i="12" s="1"/>
  <c r="H945" i="12"/>
  <c r="F959" i="12" s="1"/>
  <c r="K941" i="12"/>
  <c r="H937" i="12"/>
  <c r="G937" i="12"/>
  <c r="H936" i="12"/>
  <c r="G936" i="12"/>
  <c r="I929" i="12"/>
  <c r="H929" i="12"/>
  <c r="G929" i="12"/>
  <c r="F929" i="12"/>
  <c r="I928" i="12"/>
  <c r="H928" i="12"/>
  <c r="G928" i="12"/>
  <c r="F928" i="12"/>
  <c r="I927" i="12"/>
  <c r="H927" i="12"/>
  <c r="G927" i="12"/>
  <c r="F927" i="12"/>
  <c r="E927" i="12"/>
  <c r="I926" i="12"/>
  <c r="H926" i="12"/>
  <c r="G926" i="12"/>
  <c r="F926" i="12"/>
  <c r="E926" i="12"/>
  <c r="E925" i="12"/>
  <c r="B925" i="12"/>
  <c r="B956" i="12" s="1"/>
  <c r="I924" i="12"/>
  <c r="H924" i="12"/>
  <c r="G924" i="12"/>
  <c r="F924" i="12"/>
  <c r="E924" i="12"/>
  <c r="I925" i="12" s="1"/>
  <c r="I923" i="12"/>
  <c r="H923" i="12"/>
  <c r="G923" i="12"/>
  <c r="F923" i="12"/>
  <c r="I922" i="12"/>
  <c r="H922" i="12"/>
  <c r="G922" i="12"/>
  <c r="F922" i="12"/>
  <c r="I914" i="12"/>
  <c r="H914" i="12"/>
  <c r="G914" i="12"/>
  <c r="F914" i="12"/>
  <c r="B914" i="12"/>
  <c r="I873" i="12"/>
  <c r="H873" i="12"/>
  <c r="B873" i="12"/>
  <c r="I872" i="12"/>
  <c r="H872" i="12"/>
  <c r="B872" i="12"/>
  <c r="I871" i="12"/>
  <c r="H871" i="12"/>
  <c r="I870" i="12"/>
  <c r="H870" i="12"/>
  <c r="B870" i="12"/>
  <c r="I869" i="12"/>
  <c r="H869" i="12"/>
  <c r="B869" i="12"/>
  <c r="H861" i="12"/>
  <c r="F875" i="12" s="1"/>
  <c r="H860" i="12"/>
  <c r="F874" i="12" s="1"/>
  <c r="H874" i="12" s="1"/>
  <c r="K856" i="12"/>
  <c r="H852" i="12"/>
  <c r="G852" i="12"/>
  <c r="H851" i="12"/>
  <c r="G851" i="12"/>
  <c r="I844" i="12"/>
  <c r="H844" i="12"/>
  <c r="G844" i="12"/>
  <c r="F844" i="12"/>
  <c r="I843" i="12"/>
  <c r="H843" i="12"/>
  <c r="G843" i="12"/>
  <c r="F843" i="12"/>
  <c r="I842" i="12"/>
  <c r="H842" i="12"/>
  <c r="G842" i="12"/>
  <c r="F842" i="12"/>
  <c r="E842" i="12"/>
  <c r="I841" i="12"/>
  <c r="H841" i="12"/>
  <c r="G841" i="12"/>
  <c r="F841" i="12"/>
  <c r="E841" i="12"/>
  <c r="E840" i="12"/>
  <c r="B840" i="12"/>
  <c r="B871" i="12" s="1"/>
  <c r="I839" i="12"/>
  <c r="H839" i="12"/>
  <c r="G839" i="12"/>
  <c r="F839" i="12"/>
  <c r="E839" i="12"/>
  <c r="H840" i="12" s="1"/>
  <c r="I838" i="12"/>
  <c r="H838" i="12"/>
  <c r="G838" i="12"/>
  <c r="F838" i="12"/>
  <c r="I837" i="12"/>
  <c r="H837" i="12"/>
  <c r="G837" i="12"/>
  <c r="F837" i="12"/>
  <c r="I829" i="12"/>
  <c r="H829" i="12"/>
  <c r="G829" i="12"/>
  <c r="F829" i="12"/>
  <c r="B829" i="12"/>
  <c r="I788" i="12"/>
  <c r="H788" i="12"/>
  <c r="B788" i="12"/>
  <c r="I787" i="12"/>
  <c r="H787" i="12"/>
  <c r="B787" i="12"/>
  <c r="I786" i="12"/>
  <c r="H786" i="12"/>
  <c r="I785" i="12"/>
  <c r="H785" i="12"/>
  <c r="B785" i="12"/>
  <c r="I784" i="12"/>
  <c r="H784" i="12"/>
  <c r="B784" i="12"/>
  <c r="H776" i="12"/>
  <c r="F790" i="12" s="1"/>
  <c r="H775" i="12"/>
  <c r="F789" i="12" s="1"/>
  <c r="K771" i="12"/>
  <c r="H767" i="12"/>
  <c r="G767" i="12"/>
  <c r="H766" i="12"/>
  <c r="G766" i="12"/>
  <c r="I759" i="12"/>
  <c r="H759" i="12"/>
  <c r="G759" i="12"/>
  <c r="F759" i="12"/>
  <c r="I758" i="12"/>
  <c r="H758" i="12"/>
  <c r="G758" i="12"/>
  <c r="F758" i="12"/>
  <c r="I757" i="12"/>
  <c r="H757" i="12"/>
  <c r="G757" i="12"/>
  <c r="F757" i="12"/>
  <c r="E757" i="12"/>
  <c r="I756" i="12"/>
  <c r="H756" i="12"/>
  <c r="G756" i="12"/>
  <c r="F756" i="12"/>
  <c r="E756" i="12"/>
  <c r="E755" i="12"/>
  <c r="B755" i="12"/>
  <c r="B786" i="12" s="1"/>
  <c r="I754" i="12"/>
  <c r="H754" i="12"/>
  <c r="G754" i="12"/>
  <c r="F754" i="12"/>
  <c r="E754" i="12"/>
  <c r="I755" i="12" s="1"/>
  <c r="I753" i="12"/>
  <c r="H753" i="12"/>
  <c r="G753" i="12"/>
  <c r="F753" i="12"/>
  <c r="I752" i="12"/>
  <c r="H752" i="12"/>
  <c r="G752" i="12"/>
  <c r="F752" i="12"/>
  <c r="I744" i="12"/>
  <c r="H744" i="12"/>
  <c r="G744" i="12"/>
  <c r="F744" i="12"/>
  <c r="B744" i="12"/>
  <c r="B640" i="12"/>
  <c r="I703" i="12"/>
  <c r="H703" i="12"/>
  <c r="B703" i="12"/>
  <c r="I702" i="12"/>
  <c r="H702" i="12"/>
  <c r="B702" i="12"/>
  <c r="I701" i="12"/>
  <c r="H701" i="12"/>
  <c r="I700" i="12"/>
  <c r="H700" i="12"/>
  <c r="B700" i="12"/>
  <c r="I699" i="12"/>
  <c r="H699" i="12"/>
  <c r="B699" i="12"/>
  <c r="H691" i="12"/>
  <c r="F705" i="12" s="1"/>
  <c r="H690" i="12"/>
  <c r="F704" i="12" s="1"/>
  <c r="K686" i="12"/>
  <c r="H682" i="12"/>
  <c r="G682" i="12"/>
  <c r="H681" i="12"/>
  <c r="G681" i="12"/>
  <c r="I674" i="12"/>
  <c r="H674" i="12"/>
  <c r="G674" i="12"/>
  <c r="F674" i="12"/>
  <c r="I673" i="12"/>
  <c r="H673" i="12"/>
  <c r="G673" i="12"/>
  <c r="F673" i="12"/>
  <c r="I672" i="12"/>
  <c r="H672" i="12"/>
  <c r="G672" i="12"/>
  <c r="F672" i="12"/>
  <c r="E672" i="12"/>
  <c r="I671" i="12"/>
  <c r="H671" i="12"/>
  <c r="G671" i="12"/>
  <c r="F671" i="12"/>
  <c r="E671" i="12"/>
  <c r="E670" i="12"/>
  <c r="B670" i="12"/>
  <c r="B701" i="12" s="1"/>
  <c r="I669" i="12"/>
  <c r="H669" i="12"/>
  <c r="G669" i="12"/>
  <c r="F669" i="12"/>
  <c r="E669" i="12"/>
  <c r="I670" i="12" s="1"/>
  <c r="I668" i="12"/>
  <c r="H668" i="12"/>
  <c r="G668" i="12"/>
  <c r="F668" i="12"/>
  <c r="I667" i="12"/>
  <c r="H667" i="12"/>
  <c r="G667" i="12"/>
  <c r="F667" i="12"/>
  <c r="I659" i="12"/>
  <c r="H659" i="12"/>
  <c r="G659" i="12"/>
  <c r="F659" i="12"/>
  <c r="B659" i="12"/>
  <c r="B35" i="12"/>
  <c r="F1047" i="13" l="1"/>
  <c r="F870" i="12"/>
  <c r="G870" i="12" s="1"/>
  <c r="F700" i="12"/>
  <c r="G700" i="12" s="1"/>
  <c r="F703" i="12"/>
  <c r="G703" i="12" s="1"/>
  <c r="G108" i="13"/>
  <c r="F699" i="12"/>
  <c r="G699" i="12" s="1"/>
  <c r="G1095" i="12"/>
  <c r="F1127" i="12"/>
  <c r="G1127" i="12" s="1"/>
  <c r="F105" i="13"/>
  <c r="I105" i="13" s="1"/>
  <c r="H105" i="13"/>
  <c r="G104" i="13"/>
  <c r="H104" i="13"/>
  <c r="F107" i="13"/>
  <c r="I107" i="13" s="1"/>
  <c r="G78" i="13"/>
  <c r="F106" i="13"/>
  <c r="F77" i="13"/>
  <c r="F109" i="13" s="1"/>
  <c r="I109" i="13" s="1"/>
  <c r="F702" i="12"/>
  <c r="G702" i="12" s="1"/>
  <c r="F869" i="12"/>
  <c r="G869" i="12" s="1"/>
  <c r="G840" i="12"/>
  <c r="I840" i="12"/>
  <c r="G925" i="12"/>
  <c r="H925" i="12"/>
  <c r="I1010" i="12"/>
  <c r="F1125" i="12"/>
  <c r="G1125" i="12" s="1"/>
  <c r="F1095" i="12"/>
  <c r="F958" i="12"/>
  <c r="G958" i="12" s="1"/>
  <c r="F1043" i="12"/>
  <c r="G1043" i="12" s="1"/>
  <c r="F1124" i="12"/>
  <c r="G1124" i="12" s="1"/>
  <c r="F872" i="12"/>
  <c r="G872" i="12" s="1"/>
  <c r="F873" i="12"/>
  <c r="G873" i="12" s="1"/>
  <c r="F616" i="13"/>
  <c r="F622" i="13" s="1"/>
  <c r="F840" i="12"/>
  <c r="F1042" i="12"/>
  <c r="G1042" i="12" s="1"/>
  <c r="F785" i="12"/>
  <c r="G785" i="12" s="1"/>
  <c r="F787" i="12"/>
  <c r="G787" i="12" s="1"/>
  <c r="H1095" i="12"/>
  <c r="F1040" i="12"/>
  <c r="G1040" i="12" s="1"/>
  <c r="F925" i="12"/>
  <c r="F755" i="12"/>
  <c r="F788" i="12"/>
  <c r="G788" i="12" s="1"/>
  <c r="F954" i="12"/>
  <c r="G954" i="12" s="1"/>
  <c r="F784" i="12"/>
  <c r="G784" i="12" s="1"/>
  <c r="G755" i="12"/>
  <c r="F1010" i="12"/>
  <c r="H755" i="12"/>
  <c r="F1039" i="12"/>
  <c r="G1039" i="12" s="1"/>
  <c r="G1010" i="12"/>
  <c r="F1128" i="12"/>
  <c r="G1128" i="12" s="1"/>
  <c r="H876" i="12"/>
  <c r="F955" i="12"/>
  <c r="G955" i="12" s="1"/>
  <c r="F957" i="12"/>
  <c r="G957" i="12" s="1"/>
  <c r="F360" i="13"/>
  <c r="G360" i="13" s="1"/>
  <c r="F189" i="13"/>
  <c r="F195" i="13" s="1"/>
  <c r="F871" i="13"/>
  <c r="G871" i="13" s="1"/>
  <c r="F1132" i="13"/>
  <c r="F536" i="13"/>
  <c r="G531" i="13"/>
  <c r="G536" i="13" s="1"/>
  <c r="F701" i="13"/>
  <c r="F445" i="13"/>
  <c r="F956" i="13"/>
  <c r="F1131" i="13"/>
  <c r="G1126" i="13"/>
  <c r="G1131" i="13" s="1"/>
  <c r="G274" i="13"/>
  <c r="G279" i="13" s="1"/>
  <c r="F279" i="13"/>
  <c r="F280" i="13"/>
  <c r="F1046" i="13"/>
  <c r="G1041" i="13"/>
  <c r="G1046" i="13" s="1"/>
  <c r="G786" i="13"/>
  <c r="G791" i="13" s="1"/>
  <c r="F791" i="13"/>
  <c r="F537" i="13"/>
  <c r="I1130" i="12"/>
  <c r="I1132" i="12" s="1"/>
  <c r="H1130" i="12"/>
  <c r="H1132" i="12" s="1"/>
  <c r="G1130" i="12"/>
  <c r="I1129" i="12"/>
  <c r="I1131" i="12" s="1"/>
  <c r="H1129" i="12"/>
  <c r="H1131" i="12" s="1"/>
  <c r="G1129" i="12"/>
  <c r="I1044" i="12"/>
  <c r="I1046" i="12" s="1"/>
  <c r="H1044" i="12"/>
  <c r="H1046" i="12" s="1"/>
  <c r="G1044" i="12"/>
  <c r="I1045" i="12"/>
  <c r="I1047" i="12" s="1"/>
  <c r="H1045" i="12"/>
  <c r="H1047" i="12" s="1"/>
  <c r="G1045" i="12"/>
  <c r="H959" i="12"/>
  <c r="H961" i="12" s="1"/>
  <c r="G959" i="12"/>
  <c r="I959" i="12"/>
  <c r="I961" i="12" s="1"/>
  <c r="I960" i="12"/>
  <c r="I962" i="12" s="1"/>
  <c r="H960" i="12"/>
  <c r="H962" i="12" s="1"/>
  <c r="G960" i="12"/>
  <c r="I875" i="12"/>
  <c r="I877" i="12" s="1"/>
  <c r="H875" i="12"/>
  <c r="H877" i="12" s="1"/>
  <c r="G875" i="12"/>
  <c r="I874" i="12"/>
  <c r="I876" i="12" s="1"/>
  <c r="G874" i="12"/>
  <c r="I790" i="12"/>
  <c r="I792" i="12" s="1"/>
  <c r="H790" i="12"/>
  <c r="H792" i="12" s="1"/>
  <c r="G790" i="12"/>
  <c r="H789" i="12"/>
  <c r="H791" i="12" s="1"/>
  <c r="G789" i="12"/>
  <c r="I789" i="12"/>
  <c r="I791" i="12" s="1"/>
  <c r="I705" i="12"/>
  <c r="I707" i="12" s="1"/>
  <c r="H705" i="12"/>
  <c r="H707" i="12" s="1"/>
  <c r="G705" i="12"/>
  <c r="I704" i="12"/>
  <c r="I706" i="12" s="1"/>
  <c r="H704" i="12"/>
  <c r="H706" i="12" s="1"/>
  <c r="G704" i="12"/>
  <c r="F670" i="12"/>
  <c r="G670" i="12"/>
  <c r="H670" i="12"/>
  <c r="B40" i="12"/>
  <c r="B39" i="12"/>
  <c r="B38" i="12"/>
  <c r="B37" i="12"/>
  <c r="B36" i="12"/>
  <c r="F871" i="12" l="1"/>
  <c r="G871" i="12" s="1"/>
  <c r="G876" i="12" s="1"/>
  <c r="F1126" i="12"/>
  <c r="F1131" i="12" s="1"/>
  <c r="G189" i="13"/>
  <c r="G194" i="13" s="1"/>
  <c r="F194" i="13"/>
  <c r="G105" i="13"/>
  <c r="H106" i="13"/>
  <c r="I106" i="13"/>
  <c r="G109" i="13"/>
  <c r="H109" i="13"/>
  <c r="G107" i="13"/>
  <c r="H107" i="13"/>
  <c r="F113" i="13"/>
  <c r="G106" i="13"/>
  <c r="G537" i="13"/>
  <c r="F956" i="12"/>
  <c r="F962" i="12" s="1"/>
  <c r="G616" i="13"/>
  <c r="G621" i="13" s="1"/>
  <c r="F366" i="13"/>
  <c r="F621" i="13"/>
  <c r="G1132" i="13"/>
  <c r="F365" i="13"/>
  <c r="F786" i="12"/>
  <c r="F1041" i="12"/>
  <c r="G876" i="13"/>
  <c r="G877" i="13"/>
  <c r="G365" i="13"/>
  <c r="G366" i="13"/>
  <c r="F877" i="13"/>
  <c r="F876" i="13"/>
  <c r="F706" i="13"/>
  <c r="G701" i="13"/>
  <c r="F707" i="13"/>
  <c r="G956" i="13"/>
  <c r="F961" i="13"/>
  <c r="F962" i="13"/>
  <c r="G792" i="13"/>
  <c r="G1047" i="13"/>
  <c r="G280" i="13"/>
  <c r="G445" i="13"/>
  <c r="F450" i="13"/>
  <c r="F451" i="13"/>
  <c r="F701" i="12"/>
  <c r="E586" i="12"/>
  <c r="E501" i="12"/>
  <c r="E415" i="12"/>
  <c r="E330" i="12"/>
  <c r="E244" i="12"/>
  <c r="E159" i="12"/>
  <c r="E74" i="12"/>
  <c r="F876" i="12" l="1"/>
  <c r="F877" i="12"/>
  <c r="G1126" i="12"/>
  <c r="G1131" i="12" s="1"/>
  <c r="F1132" i="12"/>
  <c r="G877" i="12"/>
  <c r="H113" i="13"/>
  <c r="G195" i="13"/>
  <c r="I113" i="13"/>
  <c r="G113" i="13"/>
  <c r="G112" i="13"/>
  <c r="G956" i="12"/>
  <c r="F961" i="12"/>
  <c r="G622" i="13"/>
  <c r="F1047" i="12"/>
  <c r="F1046" i="12"/>
  <c r="G1041" i="12"/>
  <c r="G786" i="12"/>
  <c r="F792" i="12"/>
  <c r="F791" i="12"/>
  <c r="G706" i="13"/>
  <c r="G707" i="13"/>
  <c r="G450" i="13"/>
  <c r="G451" i="13"/>
  <c r="G961" i="13"/>
  <c r="G962" i="13"/>
  <c r="F706" i="12"/>
  <c r="G701" i="12"/>
  <c r="F707" i="12"/>
  <c r="G1132" i="12" l="1"/>
  <c r="G962" i="12"/>
  <c r="G961" i="12"/>
  <c r="G791" i="12"/>
  <c r="G792" i="12"/>
  <c r="G1046" i="12"/>
  <c r="G1047" i="12"/>
  <c r="G706" i="12"/>
  <c r="G707" i="12"/>
  <c r="J138" i="14" l="1"/>
  <c r="J126" i="14"/>
  <c r="J73" i="14"/>
  <c r="J57" i="14"/>
  <c r="J81" i="14"/>
  <c r="J65" i="14"/>
  <c r="J98" i="14"/>
  <c r="J85" i="14"/>
  <c r="J134" i="14"/>
  <c r="J89" i="14"/>
  <c r="J69" i="14"/>
  <c r="J45" i="14"/>
  <c r="J102" i="14"/>
  <c r="J106" i="14"/>
  <c r="J142" i="14"/>
  <c r="J130" i="14"/>
  <c r="J110" i="14"/>
  <c r="J33" i="14"/>
  <c r="J114" i="14"/>
  <c r="J118" i="14"/>
  <c r="J49" i="14"/>
  <c r="J61" i="14"/>
  <c r="J122" i="14"/>
  <c r="J53" i="14"/>
  <c r="J77" i="14"/>
  <c r="J89" i="7"/>
  <c r="J77" i="7"/>
  <c r="J122" i="7"/>
  <c r="J142" i="7"/>
  <c r="J130" i="7"/>
  <c r="J85" i="7"/>
  <c r="J73" i="7"/>
  <c r="J134" i="7"/>
  <c r="J138" i="7"/>
  <c r="J126" i="7"/>
  <c r="J81" i="7"/>
  <c r="J69" i="7"/>
  <c r="K77" i="14"/>
  <c r="K61" i="14"/>
  <c r="K81" i="14"/>
  <c r="K85" i="14"/>
  <c r="K102" i="14"/>
  <c r="K134" i="14"/>
  <c r="K89" i="14"/>
  <c r="K69" i="14"/>
  <c r="K98" i="14"/>
  <c r="K106" i="14"/>
  <c r="K33" i="14"/>
  <c r="K49" i="14"/>
  <c r="K142" i="14"/>
  <c r="K130" i="14"/>
  <c r="K110" i="14"/>
  <c r="K114" i="14"/>
  <c r="K45" i="14"/>
  <c r="K118" i="14"/>
  <c r="K122" i="14"/>
  <c r="K53" i="14"/>
  <c r="K138" i="14"/>
  <c r="K126" i="14"/>
  <c r="K73" i="14"/>
  <c r="K57" i="14"/>
  <c r="K65" i="14"/>
  <c r="K134" i="7"/>
  <c r="K122" i="7"/>
  <c r="K89" i="7"/>
  <c r="K77" i="7"/>
  <c r="K142" i="7"/>
  <c r="K130" i="7"/>
  <c r="K85" i="7"/>
  <c r="K73" i="7"/>
  <c r="K138" i="7"/>
  <c r="K126" i="7"/>
  <c r="K81" i="7"/>
  <c r="K69" i="7"/>
  <c r="I122" i="14"/>
  <c r="I53" i="14"/>
  <c r="I138" i="14"/>
  <c r="I126" i="14"/>
  <c r="I77" i="14"/>
  <c r="I61" i="14"/>
  <c r="I69" i="14"/>
  <c r="I81" i="14"/>
  <c r="I65" i="14"/>
  <c r="I89" i="14"/>
  <c r="I85" i="14"/>
  <c r="I33" i="14"/>
  <c r="I134" i="14"/>
  <c r="I98" i="14"/>
  <c r="I102" i="14"/>
  <c r="I106" i="14"/>
  <c r="I142" i="14"/>
  <c r="I130" i="14"/>
  <c r="I110" i="14"/>
  <c r="I114" i="14"/>
  <c r="I45" i="14"/>
  <c r="I73" i="14"/>
  <c r="I118" i="14"/>
  <c r="I49" i="14"/>
  <c r="I57" i="14"/>
  <c r="I77" i="7"/>
  <c r="I142" i="7"/>
  <c r="I130" i="7"/>
  <c r="I85" i="7"/>
  <c r="I73" i="7"/>
  <c r="I138" i="7"/>
  <c r="I126" i="7"/>
  <c r="I89" i="7"/>
  <c r="I81" i="7"/>
  <c r="I69" i="7"/>
  <c r="I134" i="7"/>
  <c r="I122" i="7"/>
  <c r="L81" i="14"/>
  <c r="L65" i="14"/>
  <c r="L134" i="14"/>
  <c r="L89" i="14"/>
  <c r="L69" i="14"/>
  <c r="L98" i="14"/>
  <c r="L106" i="14"/>
  <c r="L45" i="14"/>
  <c r="L102" i="14"/>
  <c r="L142" i="14"/>
  <c r="L130" i="14"/>
  <c r="L110" i="14"/>
  <c r="L33" i="14"/>
  <c r="L114" i="14"/>
  <c r="L118" i="14"/>
  <c r="L49" i="14"/>
  <c r="L53" i="14"/>
  <c r="L122" i="14"/>
  <c r="L138" i="14"/>
  <c r="L126" i="14"/>
  <c r="L73" i="14"/>
  <c r="L57" i="14"/>
  <c r="L77" i="14"/>
  <c r="L61" i="14"/>
  <c r="L85" i="14"/>
  <c r="L134" i="7"/>
  <c r="L122" i="7"/>
  <c r="L89" i="7"/>
  <c r="L77" i="7"/>
  <c r="L142" i="7"/>
  <c r="L130" i="7"/>
  <c r="L85" i="7"/>
  <c r="L73" i="7"/>
  <c r="L138" i="7"/>
  <c r="L126" i="7"/>
  <c r="L81" i="7"/>
  <c r="L69" i="7"/>
  <c r="H118" i="14"/>
  <c r="H49" i="14"/>
  <c r="H122" i="14"/>
  <c r="H138" i="14"/>
  <c r="H126" i="14"/>
  <c r="H73" i="14"/>
  <c r="H57" i="14"/>
  <c r="H85" i="14"/>
  <c r="H77" i="14"/>
  <c r="H61" i="14"/>
  <c r="H81" i="14"/>
  <c r="H65" i="14"/>
  <c r="H134" i="14"/>
  <c r="H89" i="14"/>
  <c r="H69" i="14"/>
  <c r="H98" i="14"/>
  <c r="H102" i="14"/>
  <c r="H106" i="14"/>
  <c r="H142" i="14"/>
  <c r="H130" i="14"/>
  <c r="H110" i="14"/>
  <c r="H33" i="14"/>
  <c r="H53" i="14"/>
  <c r="H114" i="14"/>
  <c r="H45" i="14"/>
  <c r="H85" i="7"/>
  <c r="H81" i="7"/>
  <c r="H142" i="7"/>
  <c r="H77" i="7"/>
  <c r="H138" i="7"/>
  <c r="H73" i="7"/>
  <c r="H134" i="7"/>
  <c r="H69" i="7"/>
  <c r="H130" i="7"/>
  <c r="H126" i="7"/>
  <c r="H122" i="7"/>
  <c r="H89" i="7"/>
  <c r="B132" i="4"/>
  <c r="B131" i="4"/>
  <c r="B130" i="4"/>
  <c r="B129" i="4"/>
  <c r="B128" i="4"/>
  <c r="B127" i="4"/>
  <c r="G147" i="12" l="1"/>
  <c r="H147" i="12"/>
  <c r="I147" i="12"/>
  <c r="G232" i="12"/>
  <c r="H232" i="12"/>
  <c r="I232" i="12"/>
  <c r="G318" i="12"/>
  <c r="H318" i="12"/>
  <c r="I318" i="12"/>
  <c r="G403" i="12"/>
  <c r="H403" i="12"/>
  <c r="I403" i="12"/>
  <c r="G489" i="12"/>
  <c r="H489" i="12"/>
  <c r="I489" i="12"/>
  <c r="G574" i="12"/>
  <c r="H574" i="12"/>
  <c r="I574" i="12"/>
  <c r="F574" i="12"/>
  <c r="F489" i="12"/>
  <c r="F403" i="12"/>
  <c r="F318" i="12"/>
  <c r="F232" i="12"/>
  <c r="F147" i="12"/>
  <c r="G62" i="12"/>
  <c r="H62" i="12"/>
  <c r="I62" i="12"/>
  <c r="F62" i="12"/>
  <c r="B30" i="7" l="1"/>
  <c r="B126" i="4"/>
  <c r="B43" i="12"/>
  <c r="B28" i="12"/>
  <c r="B88" i="4"/>
  <c r="B68" i="4"/>
  <c r="B115" i="7" l="1"/>
  <c r="B111" i="7"/>
  <c r="B107" i="7"/>
  <c r="B103" i="7"/>
  <c r="B99" i="7"/>
  <c r="B95" i="7"/>
  <c r="B62" i="7"/>
  <c r="B58" i="7"/>
  <c r="B54" i="7"/>
  <c r="B50" i="7"/>
  <c r="B46" i="7"/>
  <c r="B42" i="7"/>
  <c r="B107" i="4"/>
  <c r="B128" i="12"/>
  <c r="B213" i="12"/>
  <c r="B299" i="12"/>
  <c r="B384" i="12"/>
  <c r="B470" i="12"/>
  <c r="B555" i="12"/>
  <c r="B34" i="12"/>
  <c r="B29" i="12"/>
  <c r="B30" i="12"/>
  <c r="B33" i="12"/>
  <c r="B32" i="12"/>
  <c r="B31" i="12"/>
  <c r="B112" i="4"/>
  <c r="B111" i="4"/>
  <c r="B110" i="4"/>
  <c r="B109" i="4"/>
  <c r="B108" i="4"/>
  <c r="B94" i="4"/>
  <c r="B93" i="4"/>
  <c r="B92" i="4"/>
  <c r="B91" i="4"/>
  <c r="B90" i="4"/>
  <c r="B89" i="4"/>
  <c r="B74" i="4"/>
  <c r="B73" i="4"/>
  <c r="B72" i="4"/>
  <c r="B71" i="4"/>
  <c r="B70" i="4"/>
  <c r="B69" i="4"/>
  <c r="B54" i="4"/>
  <c r="B53" i="4"/>
  <c r="B52" i="4"/>
  <c r="B51" i="4"/>
  <c r="B49" i="4"/>
  <c r="B50" i="4"/>
  <c r="I359" i="12" l="1"/>
  <c r="H362" i="12"/>
  <c r="H361" i="12"/>
  <c r="H360" i="12"/>
  <c r="H359" i="12"/>
  <c r="H358" i="12"/>
  <c r="G341" i="12"/>
  <c r="H340" i="12"/>
  <c r="G340" i="12"/>
  <c r="G333" i="12"/>
  <c r="F333" i="12"/>
  <c r="I332" i="12"/>
  <c r="H332" i="12"/>
  <c r="G332" i="12"/>
  <c r="F332" i="12"/>
  <c r="I331" i="12"/>
  <c r="H331" i="12"/>
  <c r="G331" i="12"/>
  <c r="F331" i="12"/>
  <c r="I330" i="12"/>
  <c r="H330" i="12"/>
  <c r="F330" i="12"/>
  <c r="G328" i="12"/>
  <c r="F328" i="12"/>
  <c r="E328" i="12"/>
  <c r="H329" i="12" s="1"/>
  <c r="G329" i="12" l="1"/>
  <c r="G596" i="12"/>
  <c r="F241" i="12"/>
  <c r="E72" i="12"/>
  <c r="I618" i="12" l="1"/>
  <c r="H618" i="12"/>
  <c r="B618" i="12"/>
  <c r="I617" i="12"/>
  <c r="H617" i="12"/>
  <c r="B617" i="12"/>
  <c r="I616" i="12"/>
  <c r="H616" i="12"/>
  <c r="I615" i="12"/>
  <c r="H615" i="12"/>
  <c r="B615" i="12"/>
  <c r="I614" i="12"/>
  <c r="H614" i="12"/>
  <c r="B614" i="12"/>
  <c r="H606" i="12"/>
  <c r="F620" i="12" s="1"/>
  <c r="H605" i="12"/>
  <c r="F619" i="12" s="1"/>
  <c r="I619" i="12" s="1"/>
  <c r="K601" i="12"/>
  <c r="H597" i="12"/>
  <c r="G597" i="12"/>
  <c r="H596" i="12"/>
  <c r="I589" i="12"/>
  <c r="H589" i="12"/>
  <c r="G589" i="12"/>
  <c r="F589" i="12"/>
  <c r="I588" i="12"/>
  <c r="H588" i="12"/>
  <c r="G588" i="12"/>
  <c r="F588" i="12"/>
  <c r="I587" i="12"/>
  <c r="H587" i="12"/>
  <c r="G587" i="12"/>
  <c r="F587" i="12"/>
  <c r="E587" i="12"/>
  <c r="I586" i="12"/>
  <c r="H586" i="12"/>
  <c r="G586" i="12"/>
  <c r="F586" i="12"/>
  <c r="E585" i="12"/>
  <c r="B585" i="12"/>
  <c r="B616" i="12" s="1"/>
  <c r="I584" i="12"/>
  <c r="H584" i="12"/>
  <c r="G584" i="12"/>
  <c r="F584" i="12"/>
  <c r="E584" i="12"/>
  <c r="G585" i="12" s="1"/>
  <c r="I583" i="12"/>
  <c r="H583" i="12"/>
  <c r="G583" i="12"/>
  <c r="F583" i="12"/>
  <c r="I582" i="12"/>
  <c r="H582" i="12"/>
  <c r="G582" i="12"/>
  <c r="F582" i="12"/>
  <c r="B574" i="12"/>
  <c r="I533" i="12"/>
  <c r="H533" i="12"/>
  <c r="B533" i="12"/>
  <c r="I532" i="12"/>
  <c r="H532" i="12"/>
  <c r="B532" i="12"/>
  <c r="I531" i="12"/>
  <c r="H531" i="12"/>
  <c r="I530" i="12"/>
  <c r="H530" i="12"/>
  <c r="B530" i="12"/>
  <c r="I529" i="12"/>
  <c r="H529" i="12"/>
  <c r="B529" i="12"/>
  <c r="H521" i="12"/>
  <c r="F535" i="12" s="1"/>
  <c r="H520" i="12"/>
  <c r="F534" i="12" s="1"/>
  <c r="K516" i="12"/>
  <c r="H512" i="12"/>
  <c r="G512" i="12"/>
  <c r="H511" i="12"/>
  <c r="G511" i="12"/>
  <c r="I504" i="12"/>
  <c r="H504" i="12"/>
  <c r="G504" i="12"/>
  <c r="F504" i="12"/>
  <c r="I503" i="12"/>
  <c r="H503" i="12"/>
  <c r="G503" i="12"/>
  <c r="F503" i="12"/>
  <c r="I502" i="12"/>
  <c r="H502" i="12"/>
  <c r="G502" i="12"/>
  <c r="F502" i="12"/>
  <c r="E502" i="12"/>
  <c r="I501" i="12"/>
  <c r="H501" i="12"/>
  <c r="G501" i="12"/>
  <c r="F501" i="12"/>
  <c r="E500" i="12"/>
  <c r="B500" i="12"/>
  <c r="B531" i="12" s="1"/>
  <c r="I499" i="12"/>
  <c r="H499" i="12"/>
  <c r="G499" i="12"/>
  <c r="F499" i="12"/>
  <c r="E499" i="12"/>
  <c r="G500" i="12" s="1"/>
  <c r="I498" i="12"/>
  <c r="H498" i="12"/>
  <c r="G498" i="12"/>
  <c r="F498" i="12"/>
  <c r="I497" i="12"/>
  <c r="H497" i="12"/>
  <c r="G497" i="12"/>
  <c r="F497" i="12"/>
  <c r="B489" i="12"/>
  <c r="I447" i="12"/>
  <c r="H447" i="12"/>
  <c r="B447" i="12"/>
  <c r="I446" i="12"/>
  <c r="H446" i="12"/>
  <c r="B446" i="12"/>
  <c r="I445" i="12"/>
  <c r="H445" i="12"/>
  <c r="I444" i="12"/>
  <c r="H444" i="12"/>
  <c r="B444" i="12"/>
  <c r="I443" i="12"/>
  <c r="H443" i="12"/>
  <c r="B443" i="12"/>
  <c r="H435" i="12"/>
  <c r="F449" i="12" s="1"/>
  <c r="H434" i="12"/>
  <c r="F448" i="12" s="1"/>
  <c r="K430" i="12"/>
  <c r="H426" i="12"/>
  <c r="G426" i="12"/>
  <c r="H425" i="12"/>
  <c r="G425" i="12"/>
  <c r="I418" i="12"/>
  <c r="H418" i="12"/>
  <c r="G418" i="12"/>
  <c r="F418" i="12"/>
  <c r="I417" i="12"/>
  <c r="H417" i="12"/>
  <c r="G417" i="12"/>
  <c r="F417" i="12"/>
  <c r="I416" i="12"/>
  <c r="H416" i="12"/>
  <c r="G416" i="12"/>
  <c r="F416" i="12"/>
  <c r="E416" i="12"/>
  <c r="I415" i="12"/>
  <c r="H415" i="12"/>
  <c r="G415" i="12"/>
  <c r="F415" i="12"/>
  <c r="E414" i="12"/>
  <c r="B414" i="12"/>
  <c r="B445" i="12" s="1"/>
  <c r="I413" i="12"/>
  <c r="H413" i="12"/>
  <c r="G413" i="12"/>
  <c r="F413" i="12"/>
  <c r="E413" i="12"/>
  <c r="G414" i="12" s="1"/>
  <c r="I412" i="12"/>
  <c r="H412" i="12"/>
  <c r="G412" i="12"/>
  <c r="F412" i="12"/>
  <c r="I411" i="12"/>
  <c r="H411" i="12"/>
  <c r="G411" i="12"/>
  <c r="F411" i="12"/>
  <c r="B403" i="12"/>
  <c r="I362" i="12"/>
  <c r="B362" i="12"/>
  <c r="I361" i="12"/>
  <c r="B361" i="12"/>
  <c r="I360" i="12"/>
  <c r="B359" i="12"/>
  <c r="I358" i="12"/>
  <c r="B358" i="12"/>
  <c r="H350" i="12"/>
  <c r="F364" i="12" s="1"/>
  <c r="H349" i="12"/>
  <c r="F363" i="12" s="1"/>
  <c r="K345" i="12"/>
  <c r="H341" i="12"/>
  <c r="I333" i="12"/>
  <c r="H333" i="12"/>
  <c r="E331" i="12"/>
  <c r="G330" i="12"/>
  <c r="E329" i="12"/>
  <c r="B329" i="12"/>
  <c r="B360" i="12" s="1"/>
  <c r="I328" i="12"/>
  <c r="H328" i="12"/>
  <c r="I327" i="12"/>
  <c r="H327" i="12"/>
  <c r="G327" i="12"/>
  <c r="F327" i="12"/>
  <c r="I326" i="12"/>
  <c r="H326" i="12"/>
  <c r="G326" i="12"/>
  <c r="F326" i="12"/>
  <c r="B318" i="12"/>
  <c r="I276" i="12"/>
  <c r="H276" i="12"/>
  <c r="B276" i="12"/>
  <c r="I275" i="12"/>
  <c r="H275" i="12"/>
  <c r="B275" i="12"/>
  <c r="I274" i="12"/>
  <c r="H274" i="12"/>
  <c r="I273" i="12"/>
  <c r="H273" i="12"/>
  <c r="B273" i="12"/>
  <c r="I272" i="12"/>
  <c r="H272" i="12"/>
  <c r="B272" i="12"/>
  <c r="H264" i="12"/>
  <c r="F278" i="12" s="1"/>
  <c r="H263" i="12"/>
  <c r="F277" i="12" s="1"/>
  <c r="K259" i="12"/>
  <c r="H255" i="12"/>
  <c r="G255" i="12"/>
  <c r="H254" i="12"/>
  <c r="G254" i="12"/>
  <c r="I247" i="12"/>
  <c r="H247" i="12"/>
  <c r="G247" i="12"/>
  <c r="I246" i="12"/>
  <c r="H246" i="12"/>
  <c r="G246" i="12"/>
  <c r="I245" i="12"/>
  <c r="H245" i="12"/>
  <c r="G245" i="12"/>
  <c r="E245" i="12"/>
  <c r="I244" i="12"/>
  <c r="H244" i="12"/>
  <c r="G244" i="12"/>
  <c r="F244" i="12"/>
  <c r="F247" i="12" s="1"/>
  <c r="E243" i="12"/>
  <c r="B243" i="12"/>
  <c r="B274" i="12" s="1"/>
  <c r="I242" i="12"/>
  <c r="H242" i="12"/>
  <c r="G242" i="12"/>
  <c r="E242" i="12"/>
  <c r="G243" i="12" s="1"/>
  <c r="I241" i="12"/>
  <c r="H241" i="12"/>
  <c r="G241" i="12"/>
  <c r="I240" i="12"/>
  <c r="H240" i="12"/>
  <c r="G240" i="12"/>
  <c r="F240" i="12"/>
  <c r="B232" i="12"/>
  <c r="I191" i="12"/>
  <c r="H191" i="12"/>
  <c r="B191" i="12"/>
  <c r="I190" i="12"/>
  <c r="H190" i="12"/>
  <c r="B190" i="12"/>
  <c r="I189" i="12"/>
  <c r="H189" i="12"/>
  <c r="I188" i="12"/>
  <c r="H188" i="12"/>
  <c r="B188" i="12"/>
  <c r="I187" i="12"/>
  <c r="H187" i="12"/>
  <c r="B187" i="12"/>
  <c r="H179" i="12"/>
  <c r="F193" i="12" s="1"/>
  <c r="H178" i="12"/>
  <c r="F192" i="12" s="1"/>
  <c r="K174" i="12"/>
  <c r="H170" i="12"/>
  <c r="G170" i="12"/>
  <c r="H169" i="12"/>
  <c r="G169" i="12"/>
  <c r="I162" i="12"/>
  <c r="H162" i="12"/>
  <c r="G162" i="12"/>
  <c r="I161" i="12"/>
  <c r="H161" i="12"/>
  <c r="G161" i="12"/>
  <c r="I160" i="12"/>
  <c r="H160" i="12"/>
  <c r="G160" i="12"/>
  <c r="E160" i="12"/>
  <c r="I159" i="12"/>
  <c r="H159" i="12"/>
  <c r="G159" i="12"/>
  <c r="F159" i="12"/>
  <c r="F161" i="12" s="1"/>
  <c r="E158" i="12"/>
  <c r="B158" i="12"/>
  <c r="B189" i="12" s="1"/>
  <c r="I157" i="12"/>
  <c r="H157" i="12"/>
  <c r="G157" i="12"/>
  <c r="E157" i="12"/>
  <c r="G158" i="12" s="1"/>
  <c r="I156" i="12"/>
  <c r="H156" i="12"/>
  <c r="G156" i="12"/>
  <c r="F156" i="12"/>
  <c r="F157" i="12" s="1"/>
  <c r="I155" i="12"/>
  <c r="H155" i="12"/>
  <c r="G155" i="12"/>
  <c r="F155" i="12"/>
  <c r="B147" i="12"/>
  <c r="G85" i="12"/>
  <c r="E75" i="12"/>
  <c r="F246" i="12" l="1"/>
  <c r="F242" i="12"/>
  <c r="F273" i="12" s="1"/>
  <c r="G273" i="12" s="1"/>
  <c r="F162" i="12"/>
  <c r="I363" i="12"/>
  <c r="I365" i="12" s="1"/>
  <c r="H363" i="12"/>
  <c r="H365" i="12" s="1"/>
  <c r="F358" i="12"/>
  <c r="G358" i="12" s="1"/>
  <c r="F359" i="12"/>
  <c r="G359" i="12" s="1"/>
  <c r="F272" i="12"/>
  <c r="G272" i="12" s="1"/>
  <c r="F447" i="12"/>
  <c r="G447" i="12" s="1"/>
  <c r="F585" i="12"/>
  <c r="F329" i="12"/>
  <c r="F414" i="12"/>
  <c r="F614" i="12"/>
  <c r="G614" i="12" s="1"/>
  <c r="F615" i="12"/>
  <c r="G615" i="12" s="1"/>
  <c r="F158" i="12"/>
  <c r="F160" i="12" s="1"/>
  <c r="F191" i="12" s="1"/>
  <c r="G191" i="12" s="1"/>
  <c r="I534" i="12"/>
  <c r="I536" i="12" s="1"/>
  <c r="H534" i="12"/>
  <c r="H536" i="12" s="1"/>
  <c r="I277" i="12"/>
  <c r="I279" i="12" s="1"/>
  <c r="H277" i="12"/>
  <c r="H279" i="12" s="1"/>
  <c r="I448" i="12"/>
  <c r="I450" i="12" s="1"/>
  <c r="H448" i="12"/>
  <c r="H450" i="12" s="1"/>
  <c r="I192" i="12"/>
  <c r="I194" i="12" s="1"/>
  <c r="H192" i="12"/>
  <c r="H194" i="12" s="1"/>
  <c r="H243" i="12"/>
  <c r="H500" i="12"/>
  <c r="H158" i="12"/>
  <c r="F361" i="12"/>
  <c r="G361" i="12" s="1"/>
  <c r="H414" i="12"/>
  <c r="F529" i="12"/>
  <c r="G529" i="12" s="1"/>
  <c r="F530" i="12"/>
  <c r="G530" i="12" s="1"/>
  <c r="F617" i="12"/>
  <c r="G617" i="12" s="1"/>
  <c r="F187" i="12"/>
  <c r="G187" i="12" s="1"/>
  <c r="F188" i="12"/>
  <c r="G188" i="12" s="1"/>
  <c r="F275" i="12"/>
  <c r="G275" i="12" s="1"/>
  <c r="F362" i="12"/>
  <c r="G362" i="12" s="1"/>
  <c r="F443" i="12"/>
  <c r="G443" i="12" s="1"/>
  <c r="F444" i="12"/>
  <c r="G444" i="12" s="1"/>
  <c r="F532" i="12"/>
  <c r="G532" i="12" s="1"/>
  <c r="F618" i="12"/>
  <c r="G618" i="12" s="1"/>
  <c r="F190" i="12"/>
  <c r="G190" i="12" s="1"/>
  <c r="F243" i="12"/>
  <c r="F245" i="12" s="1"/>
  <c r="F276" i="12" s="1"/>
  <c r="G276" i="12" s="1"/>
  <c r="F446" i="12"/>
  <c r="G446" i="12" s="1"/>
  <c r="F500" i="12"/>
  <c r="F533" i="12"/>
  <c r="G533" i="12" s="1"/>
  <c r="H585" i="12"/>
  <c r="I620" i="12"/>
  <c r="I622" i="12" s="1"/>
  <c r="H620" i="12"/>
  <c r="H622" i="12" s="1"/>
  <c r="G620" i="12"/>
  <c r="I621" i="12"/>
  <c r="I585" i="12"/>
  <c r="G619" i="12"/>
  <c r="H619" i="12"/>
  <c r="H621" i="12" s="1"/>
  <c r="I535" i="12"/>
  <c r="I537" i="12" s="1"/>
  <c r="H535" i="12"/>
  <c r="H537" i="12" s="1"/>
  <c r="G535" i="12"/>
  <c r="I500" i="12"/>
  <c r="G534" i="12"/>
  <c r="I449" i="12"/>
  <c r="I451" i="12" s="1"/>
  <c r="H449" i="12"/>
  <c r="H451" i="12" s="1"/>
  <c r="G449" i="12"/>
  <c r="I414" i="12"/>
  <c r="G448" i="12"/>
  <c r="I364" i="12"/>
  <c r="I366" i="12" s="1"/>
  <c r="H364" i="12"/>
  <c r="H366" i="12" s="1"/>
  <c r="G364" i="12"/>
  <c r="I329" i="12"/>
  <c r="G363" i="12"/>
  <c r="I278" i="12"/>
  <c r="I280" i="12" s="1"/>
  <c r="H278" i="12"/>
  <c r="H280" i="12" s="1"/>
  <c r="G278" i="12"/>
  <c r="I243" i="12"/>
  <c r="G277" i="12"/>
  <c r="I193" i="12"/>
  <c r="I195" i="12" s="1"/>
  <c r="H193" i="12"/>
  <c r="H195" i="12" s="1"/>
  <c r="G193" i="12"/>
  <c r="I158" i="12"/>
  <c r="G192" i="12"/>
  <c r="K89" i="12"/>
  <c r="F531" i="12" l="1"/>
  <c r="F537" i="12" s="1"/>
  <c r="F445" i="12"/>
  <c r="G445" i="12" s="1"/>
  <c r="G450" i="12" s="1"/>
  <c r="F616" i="12"/>
  <c r="F622" i="12" s="1"/>
  <c r="F274" i="12"/>
  <c r="F279" i="12" s="1"/>
  <c r="F360" i="12"/>
  <c r="G360" i="12" s="1"/>
  <c r="G365" i="12" s="1"/>
  <c r="F189" i="12"/>
  <c r="G189" i="12" s="1"/>
  <c r="G194" i="12" s="1"/>
  <c r="E32" i="4"/>
  <c r="E34" i="4" s="1"/>
  <c r="E36" i="4" s="1"/>
  <c r="I116" i="7"/>
  <c r="J116" i="7"/>
  <c r="K116" i="7"/>
  <c r="L116" i="7"/>
  <c r="H116" i="7"/>
  <c r="I112" i="7"/>
  <c r="J112" i="7"/>
  <c r="K112" i="7"/>
  <c r="L112" i="7"/>
  <c r="H112" i="7"/>
  <c r="I108" i="7"/>
  <c r="J108" i="7"/>
  <c r="K108" i="7"/>
  <c r="L108" i="7"/>
  <c r="H108" i="7"/>
  <c r="I104" i="7"/>
  <c r="J104" i="7"/>
  <c r="K104" i="7"/>
  <c r="L104" i="7"/>
  <c r="H104" i="7"/>
  <c r="I100" i="7"/>
  <c r="J100" i="7"/>
  <c r="K100" i="7"/>
  <c r="L100" i="7"/>
  <c r="H100" i="7"/>
  <c r="I96" i="7"/>
  <c r="J96" i="7"/>
  <c r="K96" i="7"/>
  <c r="L96" i="7"/>
  <c r="H96" i="7"/>
  <c r="H97" i="14" l="1"/>
  <c r="H101" i="14"/>
  <c r="H105" i="14"/>
  <c r="H141" i="14"/>
  <c r="H129" i="14"/>
  <c r="H109" i="14"/>
  <c r="H32" i="14"/>
  <c r="H48" i="14"/>
  <c r="H64" i="14"/>
  <c r="H25" i="14"/>
  <c r="H113" i="14"/>
  <c r="H44" i="14"/>
  <c r="H117" i="14"/>
  <c r="H68" i="14"/>
  <c r="H121" i="14"/>
  <c r="H52" i="14"/>
  <c r="H137" i="14"/>
  <c r="H125" i="14"/>
  <c r="H72" i="14"/>
  <c r="H56" i="14"/>
  <c r="H76" i="14"/>
  <c r="H60" i="14"/>
  <c r="H80" i="14"/>
  <c r="H84" i="14"/>
  <c r="H133" i="14"/>
  <c r="H88" i="14"/>
  <c r="H125" i="7"/>
  <c r="H76" i="7"/>
  <c r="E134" i="4"/>
  <c r="E114" i="4"/>
  <c r="H121" i="7"/>
  <c r="E135" i="4"/>
  <c r="E115" i="4"/>
  <c r="H84" i="7"/>
  <c r="E136" i="4"/>
  <c r="E116" i="4"/>
  <c r="E137" i="4"/>
  <c r="E117" i="4"/>
  <c r="E138" i="4"/>
  <c r="E118" i="4"/>
  <c r="H72" i="7"/>
  <c r="H129" i="7"/>
  <c r="H80" i="7"/>
  <c r="H141" i="7"/>
  <c r="E133" i="4"/>
  <c r="H137" i="7"/>
  <c r="H88" i="7"/>
  <c r="E113" i="4"/>
  <c r="H133" i="7"/>
  <c r="H68" i="7"/>
  <c r="H32" i="7"/>
  <c r="H113" i="7"/>
  <c r="H25" i="7"/>
  <c r="F280" i="12"/>
  <c r="G274" i="12"/>
  <c r="G279" i="12" s="1"/>
  <c r="G531" i="12"/>
  <c r="G536" i="12" s="1"/>
  <c r="F536" i="12"/>
  <c r="F451" i="12"/>
  <c r="F450" i="12"/>
  <c r="F365" i="12"/>
  <c r="G616" i="12"/>
  <c r="G621" i="12" s="1"/>
  <c r="F621" i="12"/>
  <c r="F195" i="12"/>
  <c r="F194" i="12"/>
  <c r="F366" i="12"/>
  <c r="G451" i="12"/>
  <c r="G366" i="12"/>
  <c r="G195" i="12"/>
  <c r="B73" i="12"/>
  <c r="I63" i="7"/>
  <c r="J63" i="7"/>
  <c r="K63" i="7"/>
  <c r="L63" i="7"/>
  <c r="H63" i="7"/>
  <c r="I59" i="7"/>
  <c r="J59" i="7"/>
  <c r="K59" i="7"/>
  <c r="L59" i="7"/>
  <c r="H59" i="7"/>
  <c r="I55" i="7"/>
  <c r="J55" i="7"/>
  <c r="K55" i="7"/>
  <c r="L55" i="7"/>
  <c r="H55" i="7"/>
  <c r="I51" i="7"/>
  <c r="J51" i="7"/>
  <c r="K51" i="7"/>
  <c r="L51" i="7"/>
  <c r="H51" i="7"/>
  <c r="I47" i="7"/>
  <c r="J47" i="7"/>
  <c r="K47" i="7"/>
  <c r="L47" i="7"/>
  <c r="H47" i="7"/>
  <c r="I43" i="7"/>
  <c r="J43" i="7"/>
  <c r="K43" i="7"/>
  <c r="L43" i="7"/>
  <c r="H43" i="7"/>
  <c r="I31" i="7"/>
  <c r="J31" i="7"/>
  <c r="K31" i="7"/>
  <c r="L31" i="7"/>
  <c r="H31" i="7"/>
  <c r="H119" i="14" l="1"/>
  <c r="H119" i="7"/>
  <c r="H74" i="14"/>
  <c r="H74" i="7"/>
  <c r="H123" i="14"/>
  <c r="H123" i="7"/>
  <c r="H66" i="14"/>
  <c r="H66" i="7"/>
  <c r="H70" i="14"/>
  <c r="H70" i="7"/>
  <c r="H139" i="14"/>
  <c r="H139" i="7"/>
  <c r="H131" i="14"/>
  <c r="H131" i="7"/>
  <c r="H86" i="14"/>
  <c r="H86" i="7"/>
  <c r="H78" i="14"/>
  <c r="H78" i="7"/>
  <c r="H135" i="14"/>
  <c r="H135" i="7"/>
  <c r="H127" i="14"/>
  <c r="H127" i="7"/>
  <c r="H82" i="14"/>
  <c r="H82" i="7"/>
  <c r="G280" i="12"/>
  <c r="G537" i="12"/>
  <c r="G622" i="12"/>
  <c r="B62" i="12"/>
  <c r="F70" i="12"/>
  <c r="B106" i="12" l="1"/>
  <c r="B105" i="12"/>
  <c r="B103" i="12"/>
  <c r="B102" i="12"/>
  <c r="H84" i="12"/>
  <c r="G84" i="12"/>
  <c r="E73" i="12"/>
  <c r="B104" i="12"/>
  <c r="H71" i="12"/>
  <c r="G71" i="12"/>
  <c r="I70" i="12"/>
  <c r="H70" i="12"/>
  <c r="G70" i="12"/>
  <c r="H92" i="12" l="1"/>
  <c r="H94" i="13" s="1"/>
  <c r="H95" i="13" s="1"/>
  <c r="F110" i="13" s="1"/>
  <c r="H74" i="12"/>
  <c r="H77" i="12"/>
  <c r="F74" i="12"/>
  <c r="G74" i="12"/>
  <c r="H72" i="12"/>
  <c r="H73" i="12" s="1"/>
  <c r="H75" i="12" s="1"/>
  <c r="G72" i="12"/>
  <c r="G73" i="12" s="1"/>
  <c r="G75" i="12" s="1"/>
  <c r="H94" i="12"/>
  <c r="F108" i="12" s="1"/>
  <c r="H93" i="12"/>
  <c r="F107" i="12" s="1"/>
  <c r="H110" i="13" l="1"/>
  <c r="H112" i="13" s="1"/>
  <c r="I110" i="13"/>
  <c r="I112" i="13" s="1"/>
  <c r="G110" i="13"/>
  <c r="F112" i="13"/>
  <c r="H76" i="12"/>
  <c r="G77" i="12"/>
  <c r="G76" i="12"/>
  <c r="F71" i="12"/>
  <c r="H108" i="12"/>
  <c r="G108" i="12"/>
  <c r="I108" i="12"/>
  <c r="I71" i="12"/>
  <c r="I107" i="12"/>
  <c r="H107" i="12"/>
  <c r="G107" i="12"/>
  <c r="F102" i="12" l="1"/>
  <c r="F72" i="12"/>
  <c r="F73" i="12" s="1"/>
  <c r="I72" i="12"/>
  <c r="I74" i="12"/>
  <c r="F75" i="12" l="1"/>
  <c r="F76" i="12" s="1"/>
  <c r="F77" i="12"/>
  <c r="F105" i="12"/>
  <c r="G105" i="12" s="1"/>
  <c r="I77" i="12"/>
  <c r="F103" i="12"/>
  <c r="G103" i="12" s="1"/>
  <c r="I73" i="12"/>
  <c r="I75" i="12" s="1"/>
  <c r="I76" i="12" s="1"/>
  <c r="I102" i="12"/>
  <c r="G102" i="12"/>
  <c r="H102" i="12"/>
  <c r="H105" i="12" l="1"/>
  <c r="I105" i="12"/>
  <c r="I103" i="12"/>
  <c r="H103" i="12"/>
  <c r="F104" i="12"/>
  <c r="F32" i="4"/>
  <c r="G32" i="4"/>
  <c r="H32" i="4"/>
  <c r="H34" i="4" s="1"/>
  <c r="H36" i="4" s="1"/>
  <c r="I32" i="4"/>
  <c r="K141" i="14" l="1"/>
  <c r="K129" i="14"/>
  <c r="K109" i="14"/>
  <c r="K32" i="14"/>
  <c r="K113" i="14"/>
  <c r="K117" i="14"/>
  <c r="K48" i="14"/>
  <c r="K76" i="14"/>
  <c r="K121" i="14"/>
  <c r="K52" i="14"/>
  <c r="K137" i="14"/>
  <c r="K125" i="14"/>
  <c r="K72" i="14"/>
  <c r="K56" i="14"/>
  <c r="K60" i="14"/>
  <c r="K80" i="14"/>
  <c r="K64" i="14"/>
  <c r="K25" i="14"/>
  <c r="K84" i="14"/>
  <c r="K133" i="14"/>
  <c r="K88" i="14"/>
  <c r="K68" i="14"/>
  <c r="K97" i="14"/>
  <c r="K101" i="14"/>
  <c r="K44" i="14"/>
  <c r="K105" i="14"/>
  <c r="K84" i="7"/>
  <c r="K137" i="7"/>
  <c r="K125" i="7"/>
  <c r="K72" i="7"/>
  <c r="K80" i="7"/>
  <c r="H133" i="4"/>
  <c r="H113" i="4"/>
  <c r="K133" i="7"/>
  <c r="K121" i="7"/>
  <c r="H134" i="4"/>
  <c r="H114" i="4"/>
  <c r="K88" i="7"/>
  <c r="H135" i="4"/>
  <c r="H115" i="4"/>
  <c r="K68" i="7"/>
  <c r="H136" i="4"/>
  <c r="H116" i="4"/>
  <c r="H137" i="4"/>
  <c r="H117" i="4"/>
  <c r="K141" i="7"/>
  <c r="K129" i="7"/>
  <c r="K76" i="7"/>
  <c r="H138" i="4"/>
  <c r="H118" i="4"/>
  <c r="H112" i="4"/>
  <c r="K115" i="14" s="1"/>
  <c r="H111" i="4"/>
  <c r="K111" i="14" s="1"/>
  <c r="F106" i="12"/>
  <c r="H106" i="12" s="1"/>
  <c r="I104" i="12"/>
  <c r="G104" i="12"/>
  <c r="H104" i="12"/>
  <c r="H110" i="12" s="1"/>
  <c r="F110" i="12"/>
  <c r="K82" i="14" l="1"/>
  <c r="K82" i="7"/>
  <c r="K66" i="14"/>
  <c r="K66" i="7"/>
  <c r="K135" i="14"/>
  <c r="K135" i="7"/>
  <c r="K127" i="14"/>
  <c r="K127" i="7"/>
  <c r="K74" i="14"/>
  <c r="K74" i="7"/>
  <c r="K119" i="14"/>
  <c r="K119" i="7"/>
  <c r="K139" i="14"/>
  <c r="K139" i="7"/>
  <c r="K70" i="14"/>
  <c r="K70" i="7"/>
  <c r="K131" i="14"/>
  <c r="K131" i="7"/>
  <c r="K78" i="14"/>
  <c r="K78" i="7"/>
  <c r="K86" i="14"/>
  <c r="K86" i="7"/>
  <c r="K123" i="14"/>
  <c r="K123" i="7"/>
  <c r="G106" i="12"/>
  <c r="G109" i="12" s="1"/>
  <c r="I106" i="12"/>
  <c r="I109" i="12" s="1"/>
  <c r="F109" i="12"/>
  <c r="G110" i="12"/>
  <c r="I110" i="12"/>
  <c r="H109" i="12"/>
  <c r="P93" i="10"/>
  <c r="O93" i="10"/>
  <c r="P68" i="10"/>
  <c r="P67" i="10"/>
  <c r="O58" i="10"/>
  <c r="O59" i="10"/>
  <c r="O60" i="10"/>
  <c r="O61" i="10"/>
  <c r="O62" i="10"/>
  <c r="O63" i="10"/>
  <c r="O64" i="10"/>
  <c r="O65" i="10"/>
  <c r="O66" i="10"/>
  <c r="O67" i="10"/>
  <c r="O68" i="10"/>
  <c r="O69" i="10"/>
  <c r="O70" i="10"/>
  <c r="O71" i="10"/>
  <c r="O72" i="10"/>
  <c r="O73" i="10"/>
  <c r="O74" i="10"/>
  <c r="O75" i="10"/>
  <c r="O76" i="10"/>
  <c r="O77" i="10"/>
  <c r="O78" i="10"/>
  <c r="O79" i="10"/>
  <c r="O57" i="10"/>
  <c r="AB58" i="10" l="1"/>
  <c r="AB59" i="10"/>
  <c r="AB60" i="10"/>
  <c r="AB61" i="10"/>
  <c r="AB62" i="10"/>
  <c r="AB63" i="10"/>
  <c r="AB64" i="10"/>
  <c r="AB65" i="10"/>
  <c r="AB66" i="10"/>
  <c r="AB67" i="10"/>
  <c r="AB68" i="10"/>
  <c r="AB69" i="10"/>
  <c r="AB70" i="10"/>
  <c r="AB71" i="10"/>
  <c r="AB72" i="10"/>
  <c r="AB73" i="10"/>
  <c r="AB74" i="10"/>
  <c r="AB75" i="10"/>
  <c r="AB76" i="10"/>
  <c r="AB77" i="10"/>
  <c r="AB78" i="10"/>
  <c r="AB79" i="10"/>
  <c r="AB57" i="10"/>
  <c r="V58" i="10"/>
  <c r="V59" i="10"/>
  <c r="V60" i="10"/>
  <c r="V61" i="10"/>
  <c r="V62" i="10"/>
  <c r="V63" i="10"/>
  <c r="V64" i="10"/>
  <c r="V65" i="10"/>
  <c r="V66" i="10"/>
  <c r="V67" i="10"/>
  <c r="V68" i="10"/>
  <c r="V69" i="10"/>
  <c r="V70" i="10"/>
  <c r="V71" i="10"/>
  <c r="V72" i="10"/>
  <c r="V73" i="10"/>
  <c r="V74" i="10"/>
  <c r="V75" i="10"/>
  <c r="V76" i="10"/>
  <c r="V77" i="10"/>
  <c r="V78" i="10"/>
  <c r="V79" i="10"/>
  <c r="V57" i="10"/>
  <c r="AA58" i="10"/>
  <c r="AC58" i="10" s="1"/>
  <c r="AA59" i="10"/>
  <c r="AC59" i="10" s="1"/>
  <c r="AA60" i="10"/>
  <c r="AA61" i="10"/>
  <c r="AA62" i="10"/>
  <c r="AA63" i="10"/>
  <c r="AA64" i="10"/>
  <c r="AA65" i="10"/>
  <c r="AA66" i="10"/>
  <c r="AA67" i="10"/>
  <c r="AA68" i="10"/>
  <c r="AA69" i="10"/>
  <c r="AA70" i="10"/>
  <c r="AC70" i="10" s="1"/>
  <c r="AA71" i="10"/>
  <c r="AC71" i="10" s="1"/>
  <c r="AA72" i="10"/>
  <c r="AA73" i="10"/>
  <c r="AA74" i="10"/>
  <c r="AA75" i="10"/>
  <c r="AA76" i="10"/>
  <c r="AA77" i="10"/>
  <c r="AA78" i="10"/>
  <c r="AA79" i="10"/>
  <c r="AA57" i="10"/>
  <c r="U58" i="10"/>
  <c r="U59" i="10"/>
  <c r="U60" i="10"/>
  <c r="U61" i="10"/>
  <c r="U62" i="10"/>
  <c r="U63" i="10"/>
  <c r="U64" i="10"/>
  <c r="U65" i="10"/>
  <c r="U66" i="10"/>
  <c r="U67" i="10"/>
  <c r="U68" i="10"/>
  <c r="U69" i="10"/>
  <c r="U70" i="10"/>
  <c r="U71" i="10"/>
  <c r="U72" i="10"/>
  <c r="U73" i="10"/>
  <c r="U74" i="10"/>
  <c r="U75" i="10"/>
  <c r="U76" i="10"/>
  <c r="U77" i="10"/>
  <c r="U78" i="10"/>
  <c r="U79" i="10"/>
  <c r="U57" i="10"/>
  <c r="Z64" i="10"/>
  <c r="Z65" i="10"/>
  <c r="Z67" i="10"/>
  <c r="Z68" i="10"/>
  <c r="Z69" i="10"/>
  <c r="Z70" i="10"/>
  <c r="Z71" i="10"/>
  <c r="Z72" i="10"/>
  <c r="Z73" i="10"/>
  <c r="Z74" i="10"/>
  <c r="Z75" i="10"/>
  <c r="Z76" i="10"/>
  <c r="Z77" i="10"/>
  <c r="Z78" i="10"/>
  <c r="Z79" i="10"/>
  <c r="T79" i="10"/>
  <c r="T64" i="10"/>
  <c r="T65" i="10"/>
  <c r="T67" i="10"/>
  <c r="T68" i="10"/>
  <c r="T69" i="10"/>
  <c r="T70" i="10"/>
  <c r="T71" i="10"/>
  <c r="T72" i="10"/>
  <c r="T73" i="10"/>
  <c r="T74" i="10"/>
  <c r="T75" i="10"/>
  <c r="T76" i="10"/>
  <c r="T77" i="10"/>
  <c r="T78" i="10"/>
  <c r="N64" i="10"/>
  <c r="N65" i="10"/>
  <c r="N67" i="10"/>
  <c r="N68" i="10"/>
  <c r="N69" i="10"/>
  <c r="N70" i="10"/>
  <c r="N71" i="10"/>
  <c r="N72" i="10"/>
  <c r="N73" i="10"/>
  <c r="N74" i="10"/>
  <c r="N75" i="10"/>
  <c r="N76" i="10"/>
  <c r="N77" i="10"/>
  <c r="N78" i="10"/>
  <c r="N79" i="10"/>
  <c r="W78" i="10" l="1"/>
  <c r="AC77" i="10"/>
  <c r="Y77" i="10" s="1"/>
  <c r="AC65" i="10"/>
  <c r="AC76" i="10"/>
  <c r="Y76" i="10" s="1"/>
  <c r="AC79" i="10"/>
  <c r="Y79" i="10" s="1"/>
  <c r="AC67" i="10"/>
  <c r="Y67" i="10" s="1"/>
  <c r="AC69" i="10"/>
  <c r="Y69" i="10" s="1"/>
  <c r="AC73" i="10"/>
  <c r="Y73" i="10" s="1"/>
  <c r="AC68" i="10"/>
  <c r="Y68" i="10" s="1"/>
  <c r="AC78" i="10"/>
  <c r="Y78" i="10" s="1"/>
  <c r="AC66" i="10"/>
  <c r="AC64" i="10"/>
  <c r="AC75" i="10"/>
  <c r="Y75" i="10" s="1"/>
  <c r="AC63" i="10"/>
  <c r="AC74" i="10"/>
  <c r="Y74" i="10" s="1"/>
  <c r="AC62" i="10"/>
  <c r="AC57" i="10"/>
  <c r="AC61" i="10"/>
  <c r="AC72" i="10"/>
  <c r="Y72" i="10" s="1"/>
  <c r="AC60" i="10"/>
  <c r="W73" i="10"/>
  <c r="S73" i="10" s="1"/>
  <c r="W70" i="10"/>
  <c r="S70" i="10" s="1"/>
  <c r="W74" i="10"/>
  <c r="S74" i="10" s="1"/>
  <c r="W69" i="10"/>
  <c r="S69" i="10" s="1"/>
  <c r="W77" i="10"/>
  <c r="S77" i="10" s="1"/>
  <c r="W76" i="10"/>
  <c r="S76" i="10" s="1"/>
  <c r="W72" i="10"/>
  <c r="S72" i="10" s="1"/>
  <c r="W68" i="10"/>
  <c r="S68" i="10" s="1"/>
  <c r="Y71" i="10"/>
  <c r="W79" i="10"/>
  <c r="S79" i="10" s="1"/>
  <c r="W75" i="10"/>
  <c r="S75" i="10" s="1"/>
  <c r="W71" i="10"/>
  <c r="S71" i="10" s="1"/>
  <c r="W67" i="10"/>
  <c r="S67" i="10" s="1"/>
  <c r="Y70" i="10"/>
  <c r="S78" i="10"/>
  <c r="P77" i="10" l="1"/>
  <c r="P78" i="10"/>
  <c r="P79" i="10"/>
  <c r="Q79" i="10" s="1"/>
  <c r="M79" i="10" s="1"/>
  <c r="P69" i="10"/>
  <c r="P70" i="10"/>
  <c r="P71" i="10"/>
  <c r="P72" i="10"/>
  <c r="Q72" i="10" s="1"/>
  <c r="M72" i="10" s="1"/>
  <c r="P73" i="10"/>
  <c r="P74" i="10"/>
  <c r="P75" i="10"/>
  <c r="P76" i="10"/>
  <c r="P57" i="10"/>
  <c r="P58" i="10"/>
  <c r="P59" i="10"/>
  <c r="P60" i="10"/>
  <c r="P61" i="10"/>
  <c r="P62" i="10"/>
  <c r="P63" i="10"/>
  <c r="P64" i="10"/>
  <c r="P65" i="10"/>
  <c r="P66" i="10"/>
  <c r="Q70" i="10" l="1"/>
  <c r="M70" i="10" s="1"/>
  <c r="Q68" i="10"/>
  <c r="M68" i="10" s="1"/>
  <c r="Q73" i="10"/>
  <c r="M73" i="10" s="1"/>
  <c r="Q71" i="10"/>
  <c r="M71" i="10" s="1"/>
  <c r="Q69" i="10"/>
  <c r="M69" i="10" s="1"/>
  <c r="Q67" i="10"/>
  <c r="Q78" i="10"/>
  <c r="M78" i="10" s="1"/>
  <c r="Q74" i="10"/>
  <c r="M74" i="10" s="1"/>
  <c r="Q75" i="10"/>
  <c r="M75" i="10" s="1"/>
  <c r="Q76" i="10"/>
  <c r="M76" i="10" s="1"/>
  <c r="Q77" i="10"/>
  <c r="M77" i="10" s="1"/>
  <c r="M67" i="10" l="1"/>
  <c r="B32" i="10"/>
  <c r="B33" i="10"/>
  <c r="B36" i="10"/>
  <c r="B31" i="10"/>
  <c r="B30" i="10"/>
  <c r="B29" i="10"/>
  <c r="B27" i="10"/>
  <c r="B28" i="10"/>
  <c r="N62" i="10" l="1"/>
  <c r="Z62" i="10"/>
  <c r="T62" i="10"/>
  <c r="N58" i="10"/>
  <c r="Z58" i="10"/>
  <c r="T58" i="10"/>
  <c r="N61" i="10"/>
  <c r="Z61" i="10"/>
  <c r="T61" i="10"/>
  <c r="N60" i="10"/>
  <c r="T60" i="10"/>
  <c r="Z60" i="10"/>
  <c r="N57" i="10"/>
  <c r="Z57" i="10"/>
  <c r="T57" i="10"/>
  <c r="N66" i="10"/>
  <c r="Z66" i="10"/>
  <c r="T66" i="10"/>
  <c r="N59" i="10"/>
  <c r="T59" i="10"/>
  <c r="Z59" i="10"/>
  <c r="N63" i="10"/>
  <c r="T63" i="10"/>
  <c r="Z63" i="10"/>
  <c r="H57" i="7" l="1"/>
  <c r="H65" i="7"/>
  <c r="H45" i="7"/>
  <c r="H33" i="7"/>
  <c r="H53" i="7"/>
  <c r="H114" i="7"/>
  <c r="H102" i="7"/>
  <c r="H110" i="7"/>
  <c r="H106" i="7"/>
  <c r="H118" i="7"/>
  <c r="H98" i="7"/>
  <c r="H61" i="7"/>
  <c r="H49" i="7"/>
  <c r="E107" i="4" l="1"/>
  <c r="H60" i="7"/>
  <c r="E132" i="4"/>
  <c r="E112" i="4"/>
  <c r="H64" i="7"/>
  <c r="E130" i="4"/>
  <c r="H48" i="7"/>
  <c r="H105" i="7"/>
  <c r="H117" i="7"/>
  <c r="H101" i="7"/>
  <c r="H97" i="7"/>
  <c r="H56" i="7"/>
  <c r="E128" i="4"/>
  <c r="E108" i="4"/>
  <c r="H109" i="7"/>
  <c r="H52" i="7"/>
  <c r="E131" i="4"/>
  <c r="E111" i="4"/>
  <c r="E110" i="4"/>
  <c r="E129" i="4"/>
  <c r="E109" i="4"/>
  <c r="E127" i="4"/>
  <c r="E126" i="4"/>
  <c r="H44" i="7"/>
  <c r="H62" i="7" l="1"/>
  <c r="H62" i="14"/>
  <c r="H54" i="7"/>
  <c r="H54" i="14"/>
  <c r="H58" i="7"/>
  <c r="H58" i="14"/>
  <c r="H42" i="7"/>
  <c r="H42" i="14"/>
  <c r="H50" i="7"/>
  <c r="H50" i="14"/>
  <c r="H46" i="7"/>
  <c r="H46" i="14"/>
  <c r="H30" i="7"/>
  <c r="H34" i="7" s="1"/>
  <c r="H36" i="7" s="1"/>
  <c r="H30" i="14"/>
  <c r="H111" i="7"/>
  <c r="H111" i="14"/>
  <c r="H115" i="7"/>
  <c r="H115" i="14"/>
  <c r="H99" i="7"/>
  <c r="H99" i="14"/>
  <c r="H103" i="7"/>
  <c r="H103" i="14"/>
  <c r="H107" i="7"/>
  <c r="H107" i="14"/>
  <c r="H95" i="7"/>
  <c r="H95" i="14"/>
  <c r="H90" i="7" l="1"/>
  <c r="H150" i="7"/>
  <c r="H143" i="14"/>
  <c r="H90" i="14"/>
  <c r="H143" i="7"/>
  <c r="H34" i="14"/>
  <c r="H36" i="14" s="1"/>
  <c r="H150" i="14"/>
  <c r="I49" i="7"/>
  <c r="I53" i="7"/>
  <c r="I118" i="7"/>
  <c r="I102" i="7"/>
  <c r="I33" i="7"/>
  <c r="I114" i="7"/>
  <c r="I61" i="7"/>
  <c r="I98" i="7"/>
  <c r="I110" i="7"/>
  <c r="I106" i="7"/>
  <c r="I57" i="7"/>
  <c r="I45" i="7"/>
  <c r="I65" i="7"/>
  <c r="F34" i="4"/>
  <c r="F36" i="4" s="1"/>
  <c r="H145" i="7" l="1"/>
  <c r="H152" i="7" s="1"/>
  <c r="I101" i="14"/>
  <c r="I105" i="14"/>
  <c r="I141" i="14"/>
  <c r="I129" i="14"/>
  <c r="I109" i="14"/>
  <c r="I32" i="14"/>
  <c r="I113" i="14"/>
  <c r="I44" i="14"/>
  <c r="I52" i="14"/>
  <c r="I117" i="14"/>
  <c r="I48" i="14"/>
  <c r="I121" i="14"/>
  <c r="I137" i="14"/>
  <c r="I125" i="14"/>
  <c r="I72" i="14"/>
  <c r="I56" i="14"/>
  <c r="I76" i="14"/>
  <c r="I60" i="14"/>
  <c r="I80" i="14"/>
  <c r="I64" i="14"/>
  <c r="I25" i="14"/>
  <c r="I84" i="14"/>
  <c r="I133" i="14"/>
  <c r="I88" i="14"/>
  <c r="I68" i="14"/>
  <c r="I97" i="14"/>
  <c r="I137" i="7"/>
  <c r="I125" i="7"/>
  <c r="I72" i="7"/>
  <c r="I80" i="7"/>
  <c r="I133" i="7"/>
  <c r="I121" i="7"/>
  <c r="I88" i="7"/>
  <c r="F133" i="4"/>
  <c r="F113" i="4"/>
  <c r="I68" i="7"/>
  <c r="F134" i="4"/>
  <c r="F114" i="4"/>
  <c r="F135" i="4"/>
  <c r="F115" i="4"/>
  <c r="I141" i="7"/>
  <c r="I129" i="7"/>
  <c r="I76" i="7"/>
  <c r="F136" i="4"/>
  <c r="F116" i="4"/>
  <c r="F137" i="4"/>
  <c r="F117" i="4"/>
  <c r="I84" i="7"/>
  <c r="F138" i="4"/>
  <c r="F118" i="4"/>
  <c r="H145" i="14"/>
  <c r="H152" i="14" s="1"/>
  <c r="F126" i="4"/>
  <c r="F127" i="4"/>
  <c r="I117" i="7"/>
  <c r="I64" i="7"/>
  <c r="I32" i="7"/>
  <c r="I97" i="7"/>
  <c r="F130" i="4"/>
  <c r="F108" i="4"/>
  <c r="I25" i="7"/>
  <c r="I109" i="7"/>
  <c r="I60" i="7"/>
  <c r="I52" i="7"/>
  <c r="I101" i="7"/>
  <c r="F132" i="4"/>
  <c r="F111" i="4"/>
  <c r="F128" i="4"/>
  <c r="F107" i="4"/>
  <c r="I56" i="7"/>
  <c r="I113" i="7"/>
  <c r="I48" i="7"/>
  <c r="F131" i="4"/>
  <c r="F110" i="4"/>
  <c r="F112" i="4"/>
  <c r="F109" i="4"/>
  <c r="F129" i="4"/>
  <c r="I44" i="7"/>
  <c r="I105" i="7"/>
  <c r="I82" i="14" l="1"/>
  <c r="I82" i="7"/>
  <c r="I74" i="14"/>
  <c r="I74" i="7"/>
  <c r="I119" i="14"/>
  <c r="I119" i="7"/>
  <c r="I131" i="14"/>
  <c r="I131" i="7"/>
  <c r="I127" i="14"/>
  <c r="I127" i="7"/>
  <c r="I139" i="14"/>
  <c r="I139" i="7"/>
  <c r="I123" i="14"/>
  <c r="I123" i="7"/>
  <c r="I135" i="14"/>
  <c r="I135" i="7"/>
  <c r="I66" i="14"/>
  <c r="I66" i="7"/>
  <c r="I78" i="14"/>
  <c r="I78" i="7"/>
  <c r="I86" i="14"/>
  <c r="I86" i="7"/>
  <c r="I70" i="14"/>
  <c r="I70" i="7"/>
  <c r="I54" i="7"/>
  <c r="I54" i="14"/>
  <c r="I58" i="7"/>
  <c r="I58" i="14"/>
  <c r="I50" i="7"/>
  <c r="I50" i="14"/>
  <c r="I46" i="7"/>
  <c r="I46" i="14"/>
  <c r="I62" i="7"/>
  <c r="I62" i="14"/>
  <c r="I42" i="7"/>
  <c r="I42" i="14"/>
  <c r="I30" i="7"/>
  <c r="I150" i="7" s="1"/>
  <c r="I30" i="14"/>
  <c r="I99" i="7"/>
  <c r="I99" i="14"/>
  <c r="I107" i="7"/>
  <c r="I107" i="14"/>
  <c r="I111" i="7"/>
  <c r="I111" i="14"/>
  <c r="I103" i="7"/>
  <c r="I103" i="14"/>
  <c r="I115" i="7"/>
  <c r="I115" i="14"/>
  <c r="I95" i="7"/>
  <c r="I95" i="14"/>
  <c r="I34" i="7" l="1"/>
  <c r="I36" i="7" s="1"/>
  <c r="I90" i="7"/>
  <c r="I90" i="14"/>
  <c r="I143" i="14"/>
  <c r="I143" i="7"/>
  <c r="I150" i="14"/>
  <c r="I34" i="14"/>
  <c r="I36" i="14" s="1"/>
  <c r="I145" i="7" l="1"/>
  <c r="I152" i="7" s="1"/>
  <c r="I145" i="14"/>
  <c r="I152" i="14" s="1"/>
  <c r="K53" i="7"/>
  <c r="K57" i="7"/>
  <c r="K49" i="7"/>
  <c r="K45" i="7"/>
  <c r="K114" i="7"/>
  <c r="K106" i="7"/>
  <c r="K65" i="7"/>
  <c r="K110" i="7"/>
  <c r="K118" i="7"/>
  <c r="K33" i="7"/>
  <c r="K102" i="7"/>
  <c r="K61" i="7"/>
  <c r="K98" i="7"/>
  <c r="J114" i="7"/>
  <c r="J65" i="7"/>
  <c r="J49" i="7"/>
  <c r="J45" i="7"/>
  <c r="J61" i="7"/>
  <c r="J118" i="7"/>
  <c r="J110" i="7"/>
  <c r="J98" i="7"/>
  <c r="J102" i="7"/>
  <c r="J33" i="7"/>
  <c r="J57" i="7"/>
  <c r="J106" i="7"/>
  <c r="J53" i="7"/>
  <c r="G34" i="4"/>
  <c r="G36" i="4" s="1"/>
  <c r="J105" i="14" l="1"/>
  <c r="J141" i="14"/>
  <c r="J129" i="14"/>
  <c r="J109" i="14"/>
  <c r="J113" i="14"/>
  <c r="J44" i="14"/>
  <c r="J56" i="14"/>
  <c r="J117" i="14"/>
  <c r="J48" i="14"/>
  <c r="J72" i="14"/>
  <c r="J121" i="14"/>
  <c r="J52" i="14"/>
  <c r="J25" i="14"/>
  <c r="J137" i="14"/>
  <c r="J125" i="14"/>
  <c r="J76" i="14"/>
  <c r="J60" i="14"/>
  <c r="J80" i="14"/>
  <c r="J64" i="14"/>
  <c r="J84" i="14"/>
  <c r="J68" i="14"/>
  <c r="J133" i="14"/>
  <c r="J88" i="14"/>
  <c r="J97" i="14"/>
  <c r="J101" i="14"/>
  <c r="J32" i="14"/>
  <c r="G134" i="4"/>
  <c r="G114" i="4"/>
  <c r="J137" i="7"/>
  <c r="J125" i="7"/>
  <c r="G135" i="4"/>
  <c r="G115" i="4"/>
  <c r="J72" i="7"/>
  <c r="G136" i="4"/>
  <c r="G116" i="4"/>
  <c r="G137" i="4"/>
  <c r="G117" i="4"/>
  <c r="J80" i="7"/>
  <c r="G138" i="4"/>
  <c r="G118" i="4"/>
  <c r="G113" i="4"/>
  <c r="J133" i="7"/>
  <c r="J121" i="7"/>
  <c r="J84" i="7"/>
  <c r="J88" i="7"/>
  <c r="G133" i="4"/>
  <c r="J68" i="7"/>
  <c r="J141" i="7"/>
  <c r="J129" i="7"/>
  <c r="J76" i="7"/>
  <c r="G111" i="4"/>
  <c r="G112" i="4"/>
  <c r="K111" i="7"/>
  <c r="H107" i="4"/>
  <c r="H110" i="4"/>
  <c r="H109" i="4"/>
  <c r="K115" i="7"/>
  <c r="H108" i="4"/>
  <c r="G110" i="4"/>
  <c r="G108" i="4"/>
  <c r="G109" i="4"/>
  <c r="G107" i="4"/>
  <c r="K48" i="7"/>
  <c r="K113" i="7"/>
  <c r="K105" i="7"/>
  <c r="K60" i="7"/>
  <c r="H130" i="4"/>
  <c r="H126" i="4"/>
  <c r="K64" i="7"/>
  <c r="K117" i="7"/>
  <c r="K25" i="7"/>
  <c r="K52" i="7"/>
  <c r="H129" i="4"/>
  <c r="H127" i="4"/>
  <c r="H132" i="4"/>
  <c r="K97" i="7"/>
  <c r="K109" i="7"/>
  <c r="K44" i="7"/>
  <c r="H131" i="4"/>
  <c r="K101" i="7"/>
  <c r="K32" i="7"/>
  <c r="K56" i="7"/>
  <c r="H128" i="4"/>
  <c r="J52" i="7"/>
  <c r="J105" i="7"/>
  <c r="J101" i="7"/>
  <c r="J117" i="7"/>
  <c r="G132" i="4"/>
  <c r="J25" i="7"/>
  <c r="J56" i="7"/>
  <c r="J60" i="7"/>
  <c r="J44" i="7"/>
  <c r="G130" i="4"/>
  <c r="G131" i="4"/>
  <c r="G126" i="4"/>
  <c r="G127" i="4"/>
  <c r="J97" i="7"/>
  <c r="J109" i="7"/>
  <c r="J113" i="7"/>
  <c r="J48" i="7"/>
  <c r="J32" i="7"/>
  <c r="J64" i="7"/>
  <c r="G129" i="4"/>
  <c r="G128" i="4"/>
  <c r="J66" i="14" l="1"/>
  <c r="J66" i="7"/>
  <c r="J127" i="14"/>
  <c r="J127" i="7"/>
  <c r="J82" i="14"/>
  <c r="J82" i="7"/>
  <c r="J78" i="14"/>
  <c r="J78" i="7"/>
  <c r="J119" i="14"/>
  <c r="J119" i="7"/>
  <c r="J139" i="14"/>
  <c r="J139" i="7"/>
  <c r="J123" i="14"/>
  <c r="J123" i="7"/>
  <c r="J74" i="14"/>
  <c r="J74" i="7"/>
  <c r="J86" i="14"/>
  <c r="J86" i="7"/>
  <c r="J70" i="14"/>
  <c r="J70" i="7"/>
  <c r="J131" i="14"/>
  <c r="J131" i="7"/>
  <c r="J135" i="14"/>
  <c r="J135" i="7"/>
  <c r="J46" i="7"/>
  <c r="J46" i="14"/>
  <c r="J50" i="7"/>
  <c r="J50" i="14"/>
  <c r="K54" i="7"/>
  <c r="K54" i="14"/>
  <c r="J42" i="7"/>
  <c r="J42" i="14"/>
  <c r="K50" i="7"/>
  <c r="K50" i="14"/>
  <c r="K42" i="7"/>
  <c r="K42" i="14"/>
  <c r="K58" i="7"/>
  <c r="K58" i="14"/>
  <c r="K46" i="7"/>
  <c r="K46" i="14"/>
  <c r="J58" i="7"/>
  <c r="J58" i="14"/>
  <c r="J62" i="7"/>
  <c r="J62" i="14"/>
  <c r="J54" i="7"/>
  <c r="J54" i="14"/>
  <c r="K62" i="7"/>
  <c r="K62" i="14"/>
  <c r="K30" i="7"/>
  <c r="K34" i="7" s="1"/>
  <c r="K36" i="7" s="1"/>
  <c r="K30" i="14"/>
  <c r="J30" i="7"/>
  <c r="J150" i="7" s="1"/>
  <c r="J30" i="14"/>
  <c r="J103" i="7"/>
  <c r="J103" i="14"/>
  <c r="K95" i="7"/>
  <c r="K95" i="14"/>
  <c r="J115" i="7"/>
  <c r="J115" i="14"/>
  <c r="K107" i="7"/>
  <c r="K107" i="14"/>
  <c r="J111" i="7"/>
  <c r="J111" i="14"/>
  <c r="J99" i="7"/>
  <c r="J99" i="14"/>
  <c r="J107" i="7"/>
  <c r="J107" i="14"/>
  <c r="K99" i="7"/>
  <c r="K99" i="14"/>
  <c r="J95" i="7"/>
  <c r="J95" i="14"/>
  <c r="K103" i="7"/>
  <c r="K103" i="14"/>
  <c r="K150" i="7" l="1"/>
  <c r="K90" i="7"/>
  <c r="J34" i="7"/>
  <c r="J36" i="7" s="1"/>
  <c r="K90" i="14"/>
  <c r="J90" i="7"/>
  <c r="J90" i="14"/>
  <c r="J143" i="14"/>
  <c r="J143" i="7"/>
  <c r="K143" i="14"/>
  <c r="J150" i="14"/>
  <c r="J34" i="14"/>
  <c r="J36" i="14" s="1"/>
  <c r="K150" i="14"/>
  <c r="K34" i="14"/>
  <c r="K36" i="14" s="1"/>
  <c r="K143" i="7"/>
  <c r="K145" i="7" l="1"/>
  <c r="K152" i="7" s="1"/>
  <c r="J145" i="7"/>
  <c r="J152" i="7" s="1"/>
  <c r="J145" i="14"/>
  <c r="J152" i="14" s="1"/>
  <c r="K145" i="14"/>
  <c r="K152" i="14" s="1"/>
  <c r="L65" i="7"/>
  <c r="L98" i="7"/>
  <c r="L33" i="7"/>
  <c r="L102" i="7"/>
  <c r="L110" i="7"/>
  <c r="L106" i="7"/>
  <c r="L49" i="7"/>
  <c r="L53" i="7"/>
  <c r="L114" i="7"/>
  <c r="L118" i="7"/>
  <c r="L45" i="7"/>
  <c r="L57" i="7"/>
  <c r="L61" i="7"/>
  <c r="I34" i="4"/>
  <c r="I36" i="4" s="1"/>
  <c r="L113" i="14" l="1"/>
  <c r="L44" i="14"/>
  <c r="L117" i="14"/>
  <c r="L48" i="14"/>
  <c r="L121" i="14"/>
  <c r="L52" i="14"/>
  <c r="L137" i="14"/>
  <c r="L125" i="14"/>
  <c r="L72" i="14"/>
  <c r="L56" i="14"/>
  <c r="L80" i="14"/>
  <c r="L64" i="14"/>
  <c r="L76" i="14"/>
  <c r="L60" i="14"/>
  <c r="L25" i="14"/>
  <c r="N25" i="14" s="1"/>
  <c r="L84" i="14"/>
  <c r="L133" i="14"/>
  <c r="L88" i="14"/>
  <c r="L68" i="14"/>
  <c r="L97" i="14"/>
  <c r="L101" i="14"/>
  <c r="L105" i="14"/>
  <c r="L141" i="14"/>
  <c r="L129" i="14"/>
  <c r="L109" i="14"/>
  <c r="L32" i="14"/>
  <c r="I134" i="4"/>
  <c r="I114" i="4"/>
  <c r="L84" i="7"/>
  <c r="I135" i="4"/>
  <c r="I115" i="4"/>
  <c r="I136" i="4"/>
  <c r="I116" i="4"/>
  <c r="L76" i="7"/>
  <c r="L137" i="7"/>
  <c r="L125" i="7"/>
  <c r="I137" i="4"/>
  <c r="I117" i="4"/>
  <c r="L72" i="7"/>
  <c r="I138" i="4"/>
  <c r="I118" i="4"/>
  <c r="I113" i="4"/>
  <c r="L80" i="7"/>
  <c r="L141" i="7"/>
  <c r="L133" i="7"/>
  <c r="L121" i="7"/>
  <c r="L88" i="7"/>
  <c r="L68" i="7"/>
  <c r="L129" i="7"/>
  <c r="I133" i="4"/>
  <c r="L60" i="7"/>
  <c r="L109" i="7"/>
  <c r="L105" i="7"/>
  <c r="I127" i="4"/>
  <c r="I107" i="4"/>
  <c r="I131" i="4"/>
  <c r="I108" i="4"/>
  <c r="L101" i="7"/>
  <c r="L44" i="7"/>
  <c r="I109" i="4"/>
  <c r="I129" i="4"/>
  <c r="L113" i="7"/>
  <c r="L117" i="7"/>
  <c r="L48" i="7"/>
  <c r="I132" i="4"/>
  <c r="I130" i="4"/>
  <c r="I111" i="4"/>
  <c r="L52" i="7"/>
  <c r="L25" i="7"/>
  <c r="I112" i="4"/>
  <c r="L56" i="7"/>
  <c r="L32" i="7"/>
  <c r="L64" i="7"/>
  <c r="L97" i="7"/>
  <c r="I128" i="4"/>
  <c r="I110" i="4"/>
  <c r="I126" i="4"/>
  <c r="L74" i="14" l="1"/>
  <c r="L74" i="7"/>
  <c r="L131" i="14"/>
  <c r="L131" i="7"/>
  <c r="L127" i="14"/>
  <c r="L127" i="7"/>
  <c r="L123" i="14"/>
  <c r="L123" i="7"/>
  <c r="L139" i="14"/>
  <c r="L139" i="7"/>
  <c r="L70" i="14"/>
  <c r="L70" i="7"/>
  <c r="L86" i="14"/>
  <c r="L86" i="7"/>
  <c r="L66" i="14"/>
  <c r="L66" i="7"/>
  <c r="L135" i="14"/>
  <c r="L135" i="7"/>
  <c r="L78" i="14"/>
  <c r="L78" i="7"/>
  <c r="L119" i="14"/>
  <c r="L119" i="7"/>
  <c r="L82" i="14"/>
  <c r="L82" i="7"/>
  <c r="L58" i="7"/>
  <c r="L58" i="14"/>
  <c r="L50" i="7"/>
  <c r="L50" i="14"/>
  <c r="L42" i="7"/>
  <c r="L42" i="14"/>
  <c r="L62" i="7"/>
  <c r="L62" i="14"/>
  <c r="L54" i="7"/>
  <c r="L54" i="14"/>
  <c r="L46" i="7"/>
  <c r="L46" i="14"/>
  <c r="L30" i="7"/>
  <c r="L150" i="7" s="1"/>
  <c r="L30" i="14"/>
  <c r="L95" i="7"/>
  <c r="L95" i="14"/>
  <c r="L111" i="7"/>
  <c r="L111" i="14"/>
  <c r="L103" i="7"/>
  <c r="L103" i="14"/>
  <c r="L107" i="7"/>
  <c r="L107" i="14"/>
  <c r="L115" i="7"/>
  <c r="L115" i="14"/>
  <c r="L99" i="7"/>
  <c r="L99" i="14"/>
  <c r="N25" i="7"/>
  <c r="L34" i="7" l="1"/>
  <c r="L36" i="7" s="1"/>
  <c r="N36" i="7" s="1"/>
  <c r="L90" i="7"/>
  <c r="N90" i="7" s="1"/>
  <c r="L90" i="14"/>
  <c r="N90" i="14" s="1"/>
  <c r="L150" i="14"/>
  <c r="L34" i="14"/>
  <c r="L36" i="14" s="1"/>
  <c r="N36" i="14" s="1"/>
  <c r="L143" i="14"/>
  <c r="L143" i="7"/>
  <c r="N143" i="7" s="1"/>
  <c r="Q66" i="10"/>
  <c r="Q65" i="10"/>
  <c r="Q62" i="10"/>
  <c r="Q63" i="10"/>
  <c r="Q64" i="10"/>
  <c r="Q61" i="10"/>
  <c r="Q59" i="10"/>
  <c r="Q60" i="10"/>
  <c r="Q58" i="10"/>
  <c r="Q57" i="10"/>
  <c r="L145" i="7" l="1"/>
  <c r="L152" i="7" s="1"/>
  <c r="N152" i="7" s="1"/>
  <c r="L145" i="14"/>
  <c r="N143" i="14"/>
  <c r="M60" i="10"/>
  <c r="M63" i="10"/>
  <c r="M62" i="10"/>
  <c r="M65" i="10"/>
  <c r="M57" i="10"/>
  <c r="M59" i="10"/>
  <c r="M58" i="10"/>
  <c r="M61" i="10"/>
  <c r="M64" i="10"/>
  <c r="M66" i="10"/>
  <c r="N145" i="7" l="1"/>
  <c r="L152" i="14"/>
  <c r="N152" i="14" s="1"/>
  <c r="N145" i="14"/>
  <c r="W65" i="10"/>
  <c r="W66" i="10"/>
  <c r="S66" i="10" s="1"/>
  <c r="W63" i="10"/>
  <c r="W64" i="10"/>
  <c r="W61" i="10"/>
  <c r="W62" i="10"/>
  <c r="W59" i="10"/>
  <c r="W60" i="10"/>
  <c r="W57" i="10"/>
  <c r="W58" i="10"/>
  <c r="N84" i="10"/>
  <c r="N83" i="10"/>
  <c r="N85" i="10"/>
  <c r="Q102" i="10"/>
  <c r="Q94" i="10"/>
  <c r="Q86" i="10"/>
  <c r="Q101" i="10"/>
  <c r="Q104" i="10"/>
  <c r="Q100" i="10"/>
  <c r="Q96" i="10"/>
  <c r="Q92" i="10"/>
  <c r="Q88" i="10"/>
  <c r="Q84" i="10"/>
  <c r="Q103" i="10"/>
  <c r="Q99" i="10"/>
  <c r="Q95" i="10"/>
  <c r="Q91" i="10"/>
  <c r="Q87" i="10"/>
  <c r="Q83" i="10"/>
  <c r="Q106" i="10"/>
  <c r="Q98" i="10"/>
  <c r="Q90" i="10"/>
  <c r="Q105" i="10"/>
  <c r="Q97" i="10"/>
  <c r="Q89" i="10"/>
  <c r="Q85" i="10"/>
  <c r="N98" i="10"/>
  <c r="N90" i="10"/>
  <c r="N88" i="10"/>
  <c r="S65" i="10" l="1"/>
  <c r="Y65" i="10"/>
  <c r="Y66" i="10"/>
  <c r="S64" i="10"/>
  <c r="Y64" i="10"/>
  <c r="Y63" i="10"/>
  <c r="S63" i="10"/>
  <c r="Y62" i="10"/>
  <c r="S62" i="10"/>
  <c r="Y61" i="10"/>
  <c r="S61" i="10"/>
  <c r="S58" i="10"/>
  <c r="Y60" i="10"/>
  <c r="S60" i="10"/>
  <c r="Y59" i="10"/>
  <c r="S59" i="10"/>
  <c r="Y58" i="10"/>
  <c r="Y57" i="10"/>
  <c r="S57" i="10"/>
  <c r="P99" i="10"/>
  <c r="O99" i="10"/>
  <c r="P92" i="10"/>
  <c r="O92" i="10"/>
  <c r="P85" i="10"/>
  <c r="O85" i="10"/>
  <c r="O87" i="10"/>
  <c r="P87" i="10"/>
  <c r="P96" i="10"/>
  <c r="O96" i="10"/>
  <c r="P89" i="10"/>
  <c r="O89" i="10"/>
  <c r="P98" i="10"/>
  <c r="O98" i="10"/>
  <c r="P91" i="10"/>
  <c r="O91" i="10"/>
  <c r="P84" i="10"/>
  <c r="O84" i="10"/>
  <c r="P100" i="10"/>
  <c r="O100" i="10"/>
  <c r="P94" i="10"/>
  <c r="O94" i="10"/>
  <c r="P105" i="10"/>
  <c r="O105" i="10"/>
  <c r="P83" i="10"/>
  <c r="P101" i="10"/>
  <c r="O101" i="10"/>
  <c r="P90" i="10"/>
  <c r="O90" i="10"/>
  <c r="O103" i="10"/>
  <c r="P103" i="10"/>
  <c r="P86" i="10"/>
  <c r="O86" i="10"/>
  <c r="P97" i="10"/>
  <c r="O97" i="10"/>
  <c r="O106" i="10"/>
  <c r="P106" i="10"/>
  <c r="O95" i="10"/>
  <c r="P95" i="10"/>
  <c r="P88" i="10"/>
  <c r="O88" i="10"/>
  <c r="P104" i="10"/>
  <c r="O104" i="10"/>
  <c r="P102" i="10"/>
  <c r="O102" i="10"/>
  <c r="N87" i="10"/>
  <c r="N99" i="10"/>
  <c r="N92" i="10"/>
  <c r="N91" i="10"/>
  <c r="N100" i="10"/>
  <c r="N103" i="10"/>
  <c r="N86" i="10"/>
  <c r="N89" i="10"/>
  <c r="N102" i="10"/>
  <c r="N104" i="10"/>
  <c r="N105" i="10"/>
  <c r="N106" i="10"/>
  <c r="N96" i="10"/>
  <c r="N101" i="10"/>
  <c r="N97" i="10"/>
  <c r="Z88" i="10" l="1"/>
  <c r="Z104" i="10"/>
  <c r="AC98" i="10"/>
  <c r="Z85" i="10"/>
  <c r="Z101" i="10"/>
  <c r="AC95" i="10"/>
  <c r="Z94" i="10"/>
  <c r="AC104" i="10"/>
  <c r="AC89" i="10"/>
  <c r="Z98" i="10"/>
  <c r="AC100" i="10"/>
  <c r="AC93" i="10"/>
  <c r="Z96" i="10"/>
  <c r="AC90" i="10"/>
  <c r="AC106" i="10"/>
  <c r="Z93" i="10"/>
  <c r="AC87" i="10"/>
  <c r="AC103" i="10"/>
  <c r="AC88" i="10"/>
  <c r="Z95" i="10"/>
  <c r="AC105" i="10"/>
  <c r="AC84" i="10"/>
  <c r="Z99" i="10"/>
  <c r="Z83" i="10"/>
  <c r="Z89" i="10"/>
  <c r="Z102" i="10"/>
  <c r="Z106" i="10"/>
  <c r="Z84" i="10"/>
  <c r="Z100" i="10"/>
  <c r="AC94" i="10"/>
  <c r="AC83" i="10"/>
  <c r="Z97" i="10"/>
  <c r="AC91" i="10"/>
  <c r="Z86" i="10"/>
  <c r="AC96" i="10"/>
  <c r="Z103" i="10"/>
  <c r="Z90" i="10"/>
  <c r="AC92" i="10"/>
  <c r="AC85" i="10"/>
  <c r="Z92" i="10"/>
  <c r="AC86" i="10"/>
  <c r="AC102" i="10"/>
  <c r="Z105" i="10"/>
  <c r="AC99" i="10"/>
  <c r="Z87" i="10"/>
  <c r="AC97" i="10"/>
  <c r="Z91" i="10"/>
  <c r="AC101" i="10"/>
  <c r="T88" i="10"/>
  <c r="W96" i="10"/>
  <c r="T89" i="10"/>
  <c r="T94" i="10"/>
  <c r="T98" i="10"/>
  <c r="W100" i="10"/>
  <c r="T102" i="10"/>
  <c r="T91" i="10"/>
  <c r="T96" i="10"/>
  <c r="W88" i="10"/>
  <c r="W104" i="10"/>
  <c r="T101" i="10"/>
  <c r="W93" i="10"/>
  <c r="T93" i="10"/>
  <c r="W86" i="10"/>
  <c r="T95" i="10"/>
  <c r="W103" i="10"/>
  <c r="W90" i="10"/>
  <c r="T99" i="10"/>
  <c r="W83" i="10"/>
  <c r="W89" i="10"/>
  <c r="W95" i="10"/>
  <c r="T84" i="10"/>
  <c r="T100" i="10"/>
  <c r="W92" i="10"/>
  <c r="T85" i="10"/>
  <c r="T105" i="10"/>
  <c r="W97" i="10"/>
  <c r="T86" i="10"/>
  <c r="W94" i="10"/>
  <c r="T103" i="10"/>
  <c r="T90" i="10"/>
  <c r="W98" i="10"/>
  <c r="T83" i="10"/>
  <c r="T104" i="10"/>
  <c r="W85" i="10"/>
  <c r="W101" i="10"/>
  <c r="W102" i="10"/>
  <c r="W87" i="10"/>
  <c r="W106" i="10"/>
  <c r="W91" i="10"/>
  <c r="T92" i="10"/>
  <c r="W84" i="10"/>
  <c r="T97" i="10"/>
  <c r="W105" i="10"/>
  <c r="T87" i="10"/>
  <c r="T106" i="10"/>
  <c r="W99" i="10"/>
  <c r="O83" i="10"/>
  <c r="AA97" i="10" l="1"/>
  <c r="AB97" i="10"/>
  <c r="AA92" i="10"/>
  <c r="AB92" i="10"/>
  <c r="AA94" i="10"/>
  <c r="AB94" i="10"/>
  <c r="AA84" i="10"/>
  <c r="AB84" i="10"/>
  <c r="AA103" i="10"/>
  <c r="AB103" i="10"/>
  <c r="AA101" i="10"/>
  <c r="AB101" i="10"/>
  <c r="AB99" i="10"/>
  <c r="AA99" i="10"/>
  <c r="AB93" i="10"/>
  <c r="AA93" i="10"/>
  <c r="AB104" i="10"/>
  <c r="AA104" i="10"/>
  <c r="AA85" i="10"/>
  <c r="AB85" i="10"/>
  <c r="AA96" i="10"/>
  <c r="AB96" i="10"/>
  <c r="AA83" i="10"/>
  <c r="AB83" i="10"/>
  <c r="AB88" i="10"/>
  <c r="AA88" i="10"/>
  <c r="AA106" i="10"/>
  <c r="AB106" i="10"/>
  <c r="AB100" i="10"/>
  <c r="AA100" i="10"/>
  <c r="AB98" i="10"/>
  <c r="AA98" i="10"/>
  <c r="AB102" i="10"/>
  <c r="AA102" i="10"/>
  <c r="AB90" i="10"/>
  <c r="AA90" i="10"/>
  <c r="AA95" i="10"/>
  <c r="AB95" i="10"/>
  <c r="AB86" i="10"/>
  <c r="AA86" i="10"/>
  <c r="AB91" i="10"/>
  <c r="AA91" i="10"/>
  <c r="AB105" i="10"/>
  <c r="AA105" i="10"/>
  <c r="AA87" i="10"/>
  <c r="AB87" i="10"/>
  <c r="AB89" i="10"/>
  <c r="AA89" i="10"/>
  <c r="V94" i="10"/>
  <c r="U94" i="10"/>
  <c r="U90" i="10"/>
  <c r="V90" i="10"/>
  <c r="V88" i="10"/>
  <c r="U88" i="10"/>
  <c r="U96" i="10"/>
  <c r="V96" i="10"/>
  <c r="V105" i="10"/>
  <c r="U105" i="10"/>
  <c r="U101" i="10"/>
  <c r="V101" i="10"/>
  <c r="V99" i="10"/>
  <c r="U99" i="10"/>
  <c r="U106" i="10"/>
  <c r="V106" i="10"/>
  <c r="U85" i="10"/>
  <c r="V85" i="10"/>
  <c r="V97" i="10"/>
  <c r="U97" i="10"/>
  <c r="V83" i="10"/>
  <c r="U83" i="10"/>
  <c r="V84" i="10"/>
  <c r="U84" i="10"/>
  <c r="U87" i="10"/>
  <c r="V87" i="10"/>
  <c r="U86" i="10"/>
  <c r="V86" i="10"/>
  <c r="U104" i="10"/>
  <c r="V104" i="10"/>
  <c r="U102" i="10"/>
  <c r="V102" i="10"/>
  <c r="V95" i="10"/>
  <c r="U95" i="10"/>
  <c r="V100" i="10"/>
  <c r="U100" i="10"/>
  <c r="V91" i="10"/>
  <c r="U91" i="10"/>
  <c r="V98" i="10"/>
  <c r="U98" i="10"/>
  <c r="V92" i="10"/>
  <c r="U92" i="10"/>
  <c r="V89" i="10"/>
  <c r="U89" i="10"/>
  <c r="V103" i="10"/>
  <c r="U103" i="10"/>
  <c r="V93" i="10"/>
  <c r="U93" i="10"/>
</calcChain>
</file>

<file path=xl/sharedStrings.xml><?xml version="1.0" encoding="utf-8"?>
<sst xmlns="http://schemas.openxmlformats.org/spreadsheetml/2006/main" count="3146" uniqueCount="276">
  <si>
    <t>Females</t>
  </si>
  <si>
    <t>Males</t>
  </si>
  <si>
    <t>Age</t>
  </si>
  <si>
    <t>99+</t>
  </si>
  <si>
    <t>Total</t>
  </si>
  <si>
    <t>Brand name:</t>
  </si>
  <si>
    <t>Year 1</t>
  </si>
  <si>
    <t>Year 2</t>
  </si>
  <si>
    <t>Year 3</t>
  </si>
  <si>
    <t>Year 4</t>
  </si>
  <si>
    <t>Year 5</t>
  </si>
  <si>
    <t>Number of patients with condition</t>
  </si>
  <si>
    <t>Mortality rate in patients with condition</t>
  </si>
  <si>
    <t>Summary</t>
  </si>
  <si>
    <t>Additional costs</t>
  </si>
  <si>
    <t>Additional savings</t>
  </si>
  <si>
    <t>HIQA Guidelines for the Budget Impact Analysis of Health Technologies in Ireland. https://www.hiqa.ie/reports-and-publications/health-technology-assessment/guidelines-budget-impact-analysis-health</t>
  </si>
  <si>
    <t>Cumulative</t>
  </si>
  <si>
    <t>Number of patients receiving comparator 1</t>
  </si>
  <si>
    <t>Number of patients receiving comparator 2</t>
  </si>
  <si>
    <t>Number of patients receiving comparator 3</t>
  </si>
  <si>
    <t>Number of patients receiving comparator 4</t>
  </si>
  <si>
    <t>Cost of comparator 2 each year</t>
  </si>
  <si>
    <t>Cost of comparator 1 each year</t>
  </si>
  <si>
    <t>Cost of comparator 3 each year</t>
  </si>
  <si>
    <t>Cost of comparator 4 each year</t>
  </si>
  <si>
    <t>Number of patients receiving intervention</t>
  </si>
  <si>
    <t xml:space="preserve">Net number of patients </t>
  </si>
  <si>
    <t>Number of patients potentially treatable under license</t>
  </si>
  <si>
    <t>Sub-population of eligible patient population under consideration (%)</t>
  </si>
  <si>
    <t>Eligible patients treated with intervention</t>
  </si>
  <si>
    <t>Market share with intervention</t>
  </si>
  <si>
    <t>Discontinuation rates</t>
  </si>
  <si>
    <t>Eligible patient population</t>
  </si>
  <si>
    <t>These are the population estimates of the intervention and comparator drugs for five years used in the budget impact calculations</t>
  </si>
  <si>
    <t>NCPE Guidelines for Inclusion of Drug Costs in Pharmacoeconomic Evaluation. http://www.ncpe.ie/submission-process/hta-guidelines/guidelines-for-inclusion-of-drug-costs/</t>
  </si>
  <si>
    <t>Other</t>
  </si>
  <si>
    <t>Reference/Calculations</t>
  </si>
  <si>
    <t>Patients eligible for the new intervention under the license (%)</t>
  </si>
  <si>
    <t>Insert the percentage of patients eligible for the new intervention under the license. Please describe the reference source and any calculations.</t>
  </si>
  <si>
    <t>Other costs such as administration or concomitant medication costs may be presented in this worksheet.</t>
  </si>
  <si>
    <t>Calculation</t>
  </si>
  <si>
    <t>Insert the mortality rate as a percent per annum of the patient cohort with the condition.  If the mortality rate is not known or is not significant, please set to 0. Please describe the reference source and any calculations.</t>
  </si>
  <si>
    <t>Market share without intervention</t>
  </si>
  <si>
    <t>Ref 1</t>
  </si>
  <si>
    <t>Ref 2</t>
  </si>
  <si>
    <t>Reference/Justification</t>
  </si>
  <si>
    <t>Number of patients receiving comparator 5</t>
  </si>
  <si>
    <t>Cost of comparator 5 each year</t>
  </si>
  <si>
    <t>Number of patients receiving comparator 6</t>
  </si>
  <si>
    <t>Cost of comparator 6 each year</t>
  </si>
  <si>
    <t>Cost/cost-offset per patient per year</t>
  </si>
  <si>
    <t>Summary of population without new intervention</t>
  </si>
  <si>
    <t>Summary of population with new intervention</t>
  </si>
  <si>
    <t>Gross Drug Budget Impact</t>
  </si>
  <si>
    <t>Net Drug Budget Impact</t>
  </si>
  <si>
    <t>Net Budget Impact</t>
  </si>
  <si>
    <t>Total cost of comparators</t>
  </si>
  <si>
    <t>Total cost of intervention</t>
  </si>
  <si>
    <t>Cost of intervention each year</t>
  </si>
  <si>
    <t>Number of patients who discontinued</t>
  </si>
  <si>
    <t>Number of patients who died</t>
  </si>
  <si>
    <t>Cost of intervention</t>
  </si>
  <si>
    <t>Cost of comparators</t>
  </si>
  <si>
    <t>Parameters</t>
  </si>
  <si>
    <t>Scenario number</t>
  </si>
  <si>
    <t>Base case</t>
  </si>
  <si>
    <t>Lower</t>
  </si>
  <si>
    <t>Upper</t>
  </si>
  <si>
    <t>Point estimates</t>
  </si>
  <si>
    <t>Rank</t>
  </si>
  <si>
    <t>Scenario</t>
  </si>
  <si>
    <t>Difference</t>
  </si>
  <si>
    <t>Ordered</t>
  </si>
  <si>
    <t>Fridge</t>
  </si>
  <si>
    <t>Oral product (including inhalers)</t>
  </si>
  <si>
    <t>Biologic</t>
  </si>
  <si>
    <t>A</t>
  </si>
  <si>
    <t>B</t>
  </si>
  <si>
    <t>C</t>
  </si>
  <si>
    <t>D</t>
  </si>
  <si>
    <t>E</t>
  </si>
  <si>
    <t>Price to Wholesaler</t>
  </si>
  <si>
    <t>Wholesale Mark-up</t>
  </si>
  <si>
    <t>Wholesale Mark-up for non-fridge items on the CDS</t>
  </si>
  <si>
    <t>Wholesale Mark-up for fridge items on the CDS</t>
  </si>
  <si>
    <t>Wholesale Mark-up for all tems on the HT</t>
  </si>
  <si>
    <t>Hospital Mark-up</t>
  </si>
  <si>
    <t>VAT</t>
  </si>
  <si>
    <t>Dispensing Fee</t>
  </si>
  <si>
    <t>High Tech Patient Care Fee</t>
  </si>
  <si>
    <t>Number of days in year</t>
  </si>
  <si>
    <t>VAT on Pharmacy Fees</t>
  </si>
  <si>
    <t>How many comparators will be used in this model?</t>
  </si>
  <si>
    <t xml:space="preserve">VAT on Drug Cost </t>
  </si>
  <si>
    <t>Definitions used for the drug cost calculator (do not change).</t>
  </si>
  <si>
    <t>Indication under assessment:</t>
  </si>
  <si>
    <t>INN:</t>
  </si>
  <si>
    <t>Optional: The proportion of patients discontinuing either the invertention or a comparator should be placed here. Discontinuation can also include adherence rates. For drugs calculated based on mean number of cycles, this will already take into account discontinuation rates.</t>
  </si>
  <si>
    <t>Optional: If a sub-population is under consideration, please describe the reference source and any calculations, otherwise use 100%.</t>
  </si>
  <si>
    <t>Table 1</t>
  </si>
  <si>
    <t>Notes</t>
  </si>
  <si>
    <r>
      <t>Comparator costs</t>
    </r>
    <r>
      <rPr>
        <b/>
        <i/>
        <sz val="11"/>
        <color theme="1"/>
        <rFont val="Calibri"/>
        <family val="2"/>
        <scheme val="minor"/>
      </rPr>
      <t xml:space="preserve"> with </t>
    </r>
    <r>
      <rPr>
        <i/>
        <sz val="11"/>
        <color theme="1"/>
        <rFont val="Calibri"/>
        <family val="2"/>
        <scheme val="minor"/>
      </rPr>
      <t>new intervention in market</t>
    </r>
  </si>
  <si>
    <r>
      <t xml:space="preserve">Comparator costs </t>
    </r>
    <r>
      <rPr>
        <b/>
        <i/>
        <sz val="11"/>
        <color theme="1"/>
        <rFont val="Calibri"/>
        <family val="2"/>
        <scheme val="minor"/>
      </rPr>
      <t xml:space="preserve">with no </t>
    </r>
    <r>
      <rPr>
        <i/>
        <sz val="11"/>
        <color theme="1"/>
        <rFont val="Calibri"/>
        <family val="2"/>
        <scheme val="minor"/>
      </rPr>
      <t>intervention in market</t>
    </r>
  </si>
  <si>
    <t></t>
  </si>
  <si>
    <t>NCPE Drug Cost Guidelines</t>
  </si>
  <si>
    <t>Calculation Starting Point</t>
  </si>
  <si>
    <t>Price per Pack</t>
  </si>
  <si>
    <t>Drug Funding Arrangement</t>
  </si>
  <si>
    <t>Applicant</t>
  </si>
  <si>
    <t>NCPE</t>
  </si>
  <si>
    <t>Cost</t>
  </si>
  <si>
    <t>Cost/cost-offset per year</t>
  </si>
  <si>
    <t>Prevalent patients</t>
  </si>
  <si>
    <t>This Budget Impact Model Template consists of the following worksheets:</t>
  </si>
  <si>
    <t>This worksheet should be used to document any additional reference sources used to derive estimates for this budget impact model.</t>
  </si>
  <si>
    <t>This worksheet provides the background demographic estimates of the Irish population, to aid in identifying the population subject to the indication under assessment. If using these estimates, it is important to show what cells and population was used. This worksheet should not be changed, but provides the most up to date estimates which are encouraged to be referenced on the Patient Population worksheet.</t>
  </si>
  <si>
    <t xml:space="preserve">Please note that prevalent and incidence calculations should not include mortality and sub-population calculation. Mortality will be calculated next, and the sub-population is an optional specific sub-population of patients narrower than that covered by the licence. </t>
  </si>
  <si>
    <t>Table A: Applicant Input Selection Table to calculate the cost per pack</t>
  </si>
  <si>
    <t>Details required to calculate the cost per pack and pharmacy fee information</t>
  </si>
  <si>
    <t>Strength/Pack Size</t>
  </si>
  <si>
    <t>Details required to calculate  the cost per treatment cycle</t>
  </si>
  <si>
    <t>Length of Treatment Cycle</t>
  </si>
  <si>
    <t>Number of packs required per treatment cycle</t>
  </si>
  <si>
    <t>Table C. Total Cost to the HSE per pack</t>
  </si>
  <si>
    <t>This table will fill automatically based on the information inserted above. This information in this table is used to calculate the costs in Table F.</t>
  </si>
  <si>
    <t>Strength Pack Size</t>
  </si>
  <si>
    <t>F(i)</t>
  </si>
  <si>
    <t>Total Drug Cost to the HSE per pack including VAT</t>
  </si>
  <si>
    <t>F(ii)</t>
  </si>
  <si>
    <t>Total Drug Cost to the HSE per pack excluding VAT</t>
  </si>
  <si>
    <t xml:space="preserve"> </t>
  </si>
  <si>
    <t>Table D. Pharmacy Fees payable based on the type of product and reimbursement arrangements</t>
  </si>
  <si>
    <t>For hospital drugs this table may be ignored.</t>
  </si>
  <si>
    <t xml:space="preserve">This table fills  automatically based on scheme and product information inputted above in Table A. </t>
  </si>
  <si>
    <t xml:space="preserve">Calculation </t>
  </si>
  <si>
    <t>Value</t>
  </si>
  <si>
    <t>Pharmacy Fees excluding VAT</t>
  </si>
  <si>
    <t xml:space="preserve">                                                                                                                                                                                                                                                                                                                                                                                                                                                                                                                                                                                                                                                                                                                                                                                                                                                                                                                                                                                                                                                                                                                                                                                                                                                                                                                                                                                                                                                                                                                                                                                                                                                                                                                                                                                                                                                                                                                                                                                                                                                                                                                                                                                                                                                                                                                                                                                                                                                                                                                                                                                                                                                                                                                                                                                                                                                                                                                                                                                                                                                                                                                                                                                                                         </t>
  </si>
  <si>
    <t>G</t>
  </si>
  <si>
    <t>Pharmacy Fees per treatment cycle excluding VAT</t>
  </si>
  <si>
    <t>H</t>
  </si>
  <si>
    <t>Non dispensed patient care fee per treatment cycle (High Tech only)</t>
  </si>
  <si>
    <t>I</t>
  </si>
  <si>
    <t>VAT on pharmacy Fees</t>
  </si>
  <si>
    <t>J (i)</t>
  </si>
  <si>
    <t>Total pharmacy Fees per treatment cycle including VAT</t>
  </si>
  <si>
    <t>J (ii)</t>
  </si>
  <si>
    <t>Table F. Total Drug Costs to the HSE</t>
  </si>
  <si>
    <t>Total Cost per treatment Cycle</t>
  </si>
  <si>
    <t xml:space="preserve">Total Cost per </t>
  </si>
  <si>
    <t>Total Cost per Year</t>
  </si>
  <si>
    <t>Total Cost per unit time</t>
  </si>
  <si>
    <t>number of cycles</t>
  </si>
  <si>
    <t>J(i)</t>
  </si>
  <si>
    <t>Total Pharmacy Fee including VAT</t>
  </si>
  <si>
    <t>J(ii)</t>
  </si>
  <si>
    <t>Total Pharmacy Fee excluding VAT</t>
  </si>
  <si>
    <t>K(i)</t>
  </si>
  <si>
    <t>Total Drug Cost including Pharmacy Fees and VAT (Pro Rata)</t>
  </si>
  <si>
    <t>K(ii)</t>
  </si>
  <si>
    <t>Total Drug Cost including pharmacy fees and excluding VAT (Pro Rata)</t>
  </si>
  <si>
    <t>In this worksheet, the patient population eligible to receive the new intervention is estimated by the Applicant. The market share estimates are used to calculate the expected number of patients to receive the new intervention over the next 5 years.</t>
  </si>
  <si>
    <t>Cells highlighted in grey are input cells for the Applicant</t>
  </si>
  <si>
    <t>Cells highlighted in purple are input cells for the Applicant in the form of a drop down menu</t>
  </si>
  <si>
    <t>Input cells for the Applicant containing confidential information</t>
  </si>
  <si>
    <t>The other worksheets in this template can be selected from along the bottom of the excel file, or using one of the buttons above or throughout the template. This tab provides brief user instructions, guidance, and explanations for the use of the template. Each worksheet will have additional guidance.</t>
  </si>
  <si>
    <t>This worksheet explores the impact of parameter uncertainty on the budget impact analysis using deterministic one-way sensitivity analysis. Additional sensitivity analyses/scenario analyses can be manually inserted by the Applicant to include in the tornado diagram.</t>
  </si>
  <si>
    <t>Please include any additional references here</t>
  </si>
  <si>
    <t>Non Dispensing High Tech Fee</t>
  </si>
  <si>
    <t>The impact of parameter uncertainty on the budget impact analysis should be explored using deterministic one-way sensitivity analysis for each parameter. Click the "Run Sensitivity Analysis" button to run the one-way sensitivity analysis for a set +/-20% on the parameters below. Please also provide any manual results in the grey boxes for any additional sensitivity analysis on appropriate individual parameters and any scenario analyses. Clear rationale for the range of values applied should be provided.</t>
  </si>
  <si>
    <t>Table B: Applicant Input Table to calculate the cost per treatment cycle</t>
  </si>
  <si>
    <t>If Biologic =Yes: Select  Biologic and Patent Exclusivity Status</t>
  </si>
  <si>
    <t>If Biologic =No,  select Non Biologic Patent Status</t>
  </si>
  <si>
    <t>Pack Identification</t>
  </si>
  <si>
    <t xml:space="preserve">• Following the instructions beside each table, use the drug cost calculators to calculate the cost per patient per year or per treatment course for the intervention and comparator(s). Purple cells represent drop down menus.
• Insert the calculated cost per patient per year or cost per treatment course from Table F into the boxes in Table 1 for each intervention and comparator(s)
• Please include additional calculations in the notes box if required. 
• The calculator applies the patient care fee and dispensing fees across time periods pro-rata. This may not always be appropriate depending on the data underlying how the average treatment duration was calculated where rounding may be more appropriate. Please add additional rows to  the calculator in Table F if it is more appropriate to adopt the rounding approach and highlight the change. 
• It is not possible to program the calculator for every form of dosing regimen. Please refer to the NCPE Drug Cost Guidelines for further detail on the calculation of drug costs. 
• If a Patient Access Scheme (PAS) is planned, please include the drug acquisitions costs as a separate worksheet (Drug Acquisition Costs (PAS))
• Please note that the calculator assumes 1 month = 30.4375 days =365.25/12
</t>
  </si>
  <si>
    <t>Incident patients</t>
  </si>
  <si>
    <r>
      <t>Insert the number of Irish prevalent and incident patients by using the "Irish Population Estimates" tab.</t>
    </r>
    <r>
      <rPr>
        <b/>
        <i/>
        <sz val="11"/>
        <color rgb="FFFF0000"/>
        <rFont val="Calibri"/>
        <family val="2"/>
        <scheme val="minor"/>
      </rPr>
      <t xml:space="preserve"> </t>
    </r>
    <r>
      <rPr>
        <b/>
        <sz val="11"/>
        <color theme="1"/>
        <rFont val="Calibri"/>
        <family val="2"/>
        <scheme val="minor"/>
      </rPr>
      <t xml:space="preserve">If additional rows are needed for calculations, please add them to an additional worksheet but place the aggregated numbers here. </t>
    </r>
    <r>
      <rPr>
        <i/>
        <sz val="11"/>
        <color theme="1"/>
        <rFont val="Calibri"/>
        <family val="2"/>
        <scheme val="minor"/>
      </rPr>
      <t xml:space="preserve"> Please describe the reference source cells used and any calculations. The prevalent and incident cells can be manually inserted or linked to each other where the applicant deems appropriate for the calculations. Absolute numbers should be used.</t>
    </r>
  </si>
  <si>
    <t>Lower Range Results</t>
  </si>
  <si>
    <t>Upper Range Results</t>
  </si>
  <si>
    <t xml:space="preserve"> - Enter identifying information (e.g. strength, pack size) for each pack. For example, column F: 40mgx28; column G: 20mgx28. </t>
  </si>
  <si>
    <t xml:space="preserve"> - Enter whether the calculation starting point is the Price to Wholesaler (PTW) or Reimbursed Price. PTW is listed on the pricing application form (PAF) submitted to the HSE. Reimbursed price is listed on the PCRS website. </t>
  </si>
  <si>
    <t xml:space="preserve"> - Enter the relevant pack price here.  </t>
  </si>
  <si>
    <r>
      <t xml:space="preserve"> - Choose the f</t>
    </r>
    <r>
      <rPr>
        <i/>
        <sz val="11"/>
        <rFont val="Calibri"/>
        <family val="2"/>
        <scheme val="minor"/>
      </rPr>
      <t xml:space="preserve">unding arrangements. CDS = Community Drug Schemes, HT = High Tech Drug Arrangements, Hosp = Hospital. </t>
    </r>
  </si>
  <si>
    <t xml:space="preserve"> - Optional: fridge item status only required for the CDS as wholesale mark-up varies here. May leave blank for other schemes.</t>
  </si>
  <si>
    <t xml:space="preserve"> - Required for VAT. Oral products including inhalers are exempt from VAT.</t>
  </si>
  <si>
    <t xml:space="preserve"> - Enter treatment cycle length in column F and select unit of measurement (Days/Months) in column H.  For treatment cycles measured in weeks, convert the number of weeks to days (e.g. 4 weeks = 28 days). One month is not equivalent to four weeks. If there is confusion over whether a dose is administered every four weeks or every month, refer to the SPC. </t>
  </si>
  <si>
    <t xml:space="preserve"> - Enter the number of packs of each pack presentation required per treatment cycle. For example if the treatment cycle is 28 days, and there are 14 days supply in one pack, enter "2" into column F.  Where each patient requires multiple products every treatment cycle, enter the number of packs of each pack type into the relevant column. For example,  where a patient requires 2 x Pack (F) and 1 x Pack (G) every 28 day treatment cycle, please enter 2 in column F and 1 in column G. Alternatively, where only a single pack is required by a patient each cycle but multiple strengths are available, a weighted average can be calculated by entering the relevant weight for each pack in every column. Ensure weights sum to 1. Add details of how weights are derived in notes section. </t>
  </si>
  <si>
    <t xml:space="preserve"> - Enter here if relevant. See NCPE drug cost guidelines for more information on non-dispensed patient care fees (High Tech only). </t>
  </si>
  <si>
    <t xml:space="preserve"> - Please input VAT payable on pharmacy fees if applicable based on the information presented in Table D. </t>
  </si>
  <si>
    <t xml:space="preserve"> - Calculate the cost for the budget impact model using  cost per number of cycles, per year or per unit time. Input the length of time requird  into the grey boxes where applicable. Irrelevant columns may be left blank. Use the drop down boxes to select days or months when calculate the cost per unit time.</t>
  </si>
  <si>
    <t xml:space="preserve"> - The relevant cost from this row should be manually inserted into the Table 1 above for budget impact calculations</t>
  </si>
  <si>
    <t xml:space="preserve"> - These values are presented for information purposes only. They should not be included in the budget impact calculations</t>
  </si>
  <si>
    <t xml:space="preserve">Table E Pharmacy Fees per product treatment cycle. 
</t>
  </si>
  <si>
    <t>This section may be ommited for hospital drugs</t>
  </si>
  <si>
    <t xml:space="preserve"> - Treatment cycle is the length of time between product dispensings. For example, many oral tablet products have a treatment cycle of 28 days. If a drug is administered every six months, the treatment cycle is six months.</t>
  </si>
  <si>
    <t>Total pharmacy Fees per treatment cycle excluding VAT</t>
  </si>
  <si>
    <r>
      <t xml:space="preserve"> - Based on the drug's dispensing regimen and the NCPE drug cost guidelines, please input the pharmacy fees per treatment cycle. Use data presented in Table D to </t>
    </r>
    <r>
      <rPr>
        <b/>
        <i/>
        <sz val="11"/>
        <color theme="1"/>
        <rFont val="Calibri"/>
        <family val="2"/>
        <scheme val="minor"/>
      </rPr>
      <t>generate an appropriate formula</t>
    </r>
    <r>
      <rPr>
        <i/>
        <sz val="11"/>
        <color theme="1"/>
        <rFont val="Calibri"/>
        <family val="2"/>
        <scheme val="minor"/>
      </rPr>
      <t xml:space="preserve"> for Column H of Table E. Notes may be added in column G. </t>
    </r>
  </si>
  <si>
    <r>
      <t xml:space="preserve"> - Enter the number of packs of each pack presentation required per treatment cycle. For example if the treatment cycle is 28 days, and there are 14 days supply in one pack, enter "2" into column F.  Where each patient requires multiple products every treatment cycle, enter the number of packs of each pack type into the relevant column. For example,  where a patient requires 2 x Pack (F) and 1 x Pack (G) every 28 day treatment cycle, please enter 2 in column F and 1 in column G. Alternatively, where only a single pack is required by a patient each cycle but multiple strengths are available, a weighted average can be calculated by entering the relevant weight for each pack in every column. Ensure weights sum to 1. </t>
    </r>
    <r>
      <rPr>
        <i/>
        <sz val="11"/>
        <rFont val="Calibri"/>
        <family val="2"/>
        <scheme val="minor"/>
      </rPr>
      <t xml:space="preserve">Add details of how weights are derived in notes section. </t>
    </r>
  </si>
  <si>
    <t>Comparator 1:</t>
  </si>
  <si>
    <t>Name</t>
  </si>
  <si>
    <t>Description</t>
  </si>
  <si>
    <t>Comparator 2:</t>
  </si>
  <si>
    <t>Comparator 3:</t>
  </si>
  <si>
    <t>Comparator 4:</t>
  </si>
  <si>
    <t>Comparator 5:</t>
  </si>
  <si>
    <t>Comparator 6:</t>
  </si>
  <si>
    <t>Market shares</t>
  </si>
  <si>
    <r>
      <t xml:space="preserve">General instructions: </t>
    </r>
    <r>
      <rPr>
        <sz val="12"/>
        <color theme="1"/>
        <rFont val="Calibri"/>
        <family val="2"/>
        <scheme val="minor"/>
      </rPr>
      <t xml:space="preserve">Please fill in all worksheets where there are grey or purple cells. See below to insert the INN, Brand name, indication under assessment, and comparators considered in this Title page.  The other worksheets in this model can be selected from along the bottom of the excel file, or using one of the buttons below or throughtout the template. The structure of the NCPE Budget Impact Model Template may not be adapted in any way, but extra worksheets/tabs may be added for any additional explanations or calculations on where parameter inputs are sourced from. For example, marketing estimates used to calculate market shares. If the information you have for your budget impact model do not fit within the requirements of the template please contact </t>
    </r>
    <r>
      <rPr>
        <i/>
        <sz val="12"/>
        <color theme="1"/>
        <rFont val="Calibri"/>
        <family val="2"/>
        <scheme val="minor"/>
      </rPr>
      <t>bim@ncpe.ie</t>
    </r>
    <r>
      <rPr>
        <sz val="12"/>
        <color theme="1"/>
        <rFont val="Calibri"/>
        <family val="2"/>
        <scheme val="minor"/>
      </rPr>
      <t xml:space="preserve">. </t>
    </r>
  </si>
  <si>
    <t xml:space="preserve"> - Please input all information requested in this table to automatically calculate the cost per pack in Table C. Up to four type of packs  can be accomodated in this table across columns F to I. If there are less than four packs, please leave extra columns blank. If there are more than four products, please contact bim@ncpe.ie. </t>
  </si>
  <si>
    <t xml:space="preserve"> - Choose the funding arrangements. CDS = Community Drug Schemes, HT = High Tech Drug Arrangements, Hosp = Hospital. </t>
  </si>
  <si>
    <t>Central Statistics Office. https://www.cso.ie/en/statistics/population/regionalpopulationprojections.  Method M1F2 (Dublin inflow) is used. https://data.cso.ie/table/PEB07</t>
  </si>
  <si>
    <r>
      <t>Describe the potential for additional costs and cost-offsets which may impact the wider healthcare budget in this tab. Administration, monitoring, adverse event costs etc. can be included here. Please use the space below to show any working out, and insert the additional costs and cost-offsets in the cells below. If an additional worksheet is needed, please add into the excel file. If there is a cost offset, place a minus sign in front of the amount.</t>
    </r>
    <r>
      <rPr>
        <b/>
        <i/>
        <sz val="11"/>
        <color theme="1"/>
        <rFont val="Calibri"/>
        <family val="2"/>
        <scheme val="minor"/>
      </rPr>
      <t xml:space="preserve"> Please note: it is beyond the scope of the Rapid Review process to appraise the impact of an intervention on wider health care budgets; the net budget impact is not required for Rapid Review submissions.</t>
    </r>
  </si>
  <si>
    <t>Please note: it is beyond the scope of the Rapid Review process to appraise the impact of an intervention on wider health care budgets; the net budget impact is not required for Rapid Review submissions.</t>
  </si>
  <si>
    <t>Framework Agreement Rebate</t>
  </si>
  <si>
    <t>Framework Agreement Rebate Biologic</t>
  </si>
  <si>
    <t xml:space="preserve"> - Required for Framework Agreement rebate calculation.</t>
  </si>
  <si>
    <t xml:space="preserve"> - If Biologic =Yes, select the biologic and patent exclusivity status from the drop down list. If Biologic =No, leave blank. Required for Framework Agreement rebate calculation.</t>
  </si>
  <si>
    <t xml:space="preserve"> - If Biologic =No, select the non-biologic patent status.  If Biologic =Yes, leave blank. Required for Framework Agreement rebate calculation.</t>
  </si>
  <si>
    <t xml:space="preserve"> - Required for Frameowrk Agreement rebate calculation.</t>
  </si>
  <si>
    <t>All ages</t>
  </si>
  <si>
    <t>Next review date: October 2023</t>
  </si>
  <si>
    <t>Comparator 7:</t>
  </si>
  <si>
    <t>Comparator 8:</t>
  </si>
  <si>
    <t>Comparator 9:</t>
  </si>
  <si>
    <t>Comparator 10:</t>
  </si>
  <si>
    <t>Comparator 11:</t>
  </si>
  <si>
    <t>Comparator 12:</t>
  </si>
  <si>
    <t>Number of patients receiving comparator 7</t>
  </si>
  <si>
    <t>Cost of comparator 7 each year</t>
  </si>
  <si>
    <t>Number of patients receiving comparator 8</t>
  </si>
  <si>
    <t>Cost of comparator 8 each year</t>
  </si>
  <si>
    <t>Number of patients receiving comparator 9</t>
  </si>
  <si>
    <t>Cost of comparator 9 each year</t>
  </si>
  <si>
    <t>Number of patients receiving comparator 10</t>
  </si>
  <si>
    <t>Cost of comparator 10 each year</t>
  </si>
  <si>
    <t>Number of patients receiving comparator 11</t>
  </si>
  <si>
    <t>Cost of comparator 11 each year</t>
  </si>
  <si>
    <t>Number of patients receiving comparator 12</t>
  </si>
  <si>
    <t>Cost of comparator 12 each year</t>
  </si>
  <si>
    <t>CIC PAS</t>
  </si>
  <si>
    <t xml:space="preserve">This worksheet calculates the price of the new intervention and any relevant comparators. The drug cost is inclusive of fees, rebates, and VAT if applicable. The price should correspond to the Price Application Form submitted to the Corporate Pharmaceutical Unit, HSE Primary Care Reimbursement Service. </t>
  </si>
  <si>
    <t xml:space="preserve">If a commercial in confidence (CIC) Patient Access Scheme (PAS) is planned, please include these details in the Drug Acquisition Costs (PAS) worksheet and provide this as a scenario analysis in the submission document. </t>
  </si>
  <si>
    <t>This worksheet presents the results. The gross drug budget impact includes only the drug acquisition cost of the new intervention. The net drug budget impact is calculated to describe the potential drug costs and cost-offsets anticipated from the increased utilitsation and/or displacement of other drugs. The net drug budget impact includes only the drug acquisition costs. Finally, a broader health service net budget impact can also be calculated where additional costs and offsets are included.e should correspond to the Price Application Form submitted to the Corporate Pharmaceutical Unit, HSE Primary Care Reimbursement Service.</t>
  </si>
  <si>
    <t xml:space="preserve">If a Commercial in Confidence (CIC) Patient Access Scheme (PAS) is planned, please present the results for the PAS scenario in the separate Results (PAS) worksheet and provide this as a scenario analysis in the submission document. </t>
  </si>
  <si>
    <t>CIC PAS (%)</t>
  </si>
  <si>
    <r>
      <t xml:space="preserve"> - NB Please input proposed PAS as % discount </t>
    </r>
    <r>
      <rPr>
        <b/>
        <i/>
        <u/>
        <sz val="11"/>
        <rFont val="Calibri"/>
        <family val="2"/>
        <scheme val="minor"/>
      </rPr>
      <t>exclusive</t>
    </r>
    <r>
      <rPr>
        <b/>
        <i/>
        <sz val="11"/>
        <rFont val="Calibri"/>
        <family val="2"/>
        <scheme val="minor"/>
      </rPr>
      <t xml:space="preserve"> of current Framework Agreement rebate</t>
    </r>
  </si>
  <si>
    <t>Total Drug Cost to the HSE per pack with CIC PAS including VAT</t>
  </si>
  <si>
    <t>Total Drug Cost to the HSE per pack with CIC PAS excluding VAT</t>
  </si>
  <si>
    <t>Check market shares sum to 100%</t>
  </si>
  <si>
    <r>
      <t>Please reference this model as "</t>
    </r>
    <r>
      <rPr>
        <i/>
        <sz val="12"/>
        <rFont val="Calibri"/>
        <family val="2"/>
        <scheme val="minor"/>
      </rPr>
      <t>Lamrock F, O'Donnell H, Varley A, Trela-Larsen L, Tilson L. National Centre for Pharmacoeconomics Budget Impact Model Template Version 1.8. Dublin: NCPE May 2023</t>
    </r>
    <r>
      <rPr>
        <sz val="12"/>
        <rFont val="Calibri"/>
        <family val="2"/>
        <scheme val="minor"/>
      </rPr>
      <t>" in any adaptions or publications.</t>
    </r>
  </si>
  <si>
    <t>-Please link treatment costs to corresponding source cell (e.g. =H109)</t>
  </si>
  <si>
    <t>Version</t>
  </si>
  <si>
    <t>Date</t>
  </si>
  <si>
    <t>Description of key changes</t>
  </si>
  <si>
    <t>Tab</t>
  </si>
  <si>
    <t xml:space="preserve">Title page and Drug Acquisition Cost </t>
  </si>
  <si>
    <t>Number of comparators increased to 12</t>
  </si>
  <si>
    <t>Irish Population Estimates</t>
  </si>
  <si>
    <t>Updated to 2024-2028</t>
  </si>
  <si>
    <t>Drug Acquisition Costs (PAS)</t>
  </si>
  <si>
    <t xml:space="preserve">New tab included to allow separate calculation of commercial in confidence costs for the intervention, if the Applicant chooses to submit a PAS at this stage of the process. </t>
  </si>
  <si>
    <t>Results (PAS)</t>
  </si>
  <si>
    <t xml:space="preserve">References </t>
  </si>
  <si>
    <t>Framework Agreement rebate updated to -8.5%</t>
  </si>
  <si>
    <t xml:space="preserve">New tab included to allow separate calculation of results when a commercial in confidence PAS has been offered. </t>
  </si>
  <si>
    <t xml:space="preserve">• Table 1 on this tab will automatically populate from the 'Drug Acquisition Costs' tab for the comparators.
• If the Applicant chooses to submit a commercial in confidence (CIC) patient access scheme (PAS)  at this stage,please input the cost of the intervention including the CIC PAS using the tables below. Please note that it is not a requirement to submit a CIC PAS at this stage but this tab should be used if a CIC PAS is included as part of the submission.
• Cells in grey in Tables A-F for the intervention on this tab will automatically populate from the 'Drug Acquisition Costs' tab. Please select the purple drop-down cells manually.
• For detailed instructions please see the 'Drug Acquistion Costs' tab.
</t>
  </si>
  <si>
    <t xml:space="preserve"> The gross and net drug budget impacts are presented below, based on the inputs used throughout the rest of the model. Separately, a net budget impact accounting for costs and offsets outside of the drugs budget is presented.  Patients who died or stopped treatment are assumed to have received treatment for 6 months.
Please note that it is not a requirement to submit a CIC PAS at this stage but this tab should be used if a CIC PAS is included as part of the submission.</t>
  </si>
  <si>
    <t xml:space="preserve"> The gross and net drug budget impacts are presented below, based on the inputs used throughout the rest of the model. Separately, a net budget impact accounting for costs and offsets outside of the drugs budget is presented.  Patients who died or stopped treatment are assumed to have received treatment for 6 months.</t>
  </si>
  <si>
    <t xml:space="preserve"> - Calculate the cost for the budget impact model using  cost per number of cycles, per year or per unit time. Input the length of time required  into the grey boxes where applicable. Irrelevant columns may be left blank. Use the drop down boxes to select days or months when calculate the cost per unit time.</t>
  </si>
  <si>
    <r>
      <t xml:space="preserve"> - Please input all information requested in this table to automatically calculate the cost per pack in Table C. Up to four type of packs  can be accomodated in this table across columns F to I. If there are less than four packs, please leave the extra columns blank. If there are more than four products, please contact</t>
    </r>
    <r>
      <rPr>
        <i/>
        <sz val="11"/>
        <color rgb="FFFF0000"/>
        <rFont val="Calibri"/>
        <family val="2"/>
        <scheme val="minor"/>
      </rPr>
      <t xml:space="preserve"> </t>
    </r>
    <r>
      <rPr>
        <i/>
        <sz val="11"/>
        <rFont val="Calibri"/>
        <family val="2"/>
        <scheme val="minor"/>
      </rPr>
      <t xml:space="preserve">bim@ncpe.ie. </t>
    </r>
  </si>
  <si>
    <r>
      <t xml:space="preserve">Estimated market shares should sum to 100% each year. </t>
    </r>
    <r>
      <rPr>
        <b/>
        <i/>
        <sz val="11"/>
        <rFont val="Calibri"/>
        <family val="2"/>
        <scheme val="minor"/>
      </rPr>
      <t>Where appropriate, outline if the market share estimates represent mid-year or end-of-year projections and the justification for taking this approach.</t>
    </r>
    <r>
      <rPr>
        <i/>
        <sz val="11"/>
        <rFont val="Calibri"/>
        <family val="2"/>
        <scheme val="minor"/>
      </rPr>
      <t xml:space="preserve"> Additional information regarding how market shares were obtained, e.g. market research can be submitted as a separate document/tab/excel file. For HTA submissions comparators with the highest market share should align with the chosen comparators in the cost-effectiveness model.</t>
    </r>
  </si>
  <si>
    <r>
      <rPr>
        <b/>
        <i/>
        <sz val="11"/>
        <rFont val="Calibri"/>
        <family val="2"/>
        <scheme val="minor"/>
      </rPr>
      <t xml:space="preserve">Estimated market shares should sum to 100% each year. </t>
    </r>
    <r>
      <rPr>
        <i/>
        <sz val="11"/>
        <rFont val="Calibri"/>
        <family val="2"/>
        <scheme val="minor"/>
      </rPr>
      <t>Additional information regarding how market shares were obtained, e.g. market research can be submitted as a separate worksheet. For HTA submissions comparators with the highest market share should align with the chosen comparators in the cost-effectiveness model.</t>
    </r>
  </si>
  <si>
    <t>This worksheet calculates the eligible patient population for the intervention under assessment. Market share estimates are input here. For HTA submissions comparators with the highest market share should align with the chosen comparators in the cost-effectiveness model.</t>
  </si>
  <si>
    <r>
      <t xml:space="preserve">Please select the number of comparators to be used in the model and insert a name and a short description (including INN and Brand name) for each comparator below.Up to 12 comparators can be used in this model. If more comparators exist, please contact bim@ncpe.ie </t>
    </r>
    <r>
      <rPr>
        <b/>
        <sz val="11"/>
        <rFont val="Calibri"/>
        <family val="2"/>
        <scheme val="minor"/>
      </rPr>
      <t>Note: For HTA submissions comparators with the highest market share should align with the chosen comparators in the cost-effectiveness model.</t>
    </r>
  </si>
  <si>
    <r>
      <rPr>
        <b/>
        <sz val="8"/>
        <color theme="1"/>
        <rFont val="Calibri"/>
        <family val="2"/>
        <scheme val="minor"/>
      </rPr>
      <t>Abbrevations: PAS</t>
    </r>
    <r>
      <rPr>
        <sz val="8"/>
        <color theme="1"/>
        <rFont val="Calibri"/>
        <family val="2"/>
        <scheme val="minor"/>
      </rPr>
      <t xml:space="preserve"> Patient Access Scheme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</si>
</sst>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quot;€&quot;#,##0.00"/>
    <numFmt numFmtId="43" formatCode="_-* #,##0.00_-;\-* #,##0.00_-;_-* &quot;-&quot;??_-;_-@_-"/>
    <numFmt numFmtId="164" formatCode="_(* #,##0.00_);_(* \(#,##0.00\);_(* &quot;-&quot;??_);_(@_)"/>
    <numFmt numFmtId="165" formatCode="&quot;€&quot;#,##0.00"/>
    <numFmt numFmtId="166" formatCode="[$€-83C]#,##0.00"/>
    <numFmt numFmtId="167" formatCode="_-&quot;£&quot;* #,##0.00_-;\-&quot;£&quot;* #,##0.00_-;_-&quot;£&quot;* &quot;-&quot;??_-;_-@_-"/>
    <numFmt numFmtId="168" formatCode="_(&quot;$&quot;* #,##0.00_);_(&quot;$&quot;* \(#,##0.00\);_(&quot;$&quot;* &quot;-&quot;??_);_(@_)"/>
    <numFmt numFmtId="169" formatCode="0.0%"/>
    <numFmt numFmtId="170" formatCode="0.0000%"/>
    <numFmt numFmtId="171" formatCode="#,##0.000"/>
  </numFmts>
  <fonts count="62" x14ac:knownFonts="1">
    <font>
      <sz val="11"/>
      <color theme="1"/>
      <name val="Calibri"/>
      <family val="2"/>
      <scheme val="minor"/>
    </font>
    <font>
      <sz val="12"/>
      <color theme="1"/>
      <name val="Calibri"/>
      <family val="2"/>
      <scheme val="minor"/>
    </font>
    <font>
      <b/>
      <sz val="11"/>
      <color theme="3"/>
      <name val="Calibri"/>
      <family val="2"/>
      <scheme val="minor"/>
    </font>
    <font>
      <b/>
      <sz val="11"/>
      <color theme="1"/>
      <name val="Calibri"/>
      <family val="2"/>
      <scheme val="minor"/>
    </font>
    <font>
      <sz val="10"/>
      <name val="Arial"/>
      <family val="2"/>
    </font>
    <font>
      <b/>
      <sz val="9"/>
      <name val="Calibri"/>
      <family val="2"/>
      <scheme val="minor"/>
    </font>
    <font>
      <i/>
      <sz val="11"/>
      <color theme="1"/>
      <name val="Calibri"/>
      <family val="2"/>
      <scheme val="minor"/>
    </font>
    <font>
      <i/>
      <sz val="10"/>
      <color rgb="FF000000"/>
      <name val="Calibri"/>
      <family val="2"/>
      <scheme val="minor"/>
    </font>
    <font>
      <u/>
      <sz val="11"/>
      <color theme="1"/>
      <name val="Calibri"/>
      <family val="2"/>
      <scheme val="minor"/>
    </font>
    <font>
      <b/>
      <u/>
      <sz val="11"/>
      <color theme="1"/>
      <name val="Calibri"/>
      <family val="2"/>
      <scheme val="minor"/>
    </font>
    <font>
      <b/>
      <i/>
      <sz val="11"/>
      <color theme="1"/>
      <name val="Calibri"/>
      <family val="2"/>
      <scheme val="minor"/>
    </font>
    <font>
      <sz val="11"/>
      <name val="Calibri"/>
      <family val="2"/>
      <scheme val="minor"/>
    </font>
    <font>
      <i/>
      <sz val="11"/>
      <name val="Calibri"/>
      <family val="2"/>
      <scheme val="minor"/>
    </font>
    <font>
      <sz val="11"/>
      <color rgb="FF000000"/>
      <name val="Calibri"/>
      <family val="2"/>
    </font>
    <font>
      <sz val="11"/>
      <color theme="1"/>
      <name val="Calibri"/>
      <family val="2"/>
      <scheme val="minor"/>
    </font>
    <font>
      <b/>
      <sz val="1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0"/>
      <color indexed="10"/>
      <name val="Arial"/>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2"/>
      <color theme="1"/>
      <name val="Calibri"/>
      <family val="2"/>
      <scheme val="minor"/>
    </font>
    <font>
      <b/>
      <i/>
      <sz val="10"/>
      <color theme="1"/>
      <name val="Calibri"/>
      <family val="2"/>
      <scheme val="minor"/>
    </font>
    <font>
      <sz val="11"/>
      <color rgb="FFFF0000"/>
      <name val="Calibri"/>
      <family val="2"/>
      <scheme val="minor"/>
    </font>
    <font>
      <u/>
      <sz val="11"/>
      <color theme="10"/>
      <name val="Calibri"/>
      <family val="2"/>
      <scheme val="minor"/>
    </font>
    <font>
      <sz val="8"/>
      <color theme="1"/>
      <name val="Calibri"/>
      <family val="2"/>
      <scheme val="minor"/>
    </font>
    <font>
      <i/>
      <sz val="11"/>
      <color rgb="FFB2B2B2"/>
      <name val="Calibri"/>
      <family val="2"/>
      <scheme val="minor"/>
    </font>
    <font>
      <sz val="11"/>
      <color rgb="FFB2B2B2"/>
      <name val="Calibri"/>
      <family val="2"/>
      <scheme val="minor"/>
    </font>
    <font>
      <sz val="9"/>
      <color rgb="FFB2B2B2"/>
      <name val="Wingdings 3"/>
      <family val="1"/>
      <charset val="2"/>
    </font>
    <font>
      <b/>
      <sz val="10"/>
      <color theme="1"/>
      <name val="Calibri"/>
      <family val="2"/>
      <scheme val="minor"/>
    </font>
    <font>
      <i/>
      <sz val="12"/>
      <color theme="1"/>
      <name val="Calibri"/>
      <family val="2"/>
      <scheme val="minor"/>
    </font>
    <font>
      <b/>
      <sz val="9"/>
      <color theme="1"/>
      <name val="Calibri"/>
      <family val="2"/>
      <scheme val="minor"/>
    </font>
    <font>
      <b/>
      <i/>
      <sz val="11"/>
      <color rgb="FFFF0000"/>
      <name val="Calibri"/>
      <family val="2"/>
      <scheme val="minor"/>
    </font>
    <font>
      <sz val="11"/>
      <color rgb="FF006100"/>
      <name val="Calibri"/>
      <family val="2"/>
      <scheme val="minor"/>
    </font>
    <font>
      <i/>
      <sz val="11"/>
      <color rgb="FFFF0000"/>
      <name val="Calibri"/>
      <family val="2"/>
      <scheme val="minor"/>
    </font>
    <font>
      <b/>
      <sz val="11"/>
      <color rgb="FFB2B2B2"/>
      <name val="Calibri"/>
      <family val="2"/>
      <scheme val="minor"/>
    </font>
    <font>
      <sz val="9"/>
      <color theme="1"/>
      <name val="Calibri"/>
      <family val="2"/>
      <scheme val="minor"/>
    </font>
    <font>
      <b/>
      <u/>
      <sz val="11"/>
      <name val="Calibri"/>
      <family val="2"/>
      <scheme val="minor"/>
    </font>
    <font>
      <sz val="9"/>
      <color theme="1"/>
      <name val="Wingdings 3"/>
      <family val="1"/>
      <charset val="2"/>
    </font>
    <font>
      <b/>
      <sz val="11"/>
      <color rgb="FFFF0000"/>
      <name val="Calibri"/>
      <family val="2"/>
      <scheme val="minor"/>
    </font>
    <font>
      <sz val="12"/>
      <name val="Calibri"/>
      <family val="2"/>
      <scheme val="minor"/>
    </font>
    <font>
      <i/>
      <sz val="12"/>
      <name val="Calibri"/>
      <family val="2"/>
      <scheme val="minor"/>
    </font>
    <font>
      <i/>
      <sz val="10"/>
      <name val="Calibri"/>
      <family val="2"/>
      <scheme val="minor"/>
    </font>
    <font>
      <sz val="11"/>
      <color rgb="FF2A3151"/>
      <name val="Calibri"/>
      <family val="2"/>
      <scheme val="minor"/>
    </font>
    <font>
      <b/>
      <u/>
      <sz val="11"/>
      <color rgb="FF2A3151"/>
      <name val="Calibri"/>
      <family val="2"/>
      <scheme val="minor"/>
    </font>
    <font>
      <b/>
      <sz val="11"/>
      <color rgb="FF2A3151"/>
      <name val="Calibri"/>
      <family val="2"/>
      <scheme val="minor"/>
    </font>
    <font>
      <b/>
      <i/>
      <sz val="11"/>
      <name val="Calibri"/>
      <family val="2"/>
      <scheme val="minor"/>
    </font>
    <font>
      <b/>
      <i/>
      <u/>
      <sz val="11"/>
      <name val="Calibri"/>
      <family val="2"/>
      <scheme val="minor"/>
    </font>
    <font>
      <b/>
      <sz val="8"/>
      <color theme="1"/>
      <name val="Calibri"/>
      <family val="2"/>
      <scheme val="minor"/>
    </font>
  </fonts>
  <fills count="2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indexed="27"/>
      </patternFill>
    </fill>
    <fill>
      <patternFill patternType="solid">
        <fgColor indexed="42"/>
      </patternFill>
    </fill>
    <fill>
      <patternFill patternType="solid">
        <fgColor indexed="22"/>
      </patternFill>
    </fill>
    <fill>
      <patternFill patternType="solid">
        <fgColor indexed="9"/>
      </patternFill>
    </fill>
    <fill>
      <patternFill patternType="solid">
        <fgColor indexed="36"/>
      </patternFill>
    </fill>
    <fill>
      <patternFill patternType="solid">
        <fgColor indexed="51"/>
      </patternFill>
    </fill>
    <fill>
      <patternFill patternType="solid">
        <fgColor indexed="13"/>
      </patternFill>
    </fill>
    <fill>
      <patternFill patternType="solid">
        <fgColor indexed="55"/>
      </patternFill>
    </fill>
    <fill>
      <patternFill patternType="solid">
        <fgColor indexed="11"/>
      </patternFill>
    </fill>
    <fill>
      <patternFill patternType="solid">
        <fgColor indexed="14"/>
      </patternFill>
    </fill>
    <fill>
      <patternFill patternType="solid">
        <fgColor indexed="40"/>
      </patternFill>
    </fill>
    <fill>
      <patternFill patternType="solid">
        <fgColor indexed="46"/>
      </patternFill>
    </fill>
    <fill>
      <patternFill patternType="solid">
        <fgColor indexed="30"/>
      </patternFill>
    </fill>
    <fill>
      <patternFill patternType="solid">
        <fgColor indexed="28"/>
      </patternFill>
    </fill>
    <fill>
      <patternFill patternType="solid">
        <fgColor rgb="FFFFFF00"/>
        <bgColor indexed="64"/>
      </patternFill>
    </fill>
    <fill>
      <patternFill patternType="solid">
        <fgColor rgb="FFC6EFCE"/>
      </patternFill>
    </fill>
    <fill>
      <patternFill patternType="solid">
        <fgColor rgb="FFDDDDDD"/>
        <bgColor indexed="64"/>
      </patternFill>
    </fill>
    <fill>
      <patternFill patternType="solid">
        <fgColor rgb="FFB6A8CC"/>
        <bgColor indexed="64"/>
      </patternFill>
    </fill>
    <fill>
      <patternFill patternType="solid">
        <fgColor theme="8"/>
        <bgColor indexed="64"/>
      </patternFill>
    </fill>
    <fill>
      <patternFill patternType="solid">
        <fgColor rgb="FFC1C7E1"/>
        <bgColor indexed="64"/>
      </patternFill>
    </fill>
    <fill>
      <patternFill patternType="solid">
        <fgColor rgb="FFD9D9D9"/>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1"/>
      </bottom>
      <diagonal/>
    </border>
    <border>
      <left/>
      <right/>
      <top/>
      <bottom style="thick">
        <color indexed="27"/>
      </bottom>
      <diagonal/>
    </border>
    <border>
      <left/>
      <right/>
      <top/>
      <bottom style="medium">
        <color indexed="51"/>
      </bottom>
      <diagonal/>
    </border>
    <border>
      <left/>
      <right/>
      <top/>
      <bottom style="double">
        <color indexed="5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51"/>
      </top>
      <bottom style="double">
        <color indexed="5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top/>
      <bottom/>
      <diagonal/>
    </border>
    <border>
      <left/>
      <right style="medium">
        <color indexed="64"/>
      </right>
      <top/>
      <bottom/>
      <diagonal/>
    </border>
  </borders>
  <cellStyleXfs count="59">
    <xf numFmtId="0" fontId="0" fillId="0" borderId="0"/>
    <xf numFmtId="0" fontId="4" fillId="0" borderId="0"/>
    <xf numFmtId="9" fontId="14" fillId="0" borderId="0" applyFont="0" applyFill="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5" borderId="0" applyNumberFormat="0" applyBorder="0" applyAlignment="0" applyProtection="0"/>
    <xf numFmtId="0" fontId="16" fillId="9"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5"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7" borderId="0" applyNumberFormat="0" applyBorder="0" applyAlignment="0" applyProtection="0"/>
    <xf numFmtId="0" fontId="17" fillId="12" borderId="0" applyNumberFormat="0" applyBorder="0" applyAlignment="0" applyProtection="0"/>
    <xf numFmtId="0" fontId="17" fillId="5"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3" borderId="0" applyNumberFormat="0" applyBorder="0" applyAlignment="0" applyProtection="0"/>
    <xf numFmtId="0" fontId="17" fillId="12"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8" fillId="16" borderId="0" applyNumberFormat="0" applyBorder="0" applyAlignment="0" applyProtection="0"/>
    <xf numFmtId="0" fontId="19" fillId="8" borderId="57" applyNumberFormat="0" applyAlignment="0" applyProtection="0"/>
    <xf numFmtId="0" fontId="20" fillId="12" borderId="58" applyNumberFormat="0" applyAlignment="0" applyProtection="0"/>
    <xf numFmtId="43" fontId="16" fillId="0" borderId="0" applyFont="0" applyFill="0" applyBorder="0" applyAlignment="0" applyProtection="0"/>
    <xf numFmtId="164" fontId="4" fillId="0" borderId="0" applyFont="0" applyFill="0" applyBorder="0" applyAlignment="0" applyProtection="0"/>
    <xf numFmtId="167" fontId="16" fillId="0" borderId="0" applyFont="0" applyFill="0" applyBorder="0" applyAlignment="0" applyProtection="0"/>
    <xf numFmtId="168" fontId="4" fillId="0" borderId="0" applyFont="0" applyFill="0" applyBorder="0" applyAlignment="0" applyProtection="0"/>
    <xf numFmtId="4" fontId="4" fillId="0" borderId="0" applyFont="0" applyBorder="0" applyAlignment="0">
      <alignment vertical="center"/>
    </xf>
    <xf numFmtId="0" fontId="21" fillId="0" borderId="0" applyNumberFormat="0" applyFill="0" applyBorder="0" applyAlignment="0" applyProtection="0"/>
    <xf numFmtId="0" fontId="22" fillId="17" borderId="0" applyNumberFormat="0" applyBorder="0" applyAlignment="0" applyProtection="0"/>
    <xf numFmtId="0" fontId="23" fillId="0" borderId="59" applyNumberFormat="0" applyFill="0" applyAlignment="0" applyProtection="0"/>
    <xf numFmtId="0" fontId="24" fillId="0" borderId="60" applyNumberFormat="0" applyFill="0" applyAlignment="0" applyProtection="0"/>
    <xf numFmtId="0" fontId="25" fillId="0" borderId="61" applyNumberFormat="0" applyFill="0" applyAlignment="0" applyProtection="0"/>
    <xf numFmtId="0" fontId="25" fillId="0" borderId="0" applyNumberFormat="0" applyFill="0" applyBorder="0" applyAlignment="0" applyProtection="0"/>
    <xf numFmtId="0" fontId="26" fillId="18" borderId="57" applyNumberFormat="0" applyAlignment="0" applyProtection="0"/>
    <xf numFmtId="0" fontId="27" fillId="0" borderId="62" applyNumberFormat="0" applyFill="0" applyAlignment="0" applyProtection="0"/>
    <xf numFmtId="0" fontId="28" fillId="0" borderId="0" applyNumberFormat="0" applyFill="0" applyBorder="0" applyAlignment="0"/>
    <xf numFmtId="0" fontId="29" fillId="18" borderId="0" applyNumberFormat="0" applyBorder="0" applyAlignment="0" applyProtection="0"/>
    <xf numFmtId="0" fontId="4" fillId="0" borderId="0"/>
    <xf numFmtId="0" fontId="4" fillId="18" borderId="63" applyNumberFormat="0" applyFont="0" applyAlignment="0" applyProtection="0"/>
    <xf numFmtId="0" fontId="30" fillId="8" borderId="64" applyNumberFormat="0" applyAlignment="0" applyProtection="0"/>
    <xf numFmtId="9" fontId="16"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0" fontId="31" fillId="0" borderId="0" applyNumberFormat="0" applyFill="0" applyBorder="0" applyAlignment="0" applyProtection="0"/>
    <xf numFmtId="0" fontId="32" fillId="0" borderId="65" applyNumberFormat="0" applyFill="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46" fillId="20" borderId="0" applyNumberFormat="0" applyBorder="0" applyAlignment="0" applyProtection="0"/>
    <xf numFmtId="43" fontId="14" fillId="0" borderId="0" applyFont="0" applyFill="0" applyBorder="0" applyAlignment="0" applyProtection="0"/>
  </cellStyleXfs>
  <cellXfs count="629">
    <xf numFmtId="0" fontId="0" fillId="0" borderId="0" xfId="0"/>
    <xf numFmtId="0" fontId="0" fillId="2" borderId="0" xfId="0" applyFill="1"/>
    <xf numFmtId="0" fontId="5" fillId="2" borderId="0" xfId="0" applyFont="1" applyFill="1"/>
    <xf numFmtId="0" fontId="3" fillId="2" borderId="0" xfId="0" applyFont="1" applyFill="1" applyAlignment="1">
      <alignment horizontal="center"/>
    </xf>
    <xf numFmtId="0" fontId="0" fillId="2" borderId="0" xfId="0" applyFill="1" applyAlignment="1">
      <alignment horizontal="center"/>
    </xf>
    <xf numFmtId="0" fontId="0" fillId="2" borderId="0" xfId="0" applyFill="1" applyBorder="1"/>
    <xf numFmtId="0" fontId="7" fillId="2" borderId="0" xfId="0" applyFont="1" applyFill="1" applyAlignment="1">
      <alignment horizontal="left" vertical="center" readingOrder="1"/>
    </xf>
    <xf numFmtId="0" fontId="2" fillId="2" borderId="0" xfId="0" applyFont="1" applyFill="1" applyAlignment="1">
      <alignment horizontal="center"/>
    </xf>
    <xf numFmtId="0" fontId="0" fillId="2" borderId="0" xfId="0" applyFill="1" applyBorder="1" applyAlignment="1">
      <alignment horizontal="center"/>
    </xf>
    <xf numFmtId="0" fontId="8" fillId="2" borderId="0" xfId="0" applyFont="1" applyFill="1" applyBorder="1"/>
    <xf numFmtId="0" fontId="3" fillId="2" borderId="29" xfId="0" applyFont="1" applyFill="1" applyBorder="1" applyAlignment="1">
      <alignment horizontal="center"/>
    </xf>
    <xf numFmtId="0" fontId="3" fillId="2" borderId="30" xfId="0" applyFont="1" applyFill="1" applyBorder="1" applyAlignment="1">
      <alignment horizontal="center"/>
    </xf>
    <xf numFmtId="0" fontId="3" fillId="2" borderId="34" xfId="0" applyFont="1" applyFill="1" applyBorder="1" applyAlignment="1">
      <alignment horizontal="center"/>
    </xf>
    <xf numFmtId="0" fontId="3" fillId="2" borderId="13" xfId="0" applyFont="1" applyFill="1" applyBorder="1" applyAlignment="1">
      <alignment horizontal="center"/>
    </xf>
    <xf numFmtId="0" fontId="6" fillId="2" borderId="0" xfId="0" applyFont="1" applyFill="1"/>
    <xf numFmtId="0" fontId="6" fillId="2" borderId="0" xfId="0" applyFont="1" applyFill="1" applyAlignment="1">
      <alignment horizontal="center"/>
    </xf>
    <xf numFmtId="0" fontId="3" fillId="2" borderId="37" xfId="0" applyFont="1" applyFill="1" applyBorder="1" applyAlignment="1">
      <alignment horizontal="center"/>
    </xf>
    <xf numFmtId="0" fontId="3" fillId="2" borderId="35" xfId="0" applyFont="1" applyFill="1" applyBorder="1" applyAlignment="1">
      <alignment horizontal="center"/>
    </xf>
    <xf numFmtId="0" fontId="0" fillId="2" borderId="13" xfId="0" applyFill="1" applyBorder="1" applyAlignment="1">
      <alignment horizontal="center"/>
    </xf>
    <xf numFmtId="0" fontId="0" fillId="4" borderId="0" xfId="0" applyFill="1" applyBorder="1"/>
    <xf numFmtId="0" fontId="0" fillId="2" borderId="0" xfId="0" applyFill="1" applyAlignment="1"/>
    <xf numFmtId="0" fontId="6" fillId="2" borderId="0" xfId="0" applyFont="1" applyFill="1" applyAlignment="1"/>
    <xf numFmtId="0" fontId="0" fillId="4" borderId="0" xfId="0" applyFill="1"/>
    <xf numFmtId="0" fontId="6" fillId="2" borderId="0" xfId="0" applyFont="1" applyFill="1" applyBorder="1"/>
    <xf numFmtId="0" fontId="8" fillId="2" borderId="0" xfId="0" applyFont="1" applyFill="1"/>
    <xf numFmtId="0" fontId="9" fillId="2" borderId="0" xfId="0" applyFont="1" applyFill="1"/>
    <xf numFmtId="0" fontId="0" fillId="2" borderId="0" xfId="0" applyFont="1" applyFill="1"/>
    <xf numFmtId="0" fontId="3" fillId="2" borderId="0" xfId="0" applyFont="1" applyFill="1" applyAlignment="1">
      <alignment horizontal="center"/>
    </xf>
    <xf numFmtId="0" fontId="3" fillId="3" borderId="20" xfId="0" applyFont="1" applyFill="1" applyBorder="1" applyAlignment="1">
      <alignment horizontal="center" vertical="center"/>
    </xf>
    <xf numFmtId="10" fontId="0" fillId="4" borderId="22" xfId="0" applyNumberFormat="1" applyFont="1" applyFill="1" applyBorder="1" applyAlignment="1">
      <alignment horizontal="center" vertical="center"/>
    </xf>
    <xf numFmtId="0" fontId="3" fillId="3" borderId="12" xfId="0" applyFont="1" applyFill="1" applyBorder="1" applyAlignment="1">
      <alignment horizontal="center" vertical="center"/>
    </xf>
    <xf numFmtId="0" fontId="0" fillId="2" borderId="0" xfId="0" applyFill="1" applyAlignment="1">
      <alignment vertical="center"/>
    </xf>
    <xf numFmtId="0" fontId="6" fillId="2" borderId="0" xfId="0" applyFont="1" applyFill="1" applyAlignment="1">
      <alignment horizontal="center" vertical="center"/>
    </xf>
    <xf numFmtId="0" fontId="3" fillId="2" borderId="41" xfId="0" applyFont="1" applyFill="1" applyBorder="1" applyAlignment="1">
      <alignment horizontal="center"/>
    </xf>
    <xf numFmtId="0" fontId="3" fillId="2" borderId="29" xfId="0" applyFont="1" applyFill="1" applyBorder="1" applyAlignment="1">
      <alignment horizontal="center"/>
    </xf>
    <xf numFmtId="0" fontId="3" fillId="2" borderId="30" xfId="0" applyFont="1" applyFill="1" applyBorder="1" applyAlignment="1">
      <alignment horizontal="center"/>
    </xf>
    <xf numFmtId="0" fontId="6" fillId="2" borderId="0" xfId="0" applyFont="1" applyFill="1" applyAlignment="1">
      <alignment horizontal="left" vertical="top" wrapText="1"/>
    </xf>
    <xf numFmtId="0" fontId="12" fillId="2" borderId="0" xfId="0" applyFont="1" applyFill="1" applyAlignment="1">
      <alignment horizontal="left" vertical="center" wrapText="1"/>
    </xf>
    <xf numFmtId="0" fontId="3" fillId="2" borderId="29" xfId="0" applyFont="1" applyFill="1" applyBorder="1" applyAlignment="1">
      <alignment horizontal="center"/>
    </xf>
    <xf numFmtId="0" fontId="3" fillId="2" borderId="30" xfId="0" applyFont="1" applyFill="1" applyBorder="1" applyAlignment="1">
      <alignment horizontal="center"/>
    </xf>
    <xf numFmtId="0" fontId="3" fillId="2" borderId="41" xfId="0" applyFont="1" applyFill="1" applyBorder="1" applyAlignment="1">
      <alignment horizontal="center"/>
    </xf>
    <xf numFmtId="0" fontId="3" fillId="2" borderId="0" xfId="0" applyFont="1" applyFill="1" applyAlignment="1">
      <alignment horizontal="center"/>
    </xf>
    <xf numFmtId="0" fontId="12" fillId="2" borderId="0" xfId="0" applyFont="1" applyFill="1" applyAlignment="1">
      <alignment horizontal="left" vertical="center" wrapText="1"/>
    </xf>
    <xf numFmtId="0" fontId="0" fillId="2" borderId="0" xfId="0" applyFill="1" applyBorder="1" applyAlignment="1">
      <alignment horizontal="left" vertical="center"/>
    </xf>
    <xf numFmtId="2" fontId="0" fillId="2" borderId="35" xfId="0" applyNumberFormat="1" applyFill="1" applyBorder="1" applyAlignment="1">
      <alignment horizontal="center"/>
    </xf>
    <xf numFmtId="2" fontId="0" fillId="2" borderId="13" xfId="0" applyNumberFormat="1" applyFill="1" applyBorder="1" applyAlignment="1">
      <alignment horizontal="center"/>
    </xf>
    <xf numFmtId="165" fontId="0" fillId="2" borderId="0" xfId="0" applyNumberFormat="1" applyFill="1"/>
    <xf numFmtId="0" fontId="3" fillId="2" borderId="26" xfId="0" applyFont="1" applyFill="1" applyBorder="1" applyAlignment="1">
      <alignment horizontal="center"/>
    </xf>
    <xf numFmtId="0" fontId="3" fillId="2" borderId="54" xfId="0" applyFont="1" applyFill="1" applyBorder="1" applyAlignment="1">
      <alignment horizontal="center"/>
    </xf>
    <xf numFmtId="0" fontId="12" fillId="2" borderId="0" xfId="0" applyFont="1" applyFill="1" applyAlignment="1">
      <alignment vertical="center"/>
    </xf>
    <xf numFmtId="0" fontId="15" fillId="0" borderId="15" xfId="0" applyFont="1" applyFill="1" applyBorder="1" applyAlignment="1">
      <alignment horizontal="center"/>
    </xf>
    <xf numFmtId="0" fontId="15" fillId="0" borderId="16" xfId="0" applyFont="1" applyFill="1" applyBorder="1" applyAlignment="1">
      <alignment horizontal="center"/>
    </xf>
    <xf numFmtId="1" fontId="0" fillId="0" borderId="1" xfId="0" applyNumberFormat="1" applyFont="1" applyFill="1" applyBorder="1" applyAlignment="1">
      <alignment horizontal="center"/>
    </xf>
    <xf numFmtId="1" fontId="0" fillId="0" borderId="9" xfId="0" applyNumberFormat="1" applyFont="1" applyFill="1" applyBorder="1" applyAlignment="1">
      <alignment horizontal="center"/>
    </xf>
    <xf numFmtId="1" fontId="0" fillId="0" borderId="50" xfId="2" applyNumberFormat="1" applyFont="1" applyFill="1" applyBorder="1" applyAlignment="1">
      <alignment horizontal="center"/>
    </xf>
    <xf numFmtId="9" fontId="0" fillId="0" borderId="50" xfId="2" applyNumberFormat="1" applyFont="1" applyFill="1" applyBorder="1" applyAlignment="1">
      <alignment horizontal="center"/>
    </xf>
    <xf numFmtId="2" fontId="0" fillId="4" borderId="1" xfId="2" applyNumberFormat="1" applyFont="1" applyFill="1" applyBorder="1" applyAlignment="1">
      <alignment horizontal="center"/>
    </xf>
    <xf numFmtId="2" fontId="0" fillId="4" borderId="9" xfId="2" applyNumberFormat="1" applyFont="1" applyFill="1" applyBorder="1" applyAlignment="1">
      <alignment horizontal="center"/>
    </xf>
    <xf numFmtId="165" fontId="0" fillId="2" borderId="0" xfId="0" applyNumberFormat="1" applyFont="1" applyFill="1"/>
    <xf numFmtId="0" fontId="3" fillId="2" borderId="1" xfId="0" applyFont="1" applyFill="1" applyBorder="1" applyAlignment="1">
      <alignment horizontal="center"/>
    </xf>
    <xf numFmtId="3" fontId="0" fillId="2" borderId="1" xfId="0" applyNumberFormat="1" applyFont="1" applyFill="1" applyBorder="1" applyAlignment="1">
      <alignment horizontal="center"/>
    </xf>
    <xf numFmtId="0" fontId="3" fillId="2" borderId="1" xfId="0" applyFont="1" applyFill="1" applyBorder="1" applyAlignment="1">
      <alignment horizontal="left"/>
    </xf>
    <xf numFmtId="0" fontId="0" fillId="2" borderId="1" xfId="0" applyNumberFormat="1" applyFont="1" applyFill="1" applyBorder="1"/>
    <xf numFmtId="0" fontId="3" fillId="2" borderId="0" xfId="0" applyFont="1" applyFill="1" applyAlignment="1">
      <alignment horizontal="left"/>
    </xf>
    <xf numFmtId="0" fontId="3" fillId="2" borderId="0" xfId="0" applyFont="1" applyFill="1" applyAlignment="1">
      <alignment horizontal="center"/>
    </xf>
    <xf numFmtId="0" fontId="0" fillId="2" borderId="0" xfId="0" applyFont="1" applyFill="1" applyBorder="1"/>
    <xf numFmtId="0" fontId="0" fillId="2" borderId="0" xfId="0" applyFont="1" applyFill="1" applyAlignment="1">
      <alignment horizontal="center"/>
    </xf>
    <xf numFmtId="0" fontId="15" fillId="2" borderId="0" xfId="1" applyFont="1" applyFill="1" applyBorder="1" applyAlignment="1">
      <alignment horizontal="center"/>
    </xf>
    <xf numFmtId="2" fontId="0" fillId="2" borderId="44" xfId="0" applyNumberFormat="1" applyFill="1" applyBorder="1" applyAlignment="1">
      <alignment horizontal="center"/>
    </xf>
    <xf numFmtId="2" fontId="0" fillId="2" borderId="46" xfId="0" applyNumberFormat="1" applyFill="1" applyBorder="1" applyAlignment="1">
      <alignment horizontal="center"/>
    </xf>
    <xf numFmtId="2" fontId="0" fillId="2" borderId="42" xfId="0" applyNumberFormat="1" applyFill="1" applyBorder="1" applyAlignment="1">
      <alignment horizontal="center"/>
    </xf>
    <xf numFmtId="2" fontId="0" fillId="2" borderId="66" xfId="0" applyNumberFormat="1" applyFill="1" applyBorder="1" applyAlignment="1">
      <alignment horizontal="center"/>
    </xf>
    <xf numFmtId="2" fontId="0" fillId="2" borderId="56" xfId="0" applyNumberFormat="1" applyFill="1" applyBorder="1" applyAlignment="1">
      <alignment horizontal="center"/>
    </xf>
    <xf numFmtId="2" fontId="0" fillId="2" borderId="67" xfId="0" applyNumberFormat="1" applyFill="1" applyBorder="1" applyAlignment="1">
      <alignment horizontal="center"/>
    </xf>
    <xf numFmtId="2" fontId="0" fillId="2" borderId="39" xfId="0" applyNumberFormat="1" applyFill="1" applyBorder="1" applyAlignment="1">
      <alignment horizontal="center"/>
    </xf>
    <xf numFmtId="2" fontId="0" fillId="2" borderId="40" xfId="0" applyNumberFormat="1" applyFill="1" applyBorder="1" applyAlignment="1">
      <alignment horizontal="center"/>
    </xf>
    <xf numFmtId="2" fontId="0" fillId="2" borderId="4" xfId="0" applyNumberFormat="1" applyFill="1" applyBorder="1" applyAlignment="1">
      <alignment horizontal="center"/>
    </xf>
    <xf numFmtId="2" fontId="0" fillId="2" borderId="45" xfId="0" applyNumberFormat="1" applyFill="1" applyBorder="1" applyAlignment="1">
      <alignment horizontal="center"/>
    </xf>
    <xf numFmtId="2" fontId="0" fillId="2" borderId="47" xfId="0" applyNumberFormat="1" applyFill="1" applyBorder="1" applyAlignment="1">
      <alignment horizontal="center"/>
    </xf>
    <xf numFmtId="2" fontId="0" fillId="2" borderId="19" xfId="0" applyNumberFormat="1" applyFill="1" applyBorder="1" applyAlignment="1">
      <alignment horizontal="center"/>
    </xf>
    <xf numFmtId="2" fontId="0" fillId="2" borderId="68" xfId="0" applyNumberFormat="1" applyFill="1" applyBorder="1" applyAlignment="1">
      <alignment horizontal="center"/>
    </xf>
    <xf numFmtId="2" fontId="0" fillId="2" borderId="53" xfId="0" applyNumberFormat="1" applyFill="1" applyBorder="1" applyAlignment="1">
      <alignment horizontal="center"/>
    </xf>
    <xf numFmtId="2" fontId="0" fillId="2" borderId="55" xfId="0" applyNumberFormat="1" applyFill="1" applyBorder="1" applyAlignment="1">
      <alignment horizontal="center"/>
    </xf>
    <xf numFmtId="2" fontId="0" fillId="2" borderId="11" xfId="0" applyNumberFormat="1" applyFill="1" applyBorder="1" applyAlignment="1">
      <alignment horizontal="center"/>
    </xf>
    <xf numFmtId="2" fontId="0" fillId="2" borderId="8" xfId="0" applyNumberFormat="1" applyFill="1" applyBorder="1" applyAlignment="1">
      <alignment horizontal="center"/>
    </xf>
    <xf numFmtId="2" fontId="0" fillId="2" borderId="70" xfId="0" applyNumberFormat="1" applyFill="1" applyBorder="1" applyAlignment="1">
      <alignment horizontal="center"/>
    </xf>
    <xf numFmtId="0" fontId="3" fillId="2" borderId="28" xfId="0" applyFont="1" applyFill="1" applyBorder="1" applyAlignment="1">
      <alignment horizontal="center"/>
    </xf>
    <xf numFmtId="0" fontId="3" fillId="2" borderId="27" xfId="0" applyFont="1" applyFill="1" applyBorder="1" applyAlignment="1">
      <alignment horizontal="center"/>
    </xf>
    <xf numFmtId="0" fontId="0" fillId="2" borderId="0" xfId="0" applyFill="1" applyAlignment="1">
      <alignment horizontal="left"/>
    </xf>
    <xf numFmtId="0" fontId="3" fillId="2" borderId="0" xfId="0" applyFont="1" applyFill="1" applyBorder="1" applyAlignment="1">
      <alignment horizontal="center" vertical="center" wrapText="1"/>
    </xf>
    <xf numFmtId="1" fontId="0" fillId="4" borderId="13" xfId="0" applyNumberFormat="1" applyFont="1" applyFill="1" applyBorder="1" applyAlignment="1">
      <alignment horizontal="center" vertical="center"/>
    </xf>
    <xf numFmtId="0" fontId="0" fillId="2" borderId="44" xfId="0" applyFont="1" applyFill="1" applyBorder="1" applyAlignment="1">
      <alignment horizontal="center" vertical="center"/>
    </xf>
    <xf numFmtId="0" fontId="0" fillId="2" borderId="46" xfId="0" applyFont="1" applyFill="1" applyBorder="1" applyAlignment="1">
      <alignment horizontal="center"/>
    </xf>
    <xf numFmtId="9" fontId="0" fillId="2" borderId="56" xfId="2" applyFont="1" applyFill="1" applyBorder="1" applyAlignment="1">
      <alignment horizontal="center"/>
    </xf>
    <xf numFmtId="10" fontId="0" fillId="4" borderId="51" xfId="0" applyNumberFormat="1" applyFont="1" applyFill="1" applyBorder="1" applyAlignment="1">
      <alignment horizontal="center" vertical="center"/>
    </xf>
    <xf numFmtId="0" fontId="35" fillId="2" borderId="0" xfId="0" applyFont="1" applyFill="1"/>
    <xf numFmtId="0" fontId="0" fillId="19" borderId="0" xfId="0" applyFill="1" applyBorder="1"/>
    <xf numFmtId="170" fontId="0" fillId="4" borderId="51" xfId="0" applyNumberFormat="1" applyFont="1" applyFill="1" applyBorder="1" applyAlignment="1">
      <alignment horizontal="center" vertical="center"/>
    </xf>
    <xf numFmtId="0" fontId="10" fillId="2" borderId="0" xfId="0" applyFont="1" applyFill="1"/>
    <xf numFmtId="9" fontId="38" fillId="2" borderId="1" xfId="0" applyNumberFormat="1" applyFont="1" applyFill="1" applyBorder="1" applyAlignment="1">
      <alignment horizontal="center"/>
    </xf>
    <xf numFmtId="10" fontId="38" fillId="2" borderId="1" xfId="0" applyNumberFormat="1" applyFont="1" applyFill="1" applyBorder="1" applyAlignment="1">
      <alignment horizontal="center"/>
    </xf>
    <xf numFmtId="165" fontId="38" fillId="2" borderId="1" xfId="0" applyNumberFormat="1" applyFont="1" applyFill="1" applyBorder="1" applyAlignment="1">
      <alignment horizontal="center"/>
    </xf>
    <xf numFmtId="0" fontId="38" fillId="2" borderId="1" xfId="0" applyFont="1" applyFill="1" applyBorder="1" applyAlignment="1">
      <alignment horizontal="center"/>
    </xf>
    <xf numFmtId="0" fontId="36" fillId="2" borderId="0" xfId="0" applyFont="1" applyFill="1"/>
    <xf numFmtId="0" fontId="36" fillId="2" borderId="0" xfId="0" applyFont="1" applyFill="1" applyBorder="1"/>
    <xf numFmtId="0" fontId="6" fillId="2" borderId="0" xfId="0" applyFont="1" applyFill="1" applyBorder="1" applyAlignment="1">
      <alignment vertical="center" wrapText="1"/>
    </xf>
    <xf numFmtId="0" fontId="39" fillId="2" borderId="0" xfId="0" applyFont="1" applyFill="1" applyAlignment="1">
      <alignment horizontal="left" wrapText="1"/>
    </xf>
    <xf numFmtId="0" fontId="40" fillId="2" borderId="0" xfId="0" applyFont="1" applyFill="1"/>
    <xf numFmtId="0" fontId="40" fillId="2" borderId="0" xfId="0" applyFont="1" applyFill="1" applyBorder="1" applyAlignment="1">
      <alignment horizontal="center"/>
    </xf>
    <xf numFmtId="0" fontId="40" fillId="4" borderId="0" xfId="0" applyFont="1" applyFill="1"/>
    <xf numFmtId="0" fontId="6" fillId="2" borderId="0" xfId="0" applyFont="1" applyFill="1" applyAlignment="1">
      <alignment vertical="center"/>
    </xf>
    <xf numFmtId="0" fontId="0" fillId="2" borderId="0" xfId="0" applyFill="1" applyAlignment="1">
      <alignment horizontal="center"/>
    </xf>
    <xf numFmtId="0" fontId="0" fillId="2" borderId="0" xfId="0" applyFont="1" applyFill="1" applyBorder="1" applyAlignment="1">
      <alignment horizontal="center" vertical="center"/>
    </xf>
    <xf numFmtId="165" fontId="0" fillId="2" borderId="46" xfId="0" applyNumberFormat="1" applyFill="1" applyBorder="1" applyAlignment="1">
      <alignment horizontal="right"/>
    </xf>
    <xf numFmtId="165" fontId="0" fillId="2" borderId="66" xfId="0" applyNumberFormat="1" applyFill="1" applyBorder="1" applyAlignment="1">
      <alignment horizontal="right"/>
    </xf>
    <xf numFmtId="165" fontId="0" fillId="2" borderId="56" xfId="0" applyNumberFormat="1" applyFill="1" applyBorder="1" applyAlignment="1">
      <alignment horizontal="right"/>
    </xf>
    <xf numFmtId="165" fontId="0" fillId="2" borderId="13" xfId="0" applyNumberFormat="1" applyFill="1" applyBorder="1" applyAlignment="1">
      <alignment horizontal="right"/>
    </xf>
    <xf numFmtId="166" fontId="0" fillId="4" borderId="35" xfId="0" applyNumberFormat="1" applyFill="1" applyBorder="1" applyAlignment="1">
      <alignment horizontal="right"/>
    </xf>
    <xf numFmtId="165" fontId="3" fillId="2" borderId="14" xfId="0" applyNumberFormat="1" applyFont="1" applyFill="1" applyBorder="1" applyAlignment="1">
      <alignment horizontal="right"/>
    </xf>
    <xf numFmtId="165" fontId="3" fillId="2" borderId="13" xfId="0" applyNumberFormat="1" applyFont="1" applyFill="1" applyBorder="1" applyAlignment="1">
      <alignment horizontal="right"/>
    </xf>
    <xf numFmtId="165" fontId="3" fillId="2" borderId="31" xfId="0" applyNumberFormat="1" applyFont="1" applyFill="1" applyBorder="1" applyAlignment="1">
      <alignment horizontal="right"/>
    </xf>
    <xf numFmtId="165" fontId="3" fillId="2" borderId="35" xfId="0" applyNumberFormat="1" applyFont="1" applyFill="1" applyBorder="1" applyAlignment="1">
      <alignment horizontal="right"/>
    </xf>
    <xf numFmtId="165" fontId="0" fillId="2" borderId="1" xfId="0" applyNumberFormat="1" applyFont="1" applyFill="1" applyBorder="1" applyAlignment="1">
      <alignment horizontal="right"/>
    </xf>
    <xf numFmtId="166" fontId="0" fillId="4" borderId="38" xfId="0" applyNumberFormat="1" applyFill="1" applyBorder="1" applyAlignment="1">
      <alignment horizontal="right"/>
    </xf>
    <xf numFmtId="0" fontId="41" fillId="2" borderId="0" xfId="56" quotePrefix="1" applyFont="1" applyFill="1" applyBorder="1"/>
    <xf numFmtId="0" fontId="6" fillId="2" borderId="0" xfId="0" applyFont="1" applyFill="1" applyAlignment="1">
      <alignment horizontal="left"/>
    </xf>
    <xf numFmtId="0" fontId="12" fillId="2" borderId="0" xfId="0" applyFont="1" applyFill="1" applyBorder="1" applyAlignment="1">
      <alignment vertical="center"/>
    </xf>
    <xf numFmtId="0" fontId="41" fillId="2" borderId="0" xfId="0" applyFont="1" applyFill="1"/>
    <xf numFmtId="0" fontId="12" fillId="2" borderId="0" xfId="0" applyFont="1" applyFill="1" applyAlignment="1">
      <alignment horizontal="left" vertical="center" wrapText="1"/>
    </xf>
    <xf numFmtId="0" fontId="3" fillId="2" borderId="9" xfId="0" applyFont="1" applyFill="1" applyBorder="1" applyAlignment="1">
      <alignment horizontal="center" vertical="center"/>
    </xf>
    <xf numFmtId="0" fontId="3" fillId="2" borderId="21" xfId="0" applyFont="1" applyFill="1" applyBorder="1" applyAlignment="1">
      <alignment horizontal="center" vertical="center"/>
    </xf>
    <xf numFmtId="0" fontId="3" fillId="2" borderId="20" xfId="0" applyFont="1" applyFill="1" applyBorder="1" applyAlignment="1">
      <alignment horizontal="center" vertical="center"/>
    </xf>
    <xf numFmtId="165" fontId="0" fillId="2" borderId="35" xfId="0" applyNumberFormat="1" applyFill="1" applyBorder="1" applyAlignment="1">
      <alignment horizontal="right"/>
    </xf>
    <xf numFmtId="0" fontId="44" fillId="2" borderId="0" xfId="0" applyFont="1" applyFill="1"/>
    <xf numFmtId="0" fontId="0" fillId="4" borderId="22" xfId="0" applyFont="1" applyFill="1" applyBorder="1" applyAlignment="1">
      <alignment horizontal="center" vertical="center"/>
    </xf>
    <xf numFmtId="0" fontId="0" fillId="4" borderId="23" xfId="0" applyFont="1" applyFill="1" applyBorder="1" applyAlignment="1">
      <alignment horizontal="center" vertical="center"/>
    </xf>
    <xf numFmtId="0" fontId="0" fillId="4" borderId="25" xfId="0" applyFont="1" applyFill="1" applyBorder="1" applyAlignment="1">
      <alignment horizontal="center" vertical="center"/>
    </xf>
    <xf numFmtId="0" fontId="12" fillId="2" borderId="0" xfId="0" applyFont="1" applyFill="1" applyAlignment="1">
      <alignment vertical="center" wrapText="1"/>
    </xf>
    <xf numFmtId="0" fontId="6" fillId="2" borderId="0" xfId="0" applyFont="1" applyFill="1" applyAlignment="1">
      <alignment vertical="center" wrapText="1"/>
    </xf>
    <xf numFmtId="171" fontId="0" fillId="2" borderId="0" xfId="0" applyNumberFormat="1" applyFill="1"/>
    <xf numFmtId="0" fontId="36" fillId="2" borderId="0" xfId="0" applyFont="1" applyFill="1" applyAlignment="1">
      <alignment horizontal="left"/>
    </xf>
    <xf numFmtId="0" fontId="3" fillId="2" borderId="0" xfId="0" applyFont="1" applyFill="1" applyAlignment="1">
      <alignment horizontal="center"/>
    </xf>
    <xf numFmtId="0" fontId="3" fillId="2" borderId="36" xfId="0" applyFont="1" applyFill="1" applyBorder="1" applyAlignment="1">
      <alignment horizontal="center" vertical="center"/>
    </xf>
    <xf numFmtId="0" fontId="3" fillId="2" borderId="35" xfId="0" applyFont="1" applyFill="1" applyBorder="1" applyAlignment="1">
      <alignment horizontal="center"/>
    </xf>
    <xf numFmtId="0" fontId="3" fillId="2" borderId="37" xfId="0" applyFont="1" applyFill="1" applyBorder="1" applyAlignment="1">
      <alignment horizontal="center"/>
    </xf>
    <xf numFmtId="0" fontId="0" fillId="4" borderId="37" xfId="0" applyNumberFormat="1" applyFont="1" applyFill="1" applyBorder="1" applyAlignment="1">
      <alignment horizontal="center" vertical="center"/>
    </xf>
    <xf numFmtId="0" fontId="12" fillId="2" borderId="0" xfId="0" applyFont="1" applyFill="1" applyBorder="1" applyAlignment="1">
      <alignment horizontal="left" vertical="center" wrapText="1"/>
    </xf>
    <xf numFmtId="0" fontId="3" fillId="2" borderId="0" xfId="0" applyFont="1" applyFill="1" applyAlignment="1">
      <alignment horizontal="left"/>
    </xf>
    <xf numFmtId="0" fontId="6" fillId="2" borderId="0" xfId="0" applyFont="1" applyFill="1" applyAlignment="1">
      <alignment horizontal="left" wrapText="1"/>
    </xf>
    <xf numFmtId="0" fontId="3" fillId="21" borderId="13" xfId="0" applyFont="1" applyFill="1" applyBorder="1" applyAlignment="1">
      <alignment horizontal="center" vertical="center"/>
    </xf>
    <xf numFmtId="165" fontId="46" fillId="22" borderId="13" xfId="57" applyNumberFormat="1" applyFill="1" applyBorder="1" applyAlignment="1">
      <alignment horizontal="center" vertical="center"/>
    </xf>
    <xf numFmtId="165" fontId="0" fillId="4" borderId="13" xfId="0" applyNumberFormat="1" applyFont="1" applyFill="1" applyBorder="1" applyAlignment="1">
      <alignment horizontal="right" vertical="center"/>
    </xf>
    <xf numFmtId="0" fontId="0" fillId="2" borderId="0" xfId="0" quotePrefix="1" applyFill="1"/>
    <xf numFmtId="0" fontId="0" fillId="0" borderId="0" xfId="0" applyFill="1" applyBorder="1" applyAlignment="1">
      <alignment horizontal="center"/>
    </xf>
    <xf numFmtId="0" fontId="0" fillId="4" borderId="13" xfId="0" applyNumberFormat="1" applyFont="1" applyFill="1" applyBorder="1" applyAlignment="1">
      <alignment horizontal="center" vertical="center"/>
    </xf>
    <xf numFmtId="0" fontId="3" fillId="2" borderId="0" xfId="0" applyFont="1" applyFill="1"/>
    <xf numFmtId="0" fontId="3" fillId="2" borderId="54" xfId="0" applyFont="1" applyFill="1" applyBorder="1" applyAlignment="1">
      <alignment horizontal="center" vertical="center"/>
    </xf>
    <xf numFmtId="165" fontId="0" fillId="2" borderId="66" xfId="0" applyNumberFormat="1" applyFill="1" applyBorder="1" applyAlignment="1">
      <alignment horizontal="center"/>
    </xf>
    <xf numFmtId="0" fontId="0" fillId="2" borderId="56" xfId="0" applyFill="1" applyBorder="1" applyAlignment="1">
      <alignment horizontal="center"/>
    </xf>
    <xf numFmtId="0" fontId="0" fillId="2" borderId="42" xfId="0" applyFont="1" applyFill="1" applyBorder="1" applyAlignment="1">
      <alignment horizontal="center"/>
    </xf>
    <xf numFmtId="9" fontId="0" fillId="2" borderId="53" xfId="2" applyFont="1" applyFill="1" applyBorder="1" applyAlignment="1">
      <alignment horizontal="center"/>
    </xf>
    <xf numFmtId="165" fontId="0" fillId="2" borderId="53" xfId="0" applyNumberFormat="1" applyFill="1" applyBorder="1" applyAlignment="1">
      <alignment horizontal="right"/>
    </xf>
    <xf numFmtId="0" fontId="0" fillId="2" borderId="13" xfId="0" applyFont="1" applyFill="1" applyBorder="1" applyAlignment="1">
      <alignment horizontal="center"/>
    </xf>
    <xf numFmtId="9" fontId="0" fillId="2" borderId="0" xfId="0" applyNumberFormat="1" applyFill="1"/>
    <xf numFmtId="0" fontId="39" fillId="2" borderId="0" xfId="0" applyFont="1" applyFill="1" applyAlignment="1">
      <alignment horizontal="left"/>
    </xf>
    <xf numFmtId="0" fontId="3" fillId="2" borderId="0" xfId="0" applyFont="1" applyFill="1" applyAlignment="1"/>
    <xf numFmtId="0" fontId="0" fillId="2" borderId="66" xfId="0" applyFill="1" applyBorder="1"/>
    <xf numFmtId="165" fontId="0" fillId="2" borderId="66" xfId="0" applyNumberFormat="1" applyFill="1" applyBorder="1"/>
    <xf numFmtId="10" fontId="0" fillId="2" borderId="53" xfId="0" applyNumberFormat="1" applyFill="1" applyBorder="1"/>
    <xf numFmtId="165" fontId="0" fillId="2" borderId="53" xfId="0" applyNumberFormat="1" applyFill="1" applyBorder="1"/>
    <xf numFmtId="0" fontId="0" fillId="2" borderId="66" xfId="0" applyFont="1" applyFill="1" applyBorder="1" applyAlignment="1">
      <alignment horizontal="center" vertical="center"/>
    </xf>
    <xf numFmtId="0" fontId="0" fillId="4" borderId="66" xfId="0" applyFill="1" applyBorder="1"/>
    <xf numFmtId="165" fontId="0" fillId="21" borderId="66" xfId="0" applyNumberFormat="1" applyFill="1" applyBorder="1"/>
    <xf numFmtId="0" fontId="0" fillId="2" borderId="56" xfId="0" applyFont="1" applyFill="1" applyBorder="1" applyAlignment="1">
      <alignment horizontal="center" vertical="center"/>
    </xf>
    <xf numFmtId="0" fontId="0" fillId="4" borderId="56" xfId="0" applyFill="1" applyBorder="1"/>
    <xf numFmtId="165" fontId="0" fillId="21" borderId="56" xfId="0" applyNumberFormat="1" applyFill="1" applyBorder="1"/>
    <xf numFmtId="0" fontId="0" fillId="2" borderId="56" xfId="0" applyFill="1" applyBorder="1"/>
    <xf numFmtId="165" fontId="0" fillId="2" borderId="56" xfId="0" applyNumberFormat="1" applyFill="1" applyBorder="1"/>
    <xf numFmtId="0" fontId="0" fillId="2" borderId="53" xfId="0" applyFont="1" applyFill="1" applyBorder="1" applyAlignment="1">
      <alignment horizontal="center" vertical="center"/>
    </xf>
    <xf numFmtId="0" fontId="0" fillId="2" borderId="53" xfId="0" applyFill="1" applyBorder="1"/>
    <xf numFmtId="0" fontId="3" fillId="2" borderId="66" xfId="0" applyFont="1" applyFill="1" applyBorder="1" applyAlignment="1">
      <alignment wrapText="1"/>
    </xf>
    <xf numFmtId="0" fontId="40" fillId="2" borderId="0" xfId="0" applyFont="1" applyFill="1" applyAlignment="1">
      <alignment horizontal="center"/>
    </xf>
    <xf numFmtId="0" fontId="3" fillId="21" borderId="56" xfId="0" applyFont="1" applyFill="1" applyBorder="1"/>
    <xf numFmtId="0" fontId="3" fillId="2" borderId="56" xfId="0" applyFont="1" applyFill="1" applyBorder="1" applyAlignment="1">
      <alignment wrapText="1"/>
    </xf>
    <xf numFmtId="0" fontId="3" fillId="22" borderId="56" xfId="0" applyFont="1" applyFill="1" applyBorder="1"/>
    <xf numFmtId="0" fontId="0" fillId="2" borderId="47" xfId="0" applyFill="1" applyBorder="1" applyAlignment="1"/>
    <xf numFmtId="0" fontId="3" fillId="23" borderId="56" xfId="0" applyFont="1" applyFill="1" applyBorder="1"/>
    <xf numFmtId="165" fontId="3" fillId="23" borderId="56" xfId="0" applyNumberFormat="1" applyFont="1" applyFill="1" applyBorder="1"/>
    <xf numFmtId="0" fontId="48" fillId="2" borderId="0" xfId="0" applyFont="1" applyFill="1"/>
    <xf numFmtId="0" fontId="10" fillId="2" borderId="0" xfId="0" applyFont="1" applyFill="1" applyAlignment="1"/>
    <xf numFmtId="0" fontId="0" fillId="22" borderId="0" xfId="0" applyFill="1" applyBorder="1"/>
    <xf numFmtId="0" fontId="0" fillId="2" borderId="27" xfId="0" applyFont="1" applyFill="1" applyBorder="1" applyAlignment="1">
      <alignment horizontal="center" vertical="center"/>
    </xf>
    <xf numFmtId="1" fontId="0" fillId="2" borderId="13" xfId="0" applyNumberFormat="1" applyFont="1" applyFill="1" applyBorder="1" applyAlignment="1">
      <alignment horizontal="center" vertical="center"/>
    </xf>
    <xf numFmtId="0" fontId="6" fillId="2" borderId="0" xfId="0" applyFont="1" applyFill="1" applyAlignment="1">
      <alignment horizontal="left" vertical="center" wrapText="1"/>
    </xf>
    <xf numFmtId="0" fontId="6" fillId="2" borderId="0" xfId="0" applyFont="1" applyFill="1" applyAlignment="1">
      <alignment horizontal="left" wrapText="1"/>
    </xf>
    <xf numFmtId="0" fontId="6" fillId="2" borderId="0" xfId="0" applyFont="1" applyFill="1" applyAlignment="1">
      <alignment wrapText="1"/>
    </xf>
    <xf numFmtId="0" fontId="12" fillId="0" borderId="0" xfId="0" applyFont="1" applyFill="1" applyAlignment="1">
      <alignment horizontal="center" vertical="center" wrapText="1"/>
    </xf>
    <xf numFmtId="0" fontId="3" fillId="2" borderId="36" xfId="0" applyFont="1" applyFill="1" applyBorder="1" applyAlignment="1">
      <alignment horizontal="center"/>
    </xf>
    <xf numFmtId="0" fontId="11" fillId="2" borderId="0" xfId="0" applyFont="1" applyFill="1"/>
    <xf numFmtId="0" fontId="12" fillId="2" borderId="0" xfId="0" applyFont="1" applyFill="1" applyAlignment="1">
      <alignment horizontal="center" vertical="center" wrapText="1"/>
    </xf>
    <xf numFmtId="2" fontId="0" fillId="0" borderId="0" xfId="0" applyNumberFormat="1" applyFill="1" applyBorder="1" applyAlignment="1">
      <alignment horizontal="center"/>
    </xf>
    <xf numFmtId="165" fontId="3" fillId="0" borderId="69" xfId="0" applyNumberFormat="1" applyFont="1" applyFill="1" applyBorder="1" applyAlignment="1">
      <alignment horizontal="right"/>
    </xf>
    <xf numFmtId="2" fontId="0" fillId="0" borderId="32" xfId="0" applyNumberFormat="1" applyFill="1" applyBorder="1" applyAlignment="1">
      <alignment horizontal="center"/>
    </xf>
    <xf numFmtId="2" fontId="0" fillId="0" borderId="72" xfId="0" applyNumberFormat="1" applyFill="1" applyBorder="1" applyAlignment="1">
      <alignment horizontal="center"/>
    </xf>
    <xf numFmtId="2" fontId="0" fillId="0" borderId="69" xfId="0" applyNumberFormat="1" applyFill="1" applyBorder="1" applyAlignment="1">
      <alignment horizontal="center"/>
    </xf>
    <xf numFmtId="165" fontId="0" fillId="2" borderId="40" xfId="0" applyNumberFormat="1" applyFill="1" applyBorder="1" applyAlignment="1">
      <alignment horizontal="right"/>
    </xf>
    <xf numFmtId="165" fontId="3" fillId="2" borderId="31" xfId="0" applyNumberFormat="1" applyFont="1" applyFill="1" applyBorder="1" applyAlignment="1">
      <alignment horizontal="center"/>
    </xf>
    <xf numFmtId="165" fontId="3" fillId="2" borderId="69" xfId="0" applyNumberFormat="1" applyFont="1" applyFill="1" applyBorder="1" applyAlignment="1">
      <alignment horizontal="center"/>
    </xf>
    <xf numFmtId="165" fontId="3" fillId="2" borderId="32" xfId="0" applyNumberFormat="1" applyFont="1" applyFill="1" applyBorder="1" applyAlignment="1">
      <alignment horizontal="center"/>
    </xf>
    <xf numFmtId="2" fontId="0" fillId="0" borderId="66" xfId="0" applyNumberFormat="1" applyFill="1" applyBorder="1" applyAlignment="1">
      <alignment horizontal="center"/>
    </xf>
    <xf numFmtId="2" fontId="0" fillId="0" borderId="39" xfId="0" applyNumberFormat="1" applyFill="1" applyBorder="1" applyAlignment="1">
      <alignment horizontal="center"/>
    </xf>
    <xf numFmtId="165" fontId="0" fillId="0" borderId="56" xfId="0" applyNumberFormat="1" applyFill="1" applyBorder="1" applyAlignment="1">
      <alignment horizontal="right"/>
    </xf>
    <xf numFmtId="165" fontId="0" fillId="0" borderId="40" xfId="0" applyNumberFormat="1" applyFill="1" applyBorder="1" applyAlignment="1">
      <alignment horizontal="right"/>
    </xf>
    <xf numFmtId="2" fontId="0" fillId="0" borderId="56" xfId="0" applyNumberFormat="1" applyFill="1" applyBorder="1" applyAlignment="1">
      <alignment horizontal="center"/>
    </xf>
    <xf numFmtId="2" fontId="0" fillId="0" borderId="40" xfId="0" applyNumberFormat="1" applyFill="1" applyBorder="1" applyAlignment="1">
      <alignment horizontal="center"/>
    </xf>
    <xf numFmtId="2" fontId="0" fillId="0" borderId="55" xfId="0" applyNumberFormat="1" applyFill="1" applyBorder="1" applyAlignment="1">
      <alignment horizontal="center"/>
    </xf>
    <xf numFmtId="2" fontId="0" fillId="0" borderId="8" xfId="0" applyNumberFormat="1" applyFill="1" applyBorder="1" applyAlignment="1">
      <alignment horizontal="center"/>
    </xf>
    <xf numFmtId="0" fontId="3" fillId="2" borderId="0" xfId="0" applyFont="1" applyFill="1" applyAlignment="1">
      <alignment horizontal="center"/>
    </xf>
    <xf numFmtId="0" fontId="6" fillId="2" borderId="0" xfId="0" applyFont="1" applyFill="1" applyBorder="1" applyAlignment="1">
      <alignment horizontal="left" vertical="center" wrapText="1"/>
    </xf>
    <xf numFmtId="0" fontId="6" fillId="2" borderId="0" xfId="0" applyFont="1" applyFill="1" applyAlignment="1">
      <alignment horizontal="left" vertical="center" wrapText="1"/>
    </xf>
    <xf numFmtId="0" fontId="3" fillId="2" borderId="35" xfId="0" applyFont="1" applyFill="1" applyBorder="1" applyAlignment="1">
      <alignment horizontal="center" vertical="center"/>
    </xf>
    <xf numFmtId="0" fontId="3" fillId="2" borderId="36" xfId="0" applyFont="1" applyFill="1" applyBorder="1" applyAlignment="1">
      <alignment horizontal="center" vertical="center"/>
    </xf>
    <xf numFmtId="0" fontId="0" fillId="2" borderId="13" xfId="0" applyFont="1" applyFill="1" applyBorder="1" applyAlignment="1">
      <alignment horizontal="center"/>
    </xf>
    <xf numFmtId="0" fontId="0" fillId="2" borderId="27" xfId="0" applyFont="1" applyFill="1" applyBorder="1" applyAlignment="1">
      <alignment horizontal="center" vertical="center"/>
    </xf>
    <xf numFmtId="0" fontId="3" fillId="2" borderId="0" xfId="0" applyFont="1" applyFill="1" applyAlignment="1">
      <alignment horizontal="left"/>
    </xf>
    <xf numFmtId="0" fontId="6" fillId="2" borderId="0" xfId="0" applyFont="1" applyFill="1" applyAlignment="1">
      <alignment horizontal="left" wrapText="1"/>
    </xf>
    <xf numFmtId="0" fontId="0" fillId="2" borderId="0" xfId="0" applyFont="1" applyFill="1" applyBorder="1" applyAlignment="1">
      <alignment horizontal="left" vertical="center"/>
    </xf>
    <xf numFmtId="0" fontId="0" fillId="2" borderId="0" xfId="0" applyFont="1" applyFill="1" applyBorder="1" applyAlignment="1"/>
    <xf numFmtId="0" fontId="0" fillId="2" borderId="0" xfId="0" applyFont="1" applyFill="1" applyBorder="1" applyAlignment="1">
      <alignment horizontal="center"/>
    </xf>
    <xf numFmtId="0" fontId="0" fillId="2" borderId="0" xfId="0" applyFont="1" applyFill="1" applyAlignment="1"/>
    <xf numFmtId="0" fontId="0" fillId="2" borderId="0" xfId="0" applyFont="1" applyFill="1" applyAlignment="1">
      <alignment horizontal="left"/>
    </xf>
    <xf numFmtId="0" fontId="0" fillId="2" borderId="56" xfId="0" applyFont="1" applyFill="1" applyBorder="1" applyAlignment="1"/>
    <xf numFmtId="0" fontId="0" fillId="2" borderId="46" xfId="0" applyFont="1" applyFill="1" applyBorder="1" applyAlignment="1"/>
    <xf numFmtId="0" fontId="0" fillId="2" borderId="40" xfId="0" applyFont="1" applyFill="1" applyBorder="1" applyAlignment="1"/>
    <xf numFmtId="0" fontId="0" fillId="4" borderId="0" xfId="0" applyFont="1" applyFill="1"/>
    <xf numFmtId="165" fontId="0" fillId="22" borderId="13" xfId="57" applyNumberFormat="1" applyFont="1" applyFill="1" applyBorder="1" applyAlignment="1">
      <alignment horizontal="center" vertical="center"/>
    </xf>
    <xf numFmtId="0" fontId="51" fillId="2" borderId="0" xfId="0" applyFont="1" applyFill="1"/>
    <xf numFmtId="0" fontId="0" fillId="2" borderId="0" xfId="0" quotePrefix="1" applyFont="1" applyFill="1"/>
    <xf numFmtId="0" fontId="0" fillId="0" borderId="0" xfId="0" applyFont="1" applyFill="1" applyBorder="1" applyAlignment="1">
      <alignment horizontal="center"/>
    </xf>
    <xf numFmtId="0" fontId="51" fillId="2" borderId="0" xfId="56" quotePrefix="1" applyFont="1" applyFill="1" applyBorder="1"/>
    <xf numFmtId="165" fontId="0" fillId="2" borderId="66" xfId="0" applyNumberFormat="1" applyFont="1" applyFill="1" applyBorder="1" applyAlignment="1">
      <alignment horizontal="center"/>
    </xf>
    <xf numFmtId="165" fontId="0" fillId="2" borderId="66" xfId="0" applyNumberFormat="1" applyFont="1" applyFill="1" applyBorder="1" applyAlignment="1">
      <alignment horizontal="right"/>
    </xf>
    <xf numFmtId="165" fontId="0" fillId="2" borderId="56" xfId="0" applyNumberFormat="1" applyFont="1" applyFill="1" applyBorder="1" applyAlignment="1">
      <alignment horizontal="right"/>
    </xf>
    <xf numFmtId="0" fontId="0" fillId="2" borderId="56" xfId="0" applyFont="1" applyFill="1" applyBorder="1" applyAlignment="1">
      <alignment horizontal="center"/>
    </xf>
    <xf numFmtId="165" fontId="0" fillId="2" borderId="53" xfId="0" applyNumberFormat="1" applyFont="1" applyFill="1" applyBorder="1" applyAlignment="1">
      <alignment horizontal="right"/>
    </xf>
    <xf numFmtId="165" fontId="0" fillId="2" borderId="13" xfId="0" applyNumberFormat="1" applyFont="1" applyFill="1" applyBorder="1" applyAlignment="1">
      <alignment horizontal="right"/>
    </xf>
    <xf numFmtId="9" fontId="0" fillId="2" borderId="0" xfId="0" applyNumberFormat="1" applyFont="1" applyFill="1"/>
    <xf numFmtId="0" fontId="0" fillId="2" borderId="66" xfId="0" applyFont="1" applyFill="1" applyBorder="1"/>
    <xf numFmtId="165" fontId="0" fillId="2" borderId="66" xfId="0" applyNumberFormat="1" applyFont="1" applyFill="1" applyBorder="1"/>
    <xf numFmtId="10" fontId="0" fillId="2" borderId="53" xfId="0" applyNumberFormat="1" applyFont="1" applyFill="1" applyBorder="1"/>
    <xf numFmtId="165" fontId="0" fillId="2" borderId="53" xfId="0" applyNumberFormat="1" applyFont="1" applyFill="1" applyBorder="1"/>
    <xf numFmtId="0" fontId="0" fillId="4" borderId="66" xfId="0" applyFont="1" applyFill="1" applyBorder="1"/>
    <xf numFmtId="165" fontId="0" fillId="21" borderId="66" xfId="0" applyNumberFormat="1" applyFont="1" applyFill="1" applyBorder="1"/>
    <xf numFmtId="0" fontId="0" fillId="4" borderId="56" xfId="0" applyFont="1" applyFill="1" applyBorder="1"/>
    <xf numFmtId="165" fontId="0" fillId="21" borderId="56" xfId="0" applyNumberFormat="1" applyFont="1" applyFill="1" applyBorder="1"/>
    <xf numFmtId="0" fontId="0" fillId="2" borderId="56" xfId="0" applyFont="1" applyFill="1" applyBorder="1"/>
    <xf numFmtId="165" fontId="0" fillId="2" borderId="56" xfId="0" applyNumberFormat="1" applyFont="1" applyFill="1" applyBorder="1"/>
    <xf numFmtId="0" fontId="0" fillId="2" borderId="53" xfId="0" applyFont="1" applyFill="1" applyBorder="1"/>
    <xf numFmtId="0" fontId="0" fillId="2" borderId="47" xfId="0" applyFont="1" applyFill="1" applyBorder="1" applyAlignment="1"/>
    <xf numFmtId="0" fontId="52" fillId="2" borderId="0" xfId="0" applyFont="1" applyFill="1"/>
    <xf numFmtId="0" fontId="15" fillId="2" borderId="0" xfId="0" applyFont="1" applyFill="1"/>
    <xf numFmtId="0" fontId="11" fillId="2" borderId="0" xfId="0" applyFont="1" applyFill="1" applyAlignment="1">
      <alignment horizontal="center"/>
    </xf>
    <xf numFmtId="3" fontId="11" fillId="2" borderId="0" xfId="0" applyNumberFormat="1" applyFont="1" applyFill="1"/>
    <xf numFmtId="3" fontId="11" fillId="2" borderId="0" xfId="1" applyNumberFormat="1" applyFont="1" applyFill="1" applyAlignment="1">
      <alignment horizontal="center"/>
    </xf>
    <xf numFmtId="3" fontId="11" fillId="2" borderId="0" xfId="0" applyNumberFormat="1" applyFont="1" applyFill="1" applyAlignment="1">
      <alignment horizontal="center"/>
    </xf>
    <xf numFmtId="0" fontId="55" fillId="2" borderId="0" xfId="0" applyFont="1" applyFill="1" applyAlignment="1">
      <alignment horizontal="left" vertical="center" readingOrder="1"/>
    </xf>
    <xf numFmtId="3" fontId="11" fillId="2" borderId="1" xfId="0" applyNumberFormat="1" applyFont="1" applyFill="1" applyBorder="1" applyAlignment="1">
      <alignment horizontal="center"/>
    </xf>
    <xf numFmtId="165" fontId="36" fillId="2" borderId="1" xfId="0" applyNumberFormat="1" applyFont="1" applyFill="1" applyBorder="1" applyAlignment="1">
      <alignment horizontal="right"/>
    </xf>
    <xf numFmtId="10" fontId="0" fillId="2" borderId="56" xfId="2" applyNumberFormat="1" applyFont="1" applyFill="1" applyBorder="1" applyAlignment="1">
      <alignment horizontal="center"/>
    </xf>
    <xf numFmtId="166" fontId="0" fillId="4" borderId="14" xfId="0" applyNumberFormat="1" applyFill="1" applyBorder="1" applyAlignment="1">
      <alignment horizontal="right"/>
    </xf>
    <xf numFmtId="0" fontId="3" fillId="2" borderId="0" xfId="0" applyFont="1" applyFill="1" applyAlignment="1">
      <alignment horizontal="center"/>
    </xf>
    <xf numFmtId="0" fontId="3" fillId="0" borderId="0" xfId="0" applyFont="1"/>
    <xf numFmtId="0" fontId="3" fillId="2" borderId="0" xfId="0" applyFont="1" applyFill="1" applyAlignment="1">
      <alignment horizontal="center"/>
    </xf>
    <xf numFmtId="0" fontId="3" fillId="2" borderId="0" xfId="0" applyFont="1" applyFill="1" applyAlignment="1">
      <alignment horizontal="center"/>
    </xf>
    <xf numFmtId="0" fontId="6" fillId="2" borderId="0" xfId="0" applyFont="1" applyFill="1" applyAlignment="1">
      <alignment horizontal="left" vertical="center" wrapText="1"/>
    </xf>
    <xf numFmtId="0" fontId="0" fillId="2" borderId="46" xfId="0" applyFont="1" applyFill="1" applyBorder="1" applyAlignment="1"/>
    <xf numFmtId="0" fontId="0" fillId="2" borderId="40" xfId="0" applyFont="1" applyFill="1" applyBorder="1" applyAlignment="1"/>
    <xf numFmtId="0" fontId="0" fillId="2" borderId="47" xfId="0" applyFont="1" applyFill="1" applyBorder="1" applyAlignment="1"/>
    <xf numFmtId="0" fontId="0" fillId="2" borderId="0" xfId="0" applyFont="1" applyFill="1" applyBorder="1" applyAlignment="1">
      <alignment horizontal="center"/>
    </xf>
    <xf numFmtId="0" fontId="0" fillId="2" borderId="13" xfId="0" applyFont="1" applyFill="1" applyBorder="1" applyAlignment="1">
      <alignment horizontal="center"/>
    </xf>
    <xf numFmtId="0" fontId="0" fillId="2" borderId="42" xfId="0" applyFont="1" applyFill="1" applyBorder="1" applyAlignment="1">
      <alignment horizontal="center"/>
    </xf>
    <xf numFmtId="0" fontId="0" fillId="2" borderId="56" xfId="0" applyFont="1" applyFill="1" applyBorder="1" applyAlignment="1"/>
    <xf numFmtId="0" fontId="0" fillId="2" borderId="46" xfId="0" applyFont="1" applyFill="1" applyBorder="1" applyAlignment="1">
      <alignment horizontal="center"/>
    </xf>
    <xf numFmtId="0" fontId="3" fillId="2" borderId="36" xfId="0" applyFont="1" applyFill="1" applyBorder="1" applyAlignment="1">
      <alignment horizontal="center" vertical="center"/>
    </xf>
    <xf numFmtId="0" fontId="0" fillId="2" borderId="27"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0" xfId="0" applyFont="1" applyFill="1" applyAlignment="1">
      <alignment horizontal="left"/>
    </xf>
    <xf numFmtId="0" fontId="3" fillId="2" borderId="0" xfId="0" applyFont="1" applyFill="1" applyBorder="1" applyAlignment="1">
      <alignment horizontal="center"/>
    </xf>
    <xf numFmtId="10" fontId="0" fillId="4" borderId="13" xfId="0" applyNumberFormat="1" applyFont="1" applyFill="1" applyBorder="1" applyAlignment="1">
      <alignment horizontal="center"/>
    </xf>
    <xf numFmtId="10" fontId="0" fillId="4" borderId="13" xfId="0" applyNumberFormat="1" applyFont="1" applyFill="1" applyBorder="1" applyAlignment="1">
      <alignment horizontal="center" vertical="center"/>
    </xf>
    <xf numFmtId="0" fontId="3" fillId="2" borderId="0" xfId="0" applyFont="1" applyFill="1" applyAlignment="1">
      <alignment horizontal="center"/>
    </xf>
    <xf numFmtId="0" fontId="6" fillId="2" borderId="0" xfId="0" applyFont="1" applyFill="1" applyBorder="1" applyAlignment="1">
      <alignment horizontal="left" vertical="center" wrapText="1"/>
    </xf>
    <xf numFmtId="0" fontId="6" fillId="2" borderId="0" xfId="0" applyFont="1" applyFill="1" applyAlignment="1">
      <alignment horizontal="left" vertical="center" wrapText="1"/>
    </xf>
    <xf numFmtId="0" fontId="3" fillId="2" borderId="13" xfId="0" applyFont="1" applyFill="1" applyBorder="1" applyAlignment="1">
      <alignment horizontal="center"/>
    </xf>
    <xf numFmtId="0" fontId="0" fillId="2" borderId="56" xfId="0" applyFont="1" applyFill="1" applyBorder="1" applyAlignment="1"/>
    <xf numFmtId="0" fontId="3" fillId="2" borderId="35" xfId="0" applyFont="1" applyFill="1" applyBorder="1" applyAlignment="1">
      <alignment horizontal="center" vertical="center"/>
    </xf>
    <xf numFmtId="0" fontId="3" fillId="2" borderId="36" xfId="0" applyFont="1" applyFill="1" applyBorder="1" applyAlignment="1">
      <alignment horizontal="center" vertical="center"/>
    </xf>
    <xf numFmtId="0" fontId="0" fillId="2" borderId="46" xfId="0" applyFont="1" applyFill="1" applyBorder="1" applyAlignment="1">
      <alignment horizontal="center"/>
    </xf>
    <xf numFmtId="0" fontId="0" fillId="2" borderId="42" xfId="0" applyFont="1" applyFill="1" applyBorder="1" applyAlignment="1">
      <alignment horizontal="center"/>
    </xf>
    <xf numFmtId="0" fontId="0" fillId="2" borderId="13" xfId="0" applyFont="1" applyFill="1" applyBorder="1" applyAlignment="1">
      <alignment horizontal="center"/>
    </xf>
    <xf numFmtId="0" fontId="0" fillId="2" borderId="46" xfId="0" applyFont="1" applyFill="1" applyBorder="1" applyAlignment="1"/>
    <xf numFmtId="0" fontId="0" fillId="2" borderId="40" xfId="0" applyFont="1" applyFill="1" applyBorder="1" applyAlignment="1"/>
    <xf numFmtId="0" fontId="0" fillId="2" borderId="47" xfId="0" applyFont="1" applyFill="1" applyBorder="1" applyAlignment="1"/>
    <xf numFmtId="0" fontId="0" fillId="2" borderId="0" xfId="0" applyFont="1" applyFill="1" applyBorder="1" applyAlignment="1">
      <alignment horizontal="center"/>
    </xf>
    <xf numFmtId="0" fontId="0" fillId="2" borderId="27" xfId="0" applyFont="1" applyFill="1" applyBorder="1" applyAlignment="1">
      <alignment horizontal="center" vertical="center"/>
    </xf>
    <xf numFmtId="0" fontId="12" fillId="2" borderId="0" xfId="0" applyFont="1" applyFill="1" applyBorder="1" applyAlignment="1">
      <alignment horizontal="left" vertical="center" wrapText="1"/>
    </xf>
    <xf numFmtId="0" fontId="0" fillId="2" borderId="0" xfId="0" applyFill="1" applyBorder="1" applyAlignment="1">
      <alignment horizontal="center"/>
    </xf>
    <xf numFmtId="0" fontId="0" fillId="2" borderId="47" xfId="0" applyFill="1" applyBorder="1" applyAlignment="1"/>
    <xf numFmtId="0" fontId="3" fillId="2" borderId="0" xfId="0" applyFont="1" applyFill="1" applyAlignment="1">
      <alignment horizontal="left"/>
    </xf>
    <xf numFmtId="0" fontId="3" fillId="2" borderId="35" xfId="0" applyFont="1" applyFill="1" applyBorder="1" applyAlignment="1">
      <alignment horizontal="center"/>
    </xf>
    <xf numFmtId="0" fontId="3" fillId="2" borderId="37" xfId="0" applyFont="1" applyFill="1" applyBorder="1" applyAlignment="1">
      <alignment horizontal="center"/>
    </xf>
    <xf numFmtId="0" fontId="3" fillId="2" borderId="13" xfId="0" applyFont="1" applyFill="1" applyBorder="1" applyAlignment="1">
      <alignment horizontal="center"/>
    </xf>
    <xf numFmtId="0" fontId="0" fillId="2" borderId="0" xfId="0" applyFill="1" applyBorder="1" applyAlignment="1">
      <alignment horizontal="center"/>
    </xf>
    <xf numFmtId="0" fontId="3" fillId="2" borderId="0" xfId="0" applyFont="1" applyFill="1" applyAlignment="1">
      <alignment horizontal="left"/>
    </xf>
    <xf numFmtId="0" fontId="3" fillId="2" borderId="35" xfId="0" applyFont="1" applyFill="1" applyBorder="1" applyAlignment="1">
      <alignment horizontal="center"/>
    </xf>
    <xf numFmtId="0" fontId="3" fillId="2" borderId="36" xfId="0" applyFont="1" applyFill="1" applyBorder="1" applyAlignment="1">
      <alignment horizontal="center"/>
    </xf>
    <xf numFmtId="0" fontId="0" fillId="19" borderId="42" xfId="0" applyFont="1" applyFill="1" applyBorder="1" applyAlignment="1">
      <alignment horizontal="center"/>
    </xf>
    <xf numFmtId="0" fontId="0" fillId="19" borderId="4" xfId="0" applyFont="1" applyFill="1" applyBorder="1" applyAlignment="1">
      <alignment horizontal="center"/>
    </xf>
    <xf numFmtId="0" fontId="0" fillId="19" borderId="4" xfId="0" applyFont="1" applyFill="1" applyBorder="1" applyAlignment="1">
      <alignment horizontal="left"/>
    </xf>
    <xf numFmtId="10" fontId="0" fillId="19" borderId="67" xfId="2" applyNumberFormat="1" applyFont="1" applyFill="1" applyBorder="1" applyAlignment="1">
      <alignment horizontal="center"/>
    </xf>
    <xf numFmtId="165" fontId="0" fillId="19" borderId="67" xfId="0" applyNumberFormat="1" applyFill="1" applyBorder="1" applyAlignment="1">
      <alignment horizontal="right"/>
    </xf>
    <xf numFmtId="0" fontId="0" fillId="19" borderId="13" xfId="0" applyFont="1" applyFill="1" applyBorder="1" applyAlignment="1">
      <alignment horizontal="center"/>
    </xf>
    <xf numFmtId="0" fontId="0" fillId="19" borderId="13" xfId="0" applyFill="1" applyBorder="1" applyAlignment="1">
      <alignment horizontal="center"/>
    </xf>
    <xf numFmtId="165" fontId="0" fillId="19" borderId="13" xfId="0" applyNumberFormat="1" applyFill="1" applyBorder="1" applyAlignment="1">
      <alignment horizontal="right"/>
    </xf>
    <xf numFmtId="166" fontId="0" fillId="19" borderId="38" xfId="0" applyNumberFormat="1" applyFill="1" applyBorder="1" applyAlignment="1">
      <alignment horizontal="right"/>
    </xf>
    <xf numFmtId="165" fontId="0" fillId="19" borderId="56" xfId="0" applyNumberFormat="1" applyFill="1" applyBorder="1" applyAlignment="1">
      <alignment horizontal="right"/>
    </xf>
    <xf numFmtId="165" fontId="3" fillId="19" borderId="32" xfId="0" applyNumberFormat="1" applyFont="1" applyFill="1" applyBorder="1" applyAlignment="1">
      <alignment horizontal="center"/>
    </xf>
    <xf numFmtId="165" fontId="3" fillId="19" borderId="31" xfId="0" applyNumberFormat="1" applyFont="1" applyFill="1" applyBorder="1" applyAlignment="1">
      <alignment horizontal="center"/>
    </xf>
    <xf numFmtId="165" fontId="3" fillId="19" borderId="69" xfId="0" applyNumberFormat="1" applyFont="1" applyFill="1" applyBorder="1" applyAlignment="1">
      <alignment horizontal="center"/>
    </xf>
    <xf numFmtId="165" fontId="3" fillId="19" borderId="14" xfId="0" applyNumberFormat="1" applyFont="1" applyFill="1" applyBorder="1" applyAlignment="1">
      <alignment horizontal="right"/>
    </xf>
    <xf numFmtId="165" fontId="3" fillId="19" borderId="13" xfId="0" applyNumberFormat="1" applyFont="1" applyFill="1" applyBorder="1" applyAlignment="1">
      <alignment horizontal="right"/>
    </xf>
    <xf numFmtId="165" fontId="3" fillId="19" borderId="35" xfId="0" applyNumberFormat="1" applyFont="1" applyFill="1" applyBorder="1" applyAlignment="1">
      <alignment horizontal="right"/>
    </xf>
    <xf numFmtId="0" fontId="11" fillId="2" borderId="0" xfId="0" applyFont="1" applyFill="1" applyBorder="1"/>
    <xf numFmtId="0" fontId="0" fillId="2" borderId="0" xfId="0" applyFill="1" applyBorder="1" applyAlignment="1">
      <alignment horizontal="left" vertical="top" wrapText="1"/>
    </xf>
    <xf numFmtId="0" fontId="42" fillId="2" borderId="0" xfId="0" applyFont="1" applyFill="1" applyAlignment="1"/>
    <xf numFmtId="0" fontId="15" fillId="24" borderId="0" xfId="0" applyFont="1" applyFill="1" applyAlignment="1">
      <alignment horizontal="right"/>
    </xf>
    <xf numFmtId="2" fontId="0" fillId="24" borderId="29" xfId="0" applyNumberFormat="1" applyFont="1" applyFill="1" applyBorder="1" applyAlignment="1">
      <alignment horizontal="center"/>
    </xf>
    <xf numFmtId="2" fontId="0" fillId="24" borderId="30" xfId="0" applyNumberFormat="1" applyFont="1" applyFill="1" applyBorder="1" applyAlignment="1">
      <alignment horizontal="center"/>
    </xf>
    <xf numFmtId="2" fontId="0" fillId="24" borderId="41" xfId="0" applyNumberFormat="1" applyFont="1" applyFill="1" applyBorder="1" applyAlignment="1">
      <alignment horizontal="center"/>
    </xf>
    <xf numFmtId="2" fontId="0" fillId="24" borderId="22" xfId="0" applyNumberFormat="1" applyFont="1" applyFill="1" applyBorder="1" applyAlignment="1">
      <alignment horizontal="center"/>
    </xf>
    <xf numFmtId="2" fontId="0" fillId="24" borderId="23" xfId="0" applyNumberFormat="1" applyFont="1" applyFill="1" applyBorder="1" applyAlignment="1">
      <alignment horizontal="center"/>
    </xf>
    <xf numFmtId="2" fontId="0" fillId="24" borderId="25" xfId="0" applyNumberFormat="1" applyFont="1" applyFill="1" applyBorder="1" applyAlignment="1">
      <alignment horizontal="center"/>
    </xf>
    <xf numFmtId="2" fontId="0" fillId="24" borderId="17" xfId="0" applyNumberFormat="1" applyFont="1" applyFill="1" applyBorder="1" applyAlignment="1">
      <alignment horizontal="center"/>
    </xf>
    <xf numFmtId="2" fontId="0" fillId="24" borderId="1" xfId="0" applyNumberFormat="1" applyFont="1" applyFill="1" applyBorder="1" applyAlignment="1">
      <alignment horizontal="center"/>
    </xf>
    <xf numFmtId="2" fontId="0" fillId="24" borderId="18" xfId="0" applyNumberFormat="1" applyFont="1" applyFill="1" applyBorder="1" applyAlignment="1">
      <alignment horizontal="center"/>
    </xf>
    <xf numFmtId="2" fontId="0" fillId="24" borderId="20" xfId="0" applyNumberFormat="1" applyFont="1" applyFill="1" applyBorder="1" applyAlignment="1">
      <alignment horizontal="center"/>
    </xf>
    <xf numFmtId="2" fontId="0" fillId="24" borderId="9" xfId="0" applyNumberFormat="1" applyFont="1" applyFill="1" applyBorder="1" applyAlignment="1">
      <alignment horizontal="center"/>
    </xf>
    <xf numFmtId="2" fontId="0" fillId="24" borderId="21" xfId="0" applyNumberFormat="1" applyFont="1" applyFill="1" applyBorder="1" applyAlignment="1">
      <alignment horizontal="center"/>
    </xf>
    <xf numFmtId="0" fontId="56" fillId="2" borderId="0" xfId="0" applyFont="1" applyFill="1"/>
    <xf numFmtId="0" fontId="57" fillId="2" borderId="0" xfId="0" applyFont="1" applyFill="1" applyAlignment="1">
      <alignment horizontal="center"/>
    </xf>
    <xf numFmtId="0" fontId="58" fillId="2" borderId="0" xfId="0" applyFont="1" applyFill="1" applyAlignment="1">
      <alignment horizontal="center"/>
    </xf>
    <xf numFmtId="0" fontId="36" fillId="4" borderId="0" xfId="0" applyFont="1" applyFill="1"/>
    <xf numFmtId="0" fontId="3" fillId="19" borderId="56" xfId="0" applyFont="1" applyFill="1" applyBorder="1"/>
    <xf numFmtId="165" fontId="3" fillId="19" borderId="56" xfId="0" applyNumberFormat="1" applyFont="1" applyFill="1" applyBorder="1"/>
    <xf numFmtId="0" fontId="0" fillId="19" borderId="53" xfId="0" applyFill="1" applyBorder="1"/>
    <xf numFmtId="165" fontId="0" fillId="19" borderId="53" xfId="0" applyNumberFormat="1" applyFill="1" applyBorder="1"/>
    <xf numFmtId="0" fontId="0" fillId="19" borderId="56" xfId="0" applyFill="1" applyBorder="1"/>
    <xf numFmtId="0" fontId="0" fillId="19" borderId="46" xfId="0" applyFill="1" applyBorder="1" applyAlignment="1"/>
    <xf numFmtId="0" fontId="0" fillId="19" borderId="40" xfId="0" applyFill="1" applyBorder="1" applyAlignment="1"/>
    <xf numFmtId="0" fontId="0" fillId="19" borderId="47" xfId="0" applyFill="1" applyBorder="1" applyAlignment="1"/>
    <xf numFmtId="165" fontId="0" fillId="19" borderId="56" xfId="0" applyNumberFormat="1" applyFill="1" applyBorder="1"/>
    <xf numFmtId="0" fontId="59" fillId="2" borderId="0" xfId="0" applyFont="1" applyFill="1" applyAlignment="1">
      <alignment vertical="center"/>
    </xf>
    <xf numFmtId="10" fontId="0" fillId="21" borderId="0" xfId="0" applyNumberFormat="1" applyFill="1" applyAlignment="1">
      <alignment horizontal="center"/>
    </xf>
    <xf numFmtId="0" fontId="6" fillId="21" borderId="0" xfId="0" applyFont="1" applyFill="1"/>
    <xf numFmtId="0" fontId="0" fillId="21" borderId="0" xfId="0" applyFill="1"/>
    <xf numFmtId="0" fontId="45" fillId="2" borderId="0" xfId="0" quotePrefix="1" applyFont="1" applyFill="1"/>
    <xf numFmtId="43" fontId="0" fillId="2" borderId="53" xfId="58" applyFont="1" applyFill="1" applyBorder="1"/>
    <xf numFmtId="7" fontId="0" fillId="2" borderId="53" xfId="58" applyNumberFormat="1" applyFont="1" applyFill="1" applyBorder="1"/>
    <xf numFmtId="0" fontId="3" fillId="25" borderId="13" xfId="0" applyFont="1" applyFill="1" applyBorder="1" applyAlignment="1">
      <alignment vertical="center" wrapText="1"/>
    </xf>
    <xf numFmtId="0" fontId="3" fillId="25" borderId="37" xfId="0" applyFont="1" applyFill="1" applyBorder="1" applyAlignment="1">
      <alignment vertical="center" wrapText="1"/>
    </xf>
    <xf numFmtId="0" fontId="14" fillId="0" borderId="72" xfId="0" applyFont="1" applyBorder="1" applyAlignment="1">
      <alignment vertical="center" wrapText="1"/>
    </xf>
    <xf numFmtId="14" fontId="14" fillId="0" borderId="79" xfId="0" applyNumberFormat="1" applyFont="1" applyBorder="1" applyAlignment="1">
      <alignment vertical="center" wrapText="1"/>
    </xf>
    <xf numFmtId="0" fontId="14" fillId="0" borderId="79" xfId="0" applyFont="1" applyBorder="1" applyAlignment="1">
      <alignment vertical="center" wrapText="1"/>
    </xf>
    <xf numFmtId="0" fontId="0" fillId="0" borderId="79" xfId="0" applyFont="1" applyBorder="1" applyAlignment="1">
      <alignment vertical="center" wrapText="1"/>
    </xf>
    <xf numFmtId="0" fontId="0" fillId="0" borderId="79" xfId="0" applyBorder="1"/>
    <xf numFmtId="14" fontId="14" fillId="0" borderId="72" xfId="0" applyNumberFormat="1" applyFont="1" applyBorder="1" applyAlignment="1">
      <alignment vertical="center" wrapText="1"/>
    </xf>
    <xf numFmtId="0" fontId="0" fillId="0" borderId="72" xfId="0" applyBorder="1"/>
    <xf numFmtId="0" fontId="0" fillId="0" borderId="33" xfId="0" applyBorder="1"/>
    <xf numFmtId="0" fontId="0" fillId="0" borderId="69" xfId="0" applyBorder="1"/>
    <xf numFmtId="0" fontId="0" fillId="0" borderId="72" xfId="0" applyFont="1" applyBorder="1" applyAlignment="1">
      <alignment vertical="center" wrapText="1"/>
    </xf>
    <xf numFmtId="0" fontId="0" fillId="0" borderId="72" xfId="0" applyFont="1" applyBorder="1" applyAlignment="1">
      <alignment vertical="top" wrapText="1"/>
    </xf>
    <xf numFmtId="14" fontId="0" fillId="0" borderId="79" xfId="0" applyNumberFormat="1" applyFont="1" applyBorder="1" applyAlignment="1">
      <alignment vertical="center" wrapText="1"/>
    </xf>
    <xf numFmtId="14" fontId="0" fillId="0" borderId="72" xfId="0" applyNumberFormat="1" applyFont="1" applyBorder="1" applyAlignment="1">
      <alignment vertical="center" wrapText="1"/>
    </xf>
    <xf numFmtId="0" fontId="59" fillId="2" borderId="0" xfId="0" quotePrefix="1" applyFont="1" applyFill="1"/>
    <xf numFmtId="0" fontId="38" fillId="0" borderId="0" xfId="0" applyFont="1"/>
    <xf numFmtId="0" fontId="0" fillId="4" borderId="2" xfId="0" applyFont="1" applyFill="1" applyBorder="1" applyAlignment="1">
      <alignment horizontal="center" wrapText="1"/>
    </xf>
    <xf numFmtId="0" fontId="0" fillId="4" borderId="40" xfId="0" applyFont="1" applyFill="1" applyBorder="1" applyAlignment="1">
      <alignment horizontal="center" wrapText="1"/>
    </xf>
    <xf numFmtId="0" fontId="0" fillId="4" borderId="3" xfId="0" applyFont="1" applyFill="1" applyBorder="1" applyAlignment="1">
      <alignment horizontal="center" wrapText="1"/>
    </xf>
    <xf numFmtId="0" fontId="53" fillId="24" borderId="0" xfId="0" applyFont="1" applyFill="1" applyAlignment="1">
      <alignment horizontal="center" vertical="center" wrapText="1"/>
    </xf>
    <xf numFmtId="0" fontId="34" fillId="24" borderId="0" xfId="0" applyFont="1" applyFill="1" applyAlignment="1">
      <alignment horizontal="center" vertical="center" wrapText="1"/>
    </xf>
    <xf numFmtId="0" fontId="3" fillId="2" borderId="0" xfId="0" applyFont="1" applyFill="1" applyAlignment="1">
      <alignment horizontal="center"/>
    </xf>
    <xf numFmtId="0" fontId="3" fillId="2" borderId="6" xfId="0" applyFont="1" applyFill="1" applyBorder="1" applyAlignment="1">
      <alignment horizontal="center"/>
    </xf>
    <xf numFmtId="0" fontId="6" fillId="4" borderId="1" xfId="0" applyFont="1" applyFill="1" applyBorder="1" applyAlignment="1">
      <alignment horizontal="center" wrapText="1"/>
    </xf>
    <xf numFmtId="0" fontId="6" fillId="4" borderId="1" xfId="0" applyFont="1" applyFill="1" applyBorder="1" applyAlignment="1">
      <alignment horizontal="center" vertical="center" wrapText="1"/>
    </xf>
    <xf numFmtId="0" fontId="0" fillId="24" borderId="35" xfId="0" applyFont="1" applyFill="1" applyBorder="1" applyAlignment="1">
      <alignment horizontal="center" vertical="center" wrapText="1"/>
    </xf>
    <xf numFmtId="0" fontId="0" fillId="24" borderId="36" xfId="0" applyFont="1" applyFill="1" applyBorder="1" applyAlignment="1">
      <alignment horizontal="center" vertical="center" wrapText="1"/>
    </xf>
    <xf numFmtId="0" fontId="0" fillId="24" borderId="37" xfId="0" applyFont="1" applyFill="1" applyBorder="1" applyAlignment="1">
      <alignment horizontal="center" vertical="center" wrapText="1"/>
    </xf>
    <xf numFmtId="0" fontId="11" fillId="24" borderId="0" xfId="0" applyFont="1" applyFill="1" applyAlignment="1">
      <alignment horizontal="center" vertical="center" wrapText="1"/>
    </xf>
    <xf numFmtId="0" fontId="0" fillId="2" borderId="8" xfId="0" applyFill="1" applyBorder="1" applyAlignment="1">
      <alignment horizontal="left"/>
    </xf>
    <xf numFmtId="0" fontId="0" fillId="2" borderId="0" xfId="0" applyFill="1" applyBorder="1" applyAlignment="1">
      <alignment horizontal="left" vertical="center" wrapText="1"/>
    </xf>
    <xf numFmtId="0" fontId="11" fillId="2" borderId="0" xfId="0" applyFont="1" applyFill="1" applyBorder="1" applyAlignment="1">
      <alignment horizontal="left" vertical="center" wrapText="1"/>
    </xf>
    <xf numFmtId="0" fontId="11" fillId="2" borderId="0" xfId="0" applyFont="1" applyFill="1" applyBorder="1" applyAlignment="1">
      <alignment horizontal="left" vertical="top" wrapText="1"/>
    </xf>
    <xf numFmtId="0" fontId="0" fillId="2" borderId="0" xfId="0" applyFill="1" applyBorder="1" applyAlignment="1">
      <alignment horizontal="left" vertical="top" wrapText="1"/>
    </xf>
    <xf numFmtId="0" fontId="6" fillId="2" borderId="0" xfId="0" applyFont="1" applyFill="1" applyBorder="1" applyAlignment="1">
      <alignment horizontal="left" vertical="center" wrapText="1"/>
    </xf>
    <xf numFmtId="0" fontId="6" fillId="2" borderId="0" xfId="0" applyFont="1" applyFill="1" applyAlignment="1">
      <alignment horizontal="left" vertical="center" wrapText="1"/>
    </xf>
    <xf numFmtId="0" fontId="10" fillId="2" borderId="0" xfId="0" applyFont="1" applyFill="1" applyAlignment="1">
      <alignment horizontal="left" vertical="center" wrapText="1"/>
    </xf>
    <xf numFmtId="0" fontId="0" fillId="2" borderId="35" xfId="0" applyFont="1" applyFill="1" applyBorder="1" applyAlignment="1">
      <alignment horizontal="left" vertical="center"/>
    </xf>
    <xf numFmtId="0" fontId="0" fillId="2" borderId="36" xfId="0" applyFont="1" applyFill="1" applyBorder="1" applyAlignment="1">
      <alignment horizontal="left" vertical="center"/>
    </xf>
    <xf numFmtId="0" fontId="6" fillId="2" borderId="0" xfId="0" applyFont="1" applyFill="1" applyAlignment="1">
      <alignment horizontal="left" vertical="top" wrapText="1"/>
    </xf>
    <xf numFmtId="0" fontId="12" fillId="2" borderId="0" xfId="0" applyFont="1" applyFill="1" applyAlignment="1">
      <alignment horizontal="left" vertical="top" wrapText="1"/>
    </xf>
    <xf numFmtId="0" fontId="3" fillId="24" borderId="35" xfId="0" applyFont="1" applyFill="1" applyBorder="1" applyAlignment="1">
      <alignment horizontal="center"/>
    </xf>
    <xf numFmtId="0" fontId="3" fillId="24" borderId="36" xfId="0" applyFont="1" applyFill="1" applyBorder="1" applyAlignment="1">
      <alignment horizontal="center"/>
    </xf>
    <xf numFmtId="0" fontId="3" fillId="24" borderId="37" xfId="0" applyFont="1" applyFill="1" applyBorder="1" applyAlignment="1">
      <alignment horizontal="center"/>
    </xf>
    <xf numFmtId="0" fontId="0" fillId="4" borderId="39" xfId="0" applyFill="1" applyBorder="1" applyAlignment="1">
      <alignment horizontal="left" vertical="center" wrapText="1"/>
    </xf>
    <xf numFmtId="0" fontId="0" fillId="4" borderId="45" xfId="0" applyFill="1" applyBorder="1" applyAlignment="1">
      <alignment horizontal="left" vertical="center" wrapText="1"/>
    </xf>
    <xf numFmtId="0" fontId="3" fillId="2" borderId="29" xfId="0" applyFont="1" applyFill="1" applyBorder="1" applyAlignment="1">
      <alignment horizontal="center"/>
    </xf>
    <xf numFmtId="0" fontId="3" fillId="2" borderId="30" xfId="0" applyFont="1" applyFill="1" applyBorder="1" applyAlignment="1">
      <alignment horizontal="center"/>
    </xf>
    <xf numFmtId="0" fontId="3" fillId="2" borderId="41" xfId="0" applyFont="1" applyFill="1" applyBorder="1" applyAlignment="1">
      <alignment horizontal="center"/>
    </xf>
    <xf numFmtId="0" fontId="0" fillId="2" borderId="35" xfId="0" applyFont="1" applyFill="1" applyBorder="1" applyAlignment="1">
      <alignment horizontal="left" vertical="center" wrapText="1"/>
    </xf>
    <xf numFmtId="0" fontId="0" fillId="2" borderId="36" xfId="0" applyFont="1" applyFill="1" applyBorder="1" applyAlignment="1">
      <alignment horizontal="left" vertical="center" wrapText="1"/>
    </xf>
    <xf numFmtId="0" fontId="0" fillId="2" borderId="37" xfId="0" applyFont="1" applyFill="1" applyBorder="1" applyAlignment="1">
      <alignment horizontal="left" vertical="center" wrapText="1"/>
    </xf>
    <xf numFmtId="0" fontId="12" fillId="2" borderId="0" xfId="0" applyFont="1" applyFill="1" applyAlignment="1">
      <alignment horizontal="left" vertical="center" wrapText="1"/>
    </xf>
    <xf numFmtId="0" fontId="0" fillId="4" borderId="35" xfId="0" applyFont="1" applyFill="1" applyBorder="1" applyAlignment="1">
      <alignment horizontal="left" wrapText="1"/>
    </xf>
    <xf numFmtId="0" fontId="0" fillId="4" borderId="36" xfId="0" applyFont="1" applyFill="1" applyBorder="1" applyAlignment="1">
      <alignment horizontal="left" wrapText="1"/>
    </xf>
    <xf numFmtId="0" fontId="0" fillId="4" borderId="37" xfId="0" applyFont="1" applyFill="1" applyBorder="1" applyAlignment="1">
      <alignment horizontal="left" wrapText="1"/>
    </xf>
    <xf numFmtId="0" fontId="0" fillId="2" borderId="22" xfId="0" applyFont="1" applyFill="1" applyBorder="1" applyAlignment="1">
      <alignment horizontal="left" vertical="center" wrapText="1"/>
    </xf>
    <xf numFmtId="0" fontId="0" fillId="2" borderId="23" xfId="0" applyFont="1" applyFill="1" applyBorder="1" applyAlignment="1">
      <alignment horizontal="left" vertical="center" wrapText="1"/>
    </xf>
    <xf numFmtId="0" fontId="0" fillId="2" borderId="25" xfId="0" applyFont="1" applyFill="1" applyBorder="1" applyAlignment="1">
      <alignment horizontal="left" vertical="center" wrapText="1"/>
    </xf>
    <xf numFmtId="0" fontId="0" fillId="4" borderId="44" xfId="0" applyFill="1" applyBorder="1" applyAlignment="1">
      <alignment horizontal="left" vertical="center" wrapText="1"/>
    </xf>
    <xf numFmtId="0" fontId="0" fillId="2" borderId="44" xfId="0" applyFont="1" applyFill="1" applyBorder="1" applyAlignment="1">
      <alignment horizontal="left" vertical="center" wrapText="1"/>
    </xf>
    <xf numFmtId="0" fontId="0" fillId="2" borderId="39" xfId="0" applyFont="1" applyFill="1" applyBorder="1" applyAlignment="1">
      <alignment horizontal="left" vertical="center" wrapText="1"/>
    </xf>
    <xf numFmtId="0" fontId="0" fillId="4" borderId="13" xfId="0" applyFont="1" applyFill="1" applyBorder="1" applyAlignment="1">
      <alignment horizontal="left" wrapText="1"/>
    </xf>
    <xf numFmtId="0" fontId="3" fillId="2" borderId="13" xfId="0" applyFont="1" applyFill="1" applyBorder="1" applyAlignment="1">
      <alignment horizontal="center"/>
    </xf>
    <xf numFmtId="0" fontId="0" fillId="4" borderId="46" xfId="0" applyFill="1" applyBorder="1" applyAlignment="1">
      <alignment horizontal="left" vertical="center" wrapText="1"/>
    </xf>
    <xf numFmtId="0" fontId="0" fillId="4" borderId="40" xfId="0" applyFill="1" applyBorder="1" applyAlignment="1">
      <alignment horizontal="left" vertical="center" wrapText="1"/>
    </xf>
    <xf numFmtId="0" fontId="0" fillId="4" borderId="47" xfId="0" applyFill="1" applyBorder="1" applyAlignment="1">
      <alignment horizontal="left" vertical="center" wrapText="1"/>
    </xf>
    <xf numFmtId="0" fontId="3" fillId="2" borderId="42" xfId="0" applyFont="1" applyFill="1" applyBorder="1" applyAlignment="1">
      <alignment horizontal="left" vertical="center" wrapText="1"/>
    </xf>
    <xf numFmtId="0" fontId="3" fillId="2" borderId="4" xfId="0" applyFont="1" applyFill="1" applyBorder="1" applyAlignment="1">
      <alignment horizontal="left" vertical="center" wrapText="1"/>
    </xf>
    <xf numFmtId="0" fontId="3" fillId="2" borderId="43" xfId="0" applyFont="1" applyFill="1" applyBorder="1" applyAlignment="1">
      <alignment horizontal="left" vertical="center" wrapText="1"/>
    </xf>
    <xf numFmtId="0" fontId="3" fillId="2" borderId="20"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21" xfId="0" applyFont="1" applyFill="1" applyBorder="1" applyAlignment="1">
      <alignment horizontal="center" vertical="center"/>
    </xf>
    <xf numFmtId="0" fontId="0" fillId="2" borderId="22" xfId="0" applyFont="1" applyFill="1" applyBorder="1" applyAlignment="1">
      <alignment horizontal="left" vertical="center"/>
    </xf>
    <xf numFmtId="0" fontId="0" fillId="2" borderId="23" xfId="0" applyFont="1" applyFill="1" applyBorder="1" applyAlignment="1">
      <alignment horizontal="left" vertical="center"/>
    </xf>
    <xf numFmtId="0" fontId="0" fillId="2" borderId="25" xfId="0" applyFont="1" applyFill="1" applyBorder="1" applyAlignment="1">
      <alignment horizontal="left" vertical="center"/>
    </xf>
    <xf numFmtId="0" fontId="0" fillId="2" borderId="17" xfId="0" applyFont="1" applyFill="1" applyBorder="1" applyAlignment="1">
      <alignment horizontal="left" vertical="center"/>
    </xf>
    <xf numFmtId="0" fontId="0" fillId="2" borderId="1" xfId="0" applyFont="1" applyFill="1" applyBorder="1" applyAlignment="1">
      <alignment horizontal="left" vertical="center"/>
    </xf>
    <xf numFmtId="0" fontId="0" fillId="2" borderId="18" xfId="0" applyFont="1" applyFill="1" applyBorder="1" applyAlignment="1">
      <alignment horizontal="left" vertical="center"/>
    </xf>
    <xf numFmtId="0" fontId="3" fillId="2" borderId="20" xfId="0" applyFont="1" applyFill="1" applyBorder="1" applyAlignment="1">
      <alignment horizontal="left" vertical="center" wrapText="1"/>
    </xf>
    <xf numFmtId="0" fontId="3" fillId="2" borderId="9" xfId="0" applyFont="1" applyFill="1" applyBorder="1" applyAlignment="1">
      <alignment horizontal="left" vertical="center" wrapText="1"/>
    </xf>
    <xf numFmtId="0" fontId="3" fillId="2" borderId="10" xfId="0" applyFont="1" applyFill="1" applyBorder="1" applyAlignment="1">
      <alignment horizontal="left" vertical="center" wrapText="1"/>
    </xf>
    <xf numFmtId="0" fontId="3" fillId="2" borderId="12" xfId="0" applyFont="1" applyFill="1" applyBorder="1" applyAlignment="1">
      <alignment horizontal="center" vertical="center"/>
    </xf>
    <xf numFmtId="0" fontId="0" fillId="2" borderId="26" xfId="0" applyFont="1" applyFill="1" applyBorder="1" applyAlignment="1">
      <alignment horizontal="left" vertical="center" wrapText="1"/>
    </xf>
    <xf numFmtId="0" fontId="0" fillId="2" borderId="27" xfId="0" applyFont="1" applyFill="1" applyBorder="1" applyAlignment="1">
      <alignment horizontal="left" vertical="center" wrapText="1"/>
    </xf>
    <xf numFmtId="0" fontId="3" fillId="2" borderId="19"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3" fillId="3" borderId="31" xfId="0" applyFont="1" applyFill="1" applyBorder="1" applyAlignment="1">
      <alignment horizontal="left" vertical="center" wrapText="1"/>
    </xf>
    <xf numFmtId="0" fontId="3" fillId="3" borderId="32" xfId="0" applyFont="1" applyFill="1" applyBorder="1" applyAlignment="1">
      <alignment horizontal="left" vertical="center" wrapText="1"/>
    </xf>
    <xf numFmtId="0" fontId="3" fillId="3" borderId="33" xfId="0" applyFont="1" applyFill="1" applyBorder="1" applyAlignment="1">
      <alignment horizontal="left" vertical="center" wrapText="1"/>
    </xf>
    <xf numFmtId="0" fontId="50" fillId="2" borderId="0" xfId="0" applyFont="1" applyFill="1" applyBorder="1" applyAlignment="1">
      <alignment horizontal="center" vertical="center" wrapText="1"/>
    </xf>
    <xf numFmtId="0" fontId="0" fillId="4" borderId="14" xfId="0" applyFont="1" applyFill="1" applyBorder="1" applyAlignment="1">
      <alignment horizontal="left" wrapText="1"/>
    </xf>
    <xf numFmtId="0" fontId="0" fillId="4" borderId="15" xfId="0" applyFont="1" applyFill="1" applyBorder="1" applyAlignment="1">
      <alignment horizontal="left" wrapText="1"/>
    </xf>
    <xf numFmtId="0" fontId="0" fillId="4" borderId="16" xfId="0" applyFont="1" applyFill="1" applyBorder="1" applyAlignment="1">
      <alignment horizontal="left" wrapText="1"/>
    </xf>
    <xf numFmtId="0" fontId="0" fillId="2" borderId="66" xfId="0" applyFont="1" applyFill="1" applyBorder="1" applyAlignment="1"/>
    <xf numFmtId="0" fontId="0" fillId="2" borderId="56" xfId="0" applyFont="1" applyFill="1" applyBorder="1" applyAlignment="1"/>
    <xf numFmtId="0" fontId="3" fillId="2" borderId="35" xfId="0" applyFont="1" applyFill="1" applyBorder="1" applyAlignment="1">
      <alignment horizontal="center" vertical="center"/>
    </xf>
    <xf numFmtId="0" fontId="3" fillId="2" borderId="36" xfId="0" applyFont="1" applyFill="1" applyBorder="1" applyAlignment="1">
      <alignment horizontal="center" vertical="center"/>
    </xf>
    <xf numFmtId="0" fontId="3" fillId="2" borderId="37" xfId="0" applyFont="1" applyFill="1" applyBorder="1" applyAlignment="1">
      <alignment horizontal="center" vertical="center"/>
    </xf>
    <xf numFmtId="1" fontId="0" fillId="4" borderId="35" xfId="0" applyNumberFormat="1" applyFont="1" applyFill="1" applyBorder="1" applyAlignment="1">
      <alignment horizontal="center" vertical="center"/>
    </xf>
    <xf numFmtId="1" fontId="0" fillId="4" borderId="37" xfId="0" applyNumberFormat="1" applyFont="1" applyFill="1" applyBorder="1" applyAlignment="1">
      <alignment horizontal="center" vertical="center"/>
    </xf>
    <xf numFmtId="0" fontId="0" fillId="22" borderId="35" xfId="0" applyFont="1" applyFill="1" applyBorder="1" applyAlignment="1">
      <alignment horizontal="center" vertical="center"/>
    </xf>
    <xf numFmtId="0" fontId="0" fillId="22" borderId="37" xfId="0" applyFont="1" applyFill="1" applyBorder="1" applyAlignment="1">
      <alignment horizontal="center" vertical="center"/>
    </xf>
    <xf numFmtId="0" fontId="0" fillId="2" borderId="35" xfId="0" applyFont="1" applyFill="1" applyBorder="1" applyAlignment="1">
      <alignment horizontal="center" vertical="center"/>
    </xf>
    <xf numFmtId="0" fontId="0" fillId="2" borderId="36" xfId="0" applyFont="1" applyFill="1" applyBorder="1" applyAlignment="1">
      <alignment horizontal="center" vertical="center"/>
    </xf>
    <xf numFmtId="0" fontId="0" fillId="2" borderId="37" xfId="0" applyFont="1" applyFill="1" applyBorder="1" applyAlignment="1">
      <alignment horizontal="center" vertical="center"/>
    </xf>
    <xf numFmtId="0" fontId="0" fillId="2" borderId="44" xfId="0" applyFont="1" applyFill="1" applyBorder="1" applyAlignment="1">
      <alignment horizontal="center"/>
    </xf>
    <xf numFmtId="0" fontId="0" fillId="2" borderId="39" xfId="0" applyFont="1" applyFill="1" applyBorder="1" applyAlignment="1">
      <alignment horizontal="center"/>
    </xf>
    <xf numFmtId="0" fontId="0" fillId="2" borderId="46" xfId="0" applyFont="1" applyFill="1" applyBorder="1" applyAlignment="1">
      <alignment horizontal="center"/>
    </xf>
    <xf numFmtId="0" fontId="0" fillId="2" borderId="40" xfId="0" applyFont="1" applyFill="1" applyBorder="1" applyAlignment="1">
      <alignment horizontal="center"/>
    </xf>
    <xf numFmtId="0" fontId="0" fillId="2" borderId="42" xfId="0" applyFont="1" applyFill="1" applyBorder="1" applyAlignment="1">
      <alignment horizontal="center"/>
    </xf>
    <xf numFmtId="0" fontId="0" fillId="2" borderId="4" xfId="0" applyFont="1" applyFill="1" applyBorder="1" applyAlignment="1">
      <alignment horizontal="center"/>
    </xf>
    <xf numFmtId="0" fontId="0" fillId="2" borderId="13" xfId="0" applyFont="1" applyFill="1" applyBorder="1" applyAlignment="1"/>
    <xf numFmtId="0" fontId="0" fillId="2" borderId="13" xfId="0" applyFont="1" applyFill="1" applyBorder="1" applyAlignment="1">
      <alignment horizontal="center"/>
    </xf>
    <xf numFmtId="169" fontId="0" fillId="2" borderId="22" xfId="2" applyNumberFormat="1" applyFont="1" applyFill="1" applyBorder="1" applyAlignment="1">
      <alignment horizontal="center"/>
    </xf>
    <xf numFmtId="169" fontId="0" fillId="2" borderId="23" xfId="2" applyNumberFormat="1" applyFont="1" applyFill="1" applyBorder="1" applyAlignment="1">
      <alignment horizontal="center"/>
    </xf>
    <xf numFmtId="169" fontId="0" fillId="2" borderId="24" xfId="2" applyNumberFormat="1" applyFont="1" applyFill="1" applyBorder="1" applyAlignment="1">
      <alignment horizontal="center"/>
    </xf>
    <xf numFmtId="169" fontId="0" fillId="2" borderId="20" xfId="2" applyNumberFormat="1" applyFont="1" applyFill="1" applyBorder="1" applyAlignment="1">
      <alignment horizontal="center"/>
    </xf>
    <xf numFmtId="169" fontId="0" fillId="2" borderId="9" xfId="2" applyNumberFormat="1" applyFont="1" applyFill="1" applyBorder="1" applyAlignment="1">
      <alignment horizontal="center"/>
    </xf>
    <xf numFmtId="169" fontId="0" fillId="2" borderId="10" xfId="2" applyNumberFormat="1" applyFont="1" applyFill="1" applyBorder="1" applyAlignment="1">
      <alignment horizontal="center"/>
    </xf>
    <xf numFmtId="165" fontId="0" fillId="22" borderId="26" xfId="57" applyNumberFormat="1" applyFont="1" applyFill="1" applyBorder="1" applyAlignment="1">
      <alignment horizontal="center" vertical="center"/>
    </xf>
    <xf numFmtId="165" fontId="0" fillId="22" borderId="27" xfId="57" applyNumberFormat="1" applyFont="1" applyFill="1" applyBorder="1" applyAlignment="1">
      <alignment horizontal="center" vertical="center"/>
    </xf>
    <xf numFmtId="165" fontId="0" fillId="22" borderId="28" xfId="57" applyNumberFormat="1" applyFont="1" applyFill="1" applyBorder="1" applyAlignment="1">
      <alignment horizontal="center" vertical="center"/>
    </xf>
    <xf numFmtId="165" fontId="0" fillId="22" borderId="35" xfId="57" applyNumberFormat="1" applyFont="1" applyFill="1" applyBorder="1" applyAlignment="1">
      <alignment horizontal="center" vertical="center"/>
    </xf>
    <xf numFmtId="165" fontId="0" fillId="22" borderId="36" xfId="57" applyNumberFormat="1" applyFont="1" applyFill="1" applyBorder="1" applyAlignment="1">
      <alignment horizontal="center" vertical="center"/>
    </xf>
    <xf numFmtId="165" fontId="0" fillId="22" borderId="37" xfId="57" applyNumberFormat="1" applyFont="1" applyFill="1" applyBorder="1" applyAlignment="1">
      <alignment horizontal="center" vertical="center"/>
    </xf>
    <xf numFmtId="0" fontId="0" fillId="2" borderId="46" xfId="0" applyFont="1" applyFill="1" applyBorder="1" applyAlignment="1"/>
    <xf numFmtId="0" fontId="0" fillId="2" borderId="40" xfId="0" applyFont="1" applyFill="1" applyBorder="1" applyAlignment="1"/>
    <xf numFmtId="0" fontId="0" fillId="2" borderId="47" xfId="0" applyFont="1" applyFill="1" applyBorder="1" applyAlignment="1"/>
    <xf numFmtId="0" fontId="44" fillId="23" borderId="46" xfId="0" applyFont="1" applyFill="1" applyBorder="1" applyAlignment="1"/>
    <xf numFmtId="0" fontId="44" fillId="23" borderId="40" xfId="0" applyFont="1" applyFill="1" applyBorder="1" applyAlignment="1"/>
    <xf numFmtId="0" fontId="44" fillId="23" borderId="47" xfId="0" applyFont="1" applyFill="1" applyBorder="1" applyAlignment="1"/>
    <xf numFmtId="0" fontId="49" fillId="2" borderId="19" xfId="0" applyFont="1" applyFill="1" applyBorder="1" applyAlignment="1"/>
    <xf numFmtId="0" fontId="49" fillId="2" borderId="11" xfId="0" applyFont="1" applyFill="1" applyBorder="1" applyAlignment="1"/>
    <xf numFmtId="0" fontId="49" fillId="2" borderId="70" xfId="0" applyFont="1" applyFill="1" applyBorder="1" applyAlignment="1"/>
    <xf numFmtId="0" fontId="0" fillId="2" borderId="66" xfId="0" applyFont="1" applyFill="1" applyBorder="1" applyAlignment="1">
      <alignment horizontal="left"/>
    </xf>
    <xf numFmtId="0" fontId="0" fillId="2" borderId="56" xfId="0" applyFont="1" applyFill="1" applyBorder="1" applyAlignment="1">
      <alignment horizontal="left"/>
    </xf>
    <xf numFmtId="0" fontId="3" fillId="2" borderId="66" xfId="0" applyFont="1" applyFill="1" applyBorder="1" applyAlignment="1">
      <alignment horizontal="center" wrapText="1"/>
    </xf>
    <xf numFmtId="0" fontId="3" fillId="2" borderId="56" xfId="0" applyFont="1" applyFill="1" applyBorder="1" applyAlignment="1">
      <alignment horizontal="center" wrapText="1"/>
    </xf>
    <xf numFmtId="0" fontId="3" fillId="2" borderId="54" xfId="0" applyFont="1" applyFill="1" applyBorder="1" applyAlignment="1">
      <alignment horizontal="center" vertical="center" wrapText="1"/>
    </xf>
    <xf numFmtId="0" fontId="3" fillId="2" borderId="72" xfId="0" applyFont="1" applyFill="1" applyBorder="1" applyAlignment="1">
      <alignment horizontal="center" vertical="center" wrapText="1"/>
    </xf>
    <xf numFmtId="0" fontId="3" fillId="2" borderId="55" xfId="0" applyFont="1" applyFill="1" applyBorder="1" applyAlignment="1">
      <alignment horizontal="center" vertical="center" wrapText="1"/>
    </xf>
    <xf numFmtId="0" fontId="0" fillId="2" borderId="0" xfId="0" applyFont="1" applyFill="1" applyBorder="1" applyAlignment="1">
      <alignment horizontal="center"/>
    </xf>
    <xf numFmtId="0" fontId="0" fillId="2" borderId="26" xfId="0" applyFont="1" applyFill="1" applyBorder="1" applyAlignment="1">
      <alignment horizontal="center" vertical="center"/>
    </xf>
    <xf numFmtId="0" fontId="0" fillId="2" borderId="27" xfId="0" applyFont="1" applyFill="1" applyBorder="1" applyAlignment="1">
      <alignment horizontal="center" vertical="center"/>
    </xf>
    <xf numFmtId="0" fontId="0" fillId="2" borderId="28" xfId="0" applyFont="1" applyFill="1" applyBorder="1" applyAlignment="1">
      <alignment horizontal="center" vertical="center"/>
    </xf>
    <xf numFmtId="0" fontId="0" fillId="2" borderId="53" xfId="0" applyFont="1" applyFill="1" applyBorder="1" applyAlignment="1">
      <alignment horizontal="left"/>
    </xf>
    <xf numFmtId="0" fontId="12" fillId="2" borderId="0" xfId="0" applyFont="1" applyFill="1" applyBorder="1" applyAlignment="1">
      <alignment horizontal="left" vertical="center" wrapText="1"/>
    </xf>
    <xf numFmtId="0" fontId="37" fillId="2" borderId="0" xfId="56" applyFill="1" applyAlignment="1">
      <alignment vertical="center"/>
    </xf>
    <xf numFmtId="0" fontId="0" fillId="24" borderId="35" xfId="0" applyFont="1" applyFill="1" applyBorder="1" applyAlignment="1">
      <alignment horizontal="center"/>
    </xf>
    <xf numFmtId="0" fontId="0" fillId="24" borderId="36" xfId="0" applyFont="1" applyFill="1" applyBorder="1" applyAlignment="1">
      <alignment horizontal="center"/>
    </xf>
    <xf numFmtId="0" fontId="0" fillId="24" borderId="37" xfId="0" applyFont="1" applyFill="1" applyBorder="1" applyAlignment="1">
      <alignment horizontal="center"/>
    </xf>
    <xf numFmtId="165" fontId="46" fillId="22" borderId="26" xfId="57" applyNumberFormat="1" applyFill="1" applyBorder="1" applyAlignment="1">
      <alignment horizontal="center" vertical="center"/>
    </xf>
    <xf numFmtId="165" fontId="46" fillId="22" borderId="27" xfId="57" applyNumberFormat="1" applyFill="1" applyBorder="1" applyAlignment="1">
      <alignment horizontal="center" vertical="center"/>
    </xf>
    <xf numFmtId="165" fontId="46" fillId="22" borderId="28" xfId="57" applyNumberFormat="1" applyFill="1" applyBorder="1" applyAlignment="1">
      <alignment horizontal="center" vertical="center"/>
    </xf>
    <xf numFmtId="165" fontId="46" fillId="22" borderId="35" xfId="57" applyNumberFormat="1" applyFill="1" applyBorder="1" applyAlignment="1">
      <alignment horizontal="center" vertical="center"/>
    </xf>
    <xf numFmtId="165" fontId="46" fillId="22" borderId="36" xfId="57" applyNumberFormat="1" applyFill="1" applyBorder="1" applyAlignment="1">
      <alignment horizontal="center" vertical="center"/>
    </xf>
    <xf numFmtId="165" fontId="46" fillId="22" borderId="37" xfId="57" applyNumberFormat="1" applyFill="1" applyBorder="1" applyAlignment="1">
      <alignment horizontal="center" vertical="center"/>
    </xf>
    <xf numFmtId="0" fontId="0" fillId="22" borderId="35" xfId="0" applyFill="1" applyBorder="1" applyAlignment="1">
      <alignment horizontal="center" vertical="center"/>
    </xf>
    <xf numFmtId="0" fontId="0" fillId="22" borderId="37" xfId="0" applyFill="1" applyBorder="1" applyAlignment="1">
      <alignment horizontal="center" vertical="center"/>
    </xf>
    <xf numFmtId="0" fontId="0" fillId="2" borderId="0" xfId="0" applyFill="1" applyBorder="1" applyAlignment="1">
      <alignment horizontal="center"/>
    </xf>
    <xf numFmtId="0" fontId="0" fillId="2" borderId="56" xfId="0" applyFill="1" applyBorder="1" applyAlignment="1">
      <alignment horizontal="left"/>
    </xf>
    <xf numFmtId="0" fontId="0" fillId="2" borderId="53" xfId="0" applyFill="1" applyBorder="1" applyAlignment="1">
      <alignment horizontal="left"/>
    </xf>
    <xf numFmtId="0" fontId="0" fillId="2" borderId="66" xfId="0" applyFill="1" applyBorder="1" applyAlignment="1">
      <alignment horizontal="left"/>
    </xf>
    <xf numFmtId="0" fontId="0" fillId="2" borderId="66" xfId="0" applyFill="1" applyBorder="1" applyAlignment="1"/>
    <xf numFmtId="0" fontId="0" fillId="2" borderId="56" xfId="0" applyFill="1" applyBorder="1" applyAlignment="1"/>
    <xf numFmtId="0" fontId="0" fillId="2" borderId="46" xfId="0" applyFill="1" applyBorder="1" applyAlignment="1"/>
    <xf numFmtId="0" fontId="0" fillId="2" borderId="40" xfId="0" applyFill="1" applyBorder="1" applyAlignment="1"/>
    <xf numFmtId="0" fontId="0" fillId="2" borderId="47" xfId="0" applyFill="1" applyBorder="1" applyAlignment="1"/>
    <xf numFmtId="0" fontId="44" fillId="19" borderId="46" xfId="0" applyFont="1" applyFill="1" applyBorder="1" applyAlignment="1"/>
    <xf numFmtId="0" fontId="44" fillId="19" borderId="40" xfId="0" applyFont="1" applyFill="1" applyBorder="1" applyAlignment="1"/>
    <xf numFmtId="0" fontId="44" fillId="19" borderId="47" xfId="0" applyFont="1" applyFill="1" applyBorder="1" applyAlignment="1"/>
    <xf numFmtId="0" fontId="49" fillId="19" borderId="19" xfId="0" applyFont="1" applyFill="1" applyBorder="1" applyAlignment="1"/>
    <xf numFmtId="0" fontId="49" fillId="19" borderId="11" xfId="0" applyFont="1" applyFill="1" applyBorder="1" applyAlignment="1"/>
    <xf numFmtId="0" fontId="49" fillId="19" borderId="70" xfId="0" applyFont="1" applyFill="1" applyBorder="1" applyAlignment="1"/>
    <xf numFmtId="0" fontId="0" fillId="19" borderId="13" xfId="0" applyFont="1" applyFill="1" applyBorder="1" applyAlignment="1">
      <alignment horizontal="center"/>
    </xf>
    <xf numFmtId="0" fontId="0" fillId="19" borderId="35" xfId="0" applyFont="1" applyFill="1" applyBorder="1" applyAlignment="1">
      <alignment horizontal="center" vertical="center"/>
    </xf>
    <xf numFmtId="0" fontId="0" fillId="19" borderId="36" xfId="0" applyFont="1" applyFill="1" applyBorder="1" applyAlignment="1">
      <alignment horizontal="center" vertical="center"/>
    </xf>
    <xf numFmtId="10" fontId="11" fillId="19" borderId="35" xfId="2" applyNumberFormat="1" applyFont="1" applyFill="1" applyBorder="1" applyAlignment="1">
      <alignment horizontal="center" vertical="center"/>
    </xf>
    <xf numFmtId="10" fontId="11" fillId="19" borderId="36" xfId="2" applyNumberFormat="1" applyFont="1" applyFill="1" applyBorder="1" applyAlignment="1">
      <alignment horizontal="center" vertical="center"/>
    </xf>
    <xf numFmtId="10" fontId="11" fillId="19" borderId="37" xfId="2" applyNumberFormat="1" applyFont="1" applyFill="1" applyBorder="1" applyAlignment="1">
      <alignment horizontal="center" vertical="center"/>
    </xf>
    <xf numFmtId="0" fontId="0" fillId="24" borderId="35" xfId="0" applyFill="1" applyBorder="1" applyAlignment="1">
      <alignment horizontal="center"/>
    </xf>
    <xf numFmtId="0" fontId="0" fillId="24" borderId="36" xfId="0" applyFill="1" applyBorder="1" applyAlignment="1">
      <alignment horizontal="center"/>
    </xf>
    <xf numFmtId="0" fontId="0" fillId="24" borderId="37" xfId="0" applyFill="1" applyBorder="1" applyAlignment="1">
      <alignment horizontal="center"/>
    </xf>
    <xf numFmtId="0" fontId="3" fillId="2" borderId="0" xfId="0" applyFont="1" applyFill="1" applyAlignment="1">
      <alignment horizontal="left"/>
    </xf>
    <xf numFmtId="0" fontId="0" fillId="24" borderId="3" xfId="0" applyFill="1" applyBorder="1" applyAlignment="1">
      <alignment horizontal="left"/>
    </xf>
    <xf numFmtId="0" fontId="0" fillId="24" borderId="1" xfId="0" applyFill="1" applyBorder="1" applyAlignment="1">
      <alignment horizontal="left"/>
    </xf>
    <xf numFmtId="0" fontId="0" fillId="24" borderId="2" xfId="0" applyFill="1" applyBorder="1" applyAlignment="1">
      <alignment horizontal="left"/>
    </xf>
    <xf numFmtId="0" fontId="0" fillId="24" borderId="78" xfId="0" applyFont="1" applyFill="1" applyBorder="1" applyAlignment="1">
      <alignment horizontal="center" vertical="center" wrapText="1"/>
    </xf>
    <xf numFmtId="0" fontId="0" fillId="24" borderId="6" xfId="0" applyFont="1" applyFill="1" applyBorder="1" applyAlignment="1">
      <alignment horizontal="center" vertical="center" wrapText="1"/>
    </xf>
    <xf numFmtId="0" fontId="0" fillId="24" borderId="31" xfId="0" applyFont="1" applyFill="1" applyBorder="1" applyAlignment="1">
      <alignment horizontal="center" vertical="center" wrapText="1"/>
    </xf>
    <xf numFmtId="0" fontId="0" fillId="24" borderId="76" xfId="0" applyFont="1" applyFill="1" applyBorder="1" applyAlignment="1">
      <alignment horizontal="center" vertical="center" wrapText="1"/>
    </xf>
    <xf numFmtId="0" fontId="0" fillId="24" borderId="74" xfId="0" applyFill="1" applyBorder="1" applyAlignment="1">
      <alignment horizontal="left"/>
    </xf>
    <xf numFmtId="0" fontId="0" fillId="24" borderId="50" xfId="0" applyFill="1" applyBorder="1" applyAlignment="1">
      <alignment horizontal="left"/>
    </xf>
    <xf numFmtId="0" fontId="0" fillId="24" borderId="7" xfId="0" applyFill="1" applyBorder="1" applyAlignment="1">
      <alignment horizontal="left"/>
    </xf>
    <xf numFmtId="0" fontId="0" fillId="24" borderId="26" xfId="0" applyFont="1" applyFill="1" applyBorder="1" applyAlignment="1">
      <alignment horizontal="center" vertical="center" wrapText="1"/>
    </xf>
    <xf numFmtId="0" fontId="0" fillId="24" borderId="77" xfId="0" applyFont="1" applyFill="1" applyBorder="1" applyAlignment="1">
      <alignment horizontal="center" vertical="center" wrapText="1"/>
    </xf>
    <xf numFmtId="0" fontId="10" fillId="2" borderId="0" xfId="0" applyFont="1" applyFill="1" applyAlignment="1">
      <alignment horizontal="center" wrapText="1"/>
    </xf>
    <xf numFmtId="0" fontId="34" fillId="2" borderId="0" xfId="0" applyFont="1" applyFill="1" applyAlignment="1">
      <alignment horizontal="left"/>
    </xf>
    <xf numFmtId="0" fontId="0" fillId="24" borderId="20" xfId="0" applyFill="1" applyBorder="1" applyAlignment="1">
      <alignment horizontal="left"/>
    </xf>
    <xf numFmtId="0" fontId="0" fillId="24" borderId="9" xfId="0" applyFill="1" applyBorder="1" applyAlignment="1">
      <alignment horizontal="left"/>
    </xf>
    <xf numFmtId="0" fontId="0" fillId="24" borderId="10" xfId="0" applyFill="1" applyBorder="1" applyAlignment="1">
      <alignment horizontal="left"/>
    </xf>
    <xf numFmtId="0" fontId="0" fillId="24" borderId="17" xfId="0" applyFill="1" applyBorder="1" applyAlignment="1">
      <alignment horizontal="left"/>
    </xf>
    <xf numFmtId="0" fontId="0" fillId="24" borderId="48" xfId="0" applyFill="1" applyBorder="1" applyAlignment="1">
      <alignment horizontal="left"/>
    </xf>
    <xf numFmtId="0" fontId="0" fillId="24" borderId="49" xfId="0" applyFill="1" applyBorder="1" applyAlignment="1">
      <alignment horizontal="left"/>
    </xf>
    <xf numFmtId="0" fontId="0" fillId="24" borderId="5" xfId="0" applyFill="1" applyBorder="1" applyAlignment="1">
      <alignment horizontal="left"/>
    </xf>
    <xf numFmtId="0" fontId="0" fillId="24" borderId="22" xfId="0" applyFill="1" applyBorder="1" applyAlignment="1">
      <alignment horizontal="left"/>
    </xf>
    <xf numFmtId="0" fontId="0" fillId="24" borderId="23" xfId="0" applyFill="1" applyBorder="1" applyAlignment="1">
      <alignment horizontal="left"/>
    </xf>
    <xf numFmtId="0" fontId="0" fillId="24" borderId="24" xfId="0" applyFill="1" applyBorder="1" applyAlignment="1">
      <alignment horizontal="left"/>
    </xf>
    <xf numFmtId="0" fontId="0" fillId="24" borderId="51" xfId="0" applyFill="1" applyBorder="1" applyAlignment="1">
      <alignment horizontal="left"/>
    </xf>
    <xf numFmtId="0" fontId="0" fillId="24" borderId="75" xfId="0" applyFill="1" applyBorder="1" applyAlignment="1">
      <alignment horizontal="left"/>
    </xf>
    <xf numFmtId="0" fontId="0" fillId="24" borderId="32" xfId="0" applyFill="1" applyBorder="1" applyAlignment="1">
      <alignment horizontal="left"/>
    </xf>
    <xf numFmtId="0" fontId="0" fillId="24" borderId="0" xfId="0" applyFill="1" applyBorder="1" applyAlignment="1">
      <alignment horizontal="left"/>
    </xf>
    <xf numFmtId="0" fontId="0" fillId="24" borderId="12" xfId="0" applyFill="1" applyBorder="1" applyAlignment="1">
      <alignment horizontal="left"/>
    </xf>
    <xf numFmtId="0" fontId="0" fillId="24" borderId="73" xfId="0" applyFill="1" applyBorder="1" applyAlignment="1">
      <alignment horizontal="left"/>
    </xf>
    <xf numFmtId="0" fontId="6" fillId="2" borderId="32" xfId="0" applyFont="1" applyFill="1" applyBorder="1" applyAlignment="1">
      <alignment horizontal="center"/>
    </xf>
    <xf numFmtId="0" fontId="6" fillId="2" borderId="33" xfId="0" applyFont="1" applyFill="1" applyBorder="1" applyAlignment="1">
      <alignment horizontal="center"/>
    </xf>
    <xf numFmtId="0" fontId="0" fillId="24" borderId="39" xfId="0" applyFill="1" applyBorder="1" applyAlignment="1">
      <alignment horizontal="left"/>
    </xf>
    <xf numFmtId="0" fontId="0" fillId="24" borderId="40" xfId="0" applyFill="1" applyBorder="1" applyAlignment="1">
      <alignment horizontal="left"/>
    </xf>
    <xf numFmtId="0" fontId="0" fillId="24" borderId="71" xfId="0" applyFill="1" applyBorder="1" applyAlignment="1">
      <alignment horizontal="left"/>
    </xf>
    <xf numFmtId="0" fontId="0" fillId="24" borderId="44" xfId="0" applyFill="1" applyBorder="1" applyAlignment="1">
      <alignment horizontal="left"/>
    </xf>
    <xf numFmtId="0" fontId="0" fillId="24" borderId="45" xfId="0" applyFill="1" applyBorder="1" applyAlignment="1">
      <alignment horizontal="left"/>
    </xf>
    <xf numFmtId="0" fontId="0" fillId="24" borderId="46" xfId="0" applyFill="1" applyBorder="1" applyAlignment="1">
      <alignment horizontal="left"/>
    </xf>
    <xf numFmtId="0" fontId="0" fillId="24" borderId="47" xfId="0" applyFill="1" applyBorder="1" applyAlignment="1">
      <alignment horizontal="left"/>
    </xf>
    <xf numFmtId="0" fontId="0" fillId="24" borderId="19" xfId="0" applyFill="1" applyBorder="1" applyAlignment="1">
      <alignment horizontal="left"/>
    </xf>
    <xf numFmtId="0" fontId="0" fillId="24" borderId="11" xfId="0" applyFill="1" applyBorder="1" applyAlignment="1">
      <alignment horizontal="left"/>
    </xf>
    <xf numFmtId="0" fontId="0" fillId="24" borderId="70" xfId="0" applyFill="1" applyBorder="1" applyAlignment="1">
      <alignment horizontal="left"/>
    </xf>
    <xf numFmtId="0" fontId="6" fillId="2" borderId="0" xfId="0" applyFont="1" applyFill="1" applyBorder="1" applyAlignment="1">
      <alignment horizontal="center"/>
    </xf>
    <xf numFmtId="0" fontId="3" fillId="24" borderId="31" xfId="0" applyFont="1" applyFill="1" applyBorder="1" applyAlignment="1">
      <alignment horizontal="center"/>
    </xf>
    <xf numFmtId="0" fontId="3" fillId="24" borderId="32" xfId="0" applyFont="1" applyFill="1" applyBorder="1" applyAlignment="1">
      <alignment horizontal="center"/>
    </xf>
    <xf numFmtId="0" fontId="0" fillId="24" borderId="8" xfId="0" applyFill="1" applyBorder="1" applyAlignment="1">
      <alignment horizontal="left"/>
    </xf>
    <xf numFmtId="0" fontId="38" fillId="2" borderId="2" xfId="0" applyFont="1" applyFill="1" applyBorder="1" applyAlignment="1">
      <alignment horizontal="left"/>
    </xf>
    <xf numFmtId="0" fontId="38" fillId="2" borderId="40" xfId="0" applyFont="1" applyFill="1" applyBorder="1" applyAlignment="1">
      <alignment horizontal="left"/>
    </xf>
    <xf numFmtId="0" fontId="38" fillId="2" borderId="3" xfId="0" applyFont="1" applyFill="1" applyBorder="1" applyAlignment="1">
      <alignment horizontal="left"/>
    </xf>
    <xf numFmtId="0" fontId="3" fillId="2" borderId="35" xfId="0" applyFont="1" applyFill="1" applyBorder="1" applyAlignment="1">
      <alignment horizontal="center"/>
    </xf>
    <xf numFmtId="0" fontId="3" fillId="2" borderId="36" xfId="0" applyFont="1" applyFill="1" applyBorder="1" applyAlignment="1">
      <alignment horizontal="center"/>
    </xf>
    <xf numFmtId="0" fontId="3" fillId="2" borderId="37" xfId="0" applyFont="1" applyFill="1" applyBorder="1" applyAlignment="1">
      <alignment horizontal="center"/>
    </xf>
    <xf numFmtId="165" fontId="0" fillId="4" borderId="17" xfId="0" applyNumberFormat="1" applyFill="1" applyBorder="1" applyAlignment="1">
      <alignment horizontal="right"/>
    </xf>
    <xf numFmtId="165" fontId="0" fillId="4" borderId="1" xfId="0" applyNumberFormat="1" applyFill="1" applyBorder="1" applyAlignment="1">
      <alignment horizontal="right"/>
    </xf>
    <xf numFmtId="165" fontId="0" fillId="4" borderId="18" xfId="0" applyNumberFormat="1" applyFill="1" applyBorder="1" applyAlignment="1">
      <alignment horizontal="right"/>
    </xf>
    <xf numFmtId="165" fontId="0" fillId="4" borderId="20" xfId="0" applyNumberFormat="1" applyFill="1" applyBorder="1" applyAlignment="1">
      <alignment horizontal="right"/>
    </xf>
    <xf numFmtId="165" fontId="0" fillId="4" borderId="9" xfId="0" applyNumberFormat="1" applyFill="1" applyBorder="1" applyAlignment="1">
      <alignment horizontal="right"/>
    </xf>
    <xf numFmtId="165" fontId="0" fillId="4" borderId="21" xfId="0" applyNumberFormat="1" applyFill="1" applyBorder="1" applyAlignment="1">
      <alignment horizontal="right"/>
    </xf>
    <xf numFmtId="165" fontId="0" fillId="0" borderId="17" xfId="0" applyNumberFormat="1" applyFill="1" applyBorder="1" applyAlignment="1">
      <alignment horizontal="right"/>
    </xf>
    <xf numFmtId="165" fontId="0" fillId="0" borderId="1" xfId="0" applyNumberFormat="1" applyFill="1" applyBorder="1" applyAlignment="1">
      <alignment horizontal="right"/>
    </xf>
    <xf numFmtId="165" fontId="0" fillId="0" borderId="18" xfId="0" applyNumberFormat="1" applyFill="1" applyBorder="1" applyAlignment="1">
      <alignment horizontal="right"/>
    </xf>
    <xf numFmtId="0" fontId="3" fillId="2" borderId="15" xfId="0" applyFont="1" applyFill="1" applyBorder="1" applyAlignment="1">
      <alignment horizontal="center"/>
    </xf>
    <xf numFmtId="0" fontId="3" fillId="2" borderId="16" xfId="0" applyFont="1" applyFill="1" applyBorder="1" applyAlignment="1">
      <alignment horizontal="center"/>
    </xf>
    <xf numFmtId="0" fontId="3" fillId="2" borderId="14" xfId="0" applyFont="1" applyFill="1" applyBorder="1" applyAlignment="1">
      <alignment horizontal="center"/>
    </xf>
    <xf numFmtId="165" fontId="0" fillId="0" borderId="51" xfId="0" applyNumberFormat="1" applyFill="1" applyBorder="1" applyAlignment="1">
      <alignment horizontal="right"/>
    </xf>
    <xf numFmtId="165" fontId="0" fillId="0" borderId="50" xfId="0" applyNumberFormat="1" applyFill="1" applyBorder="1" applyAlignment="1">
      <alignment horizontal="right"/>
    </xf>
    <xf numFmtId="165" fontId="0" fillId="0" borderId="52" xfId="0" applyNumberFormat="1" applyFill="1" applyBorder="1" applyAlignment="1">
      <alignment horizontal="right"/>
    </xf>
    <xf numFmtId="0" fontId="15" fillId="0" borderId="35" xfId="0" applyFont="1" applyFill="1" applyBorder="1" applyAlignment="1">
      <alignment horizontal="center"/>
    </xf>
    <xf numFmtId="0" fontId="15" fillId="0" borderId="38" xfId="0" applyFont="1" applyFill="1" applyBorder="1" applyAlignment="1">
      <alignment horizontal="center"/>
    </xf>
    <xf numFmtId="49" fontId="0" fillId="2" borderId="44" xfId="0" applyNumberFormat="1" applyFill="1" applyBorder="1" applyAlignment="1">
      <alignment horizontal="left"/>
    </xf>
    <xf numFmtId="49" fontId="0" fillId="2" borderId="71" xfId="0" applyNumberFormat="1" applyFill="1" applyBorder="1" applyAlignment="1">
      <alignment horizontal="left"/>
    </xf>
    <xf numFmtId="49" fontId="0" fillId="2" borderId="46" xfId="0" applyNumberFormat="1" applyFill="1" applyBorder="1" applyAlignment="1">
      <alignment horizontal="left"/>
    </xf>
    <xf numFmtId="49" fontId="0" fillId="2" borderId="3" xfId="0" applyNumberFormat="1" applyFill="1" applyBorder="1" applyAlignment="1">
      <alignment horizontal="left"/>
    </xf>
    <xf numFmtId="49" fontId="0" fillId="4" borderId="46" xfId="0" applyNumberFormat="1" applyFill="1" applyBorder="1" applyAlignment="1">
      <alignment horizontal="left"/>
    </xf>
    <xf numFmtId="49" fontId="0" fillId="4" borderId="3" xfId="0" applyNumberFormat="1" applyFill="1" applyBorder="1" applyAlignment="1">
      <alignment horizontal="left"/>
    </xf>
  </cellXfs>
  <cellStyles count="59">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xfId="58" builtinId="3"/>
    <cellStyle name="Comma 2" xfId="30" xr:uid="{00000000-0005-0000-0000-00001C000000}"/>
    <cellStyle name="Comma 3" xfId="31" xr:uid="{00000000-0005-0000-0000-00001D000000}"/>
    <cellStyle name="Currency 2" xfId="32" xr:uid="{00000000-0005-0000-0000-00001E000000}"/>
    <cellStyle name="Currency 3" xfId="33" xr:uid="{00000000-0005-0000-0000-00001F000000}"/>
    <cellStyle name="default" xfId="34" xr:uid="{00000000-0005-0000-0000-000020000000}"/>
    <cellStyle name="Explanatory Text 2" xfId="35" xr:uid="{00000000-0005-0000-0000-000021000000}"/>
    <cellStyle name="Good" xfId="57" builtinId="26"/>
    <cellStyle name="Good 2" xfId="36" xr:uid="{00000000-0005-0000-0000-000023000000}"/>
    <cellStyle name="Heading 1 2" xfId="37" xr:uid="{00000000-0005-0000-0000-000024000000}"/>
    <cellStyle name="Heading 2 2" xfId="38" xr:uid="{00000000-0005-0000-0000-000025000000}"/>
    <cellStyle name="Heading 3 2" xfId="39" xr:uid="{00000000-0005-0000-0000-000026000000}"/>
    <cellStyle name="Heading 4 2" xfId="40" xr:uid="{00000000-0005-0000-0000-000027000000}"/>
    <cellStyle name="Hyperlink" xfId="56" builtinId="8"/>
    <cellStyle name="Input 2" xfId="41" xr:uid="{00000000-0005-0000-0000-000029000000}"/>
    <cellStyle name="Linked Cell 2" xfId="42" xr:uid="{00000000-0005-0000-0000-00002A000000}"/>
    <cellStyle name="Locked" xfId="43" xr:uid="{00000000-0005-0000-0000-00002B000000}"/>
    <cellStyle name="Neutral 2" xfId="44" xr:uid="{00000000-0005-0000-0000-00002C000000}"/>
    <cellStyle name="Normal" xfId="0" builtinId="0"/>
    <cellStyle name="Normal 2" xfId="1" xr:uid="{00000000-0005-0000-0000-00002E000000}"/>
    <cellStyle name="Normal 3" xfId="45" xr:uid="{00000000-0005-0000-0000-00002F000000}"/>
    <cellStyle name="Note 2" xfId="46" xr:uid="{00000000-0005-0000-0000-000030000000}"/>
    <cellStyle name="Output 2" xfId="47" xr:uid="{00000000-0005-0000-0000-000031000000}"/>
    <cellStyle name="Percent" xfId="2" builtinId="5"/>
    <cellStyle name="Percent 2" xfId="48" xr:uid="{00000000-0005-0000-0000-000033000000}"/>
    <cellStyle name="Percent 2 2" xfId="49" xr:uid="{00000000-0005-0000-0000-000034000000}"/>
    <cellStyle name="Percent 3" xfId="50" xr:uid="{00000000-0005-0000-0000-000035000000}"/>
    <cellStyle name="Percent 4" xfId="51" xr:uid="{00000000-0005-0000-0000-000036000000}"/>
    <cellStyle name="Percent 5" xfId="52" xr:uid="{00000000-0005-0000-0000-000037000000}"/>
    <cellStyle name="Title 2" xfId="53" xr:uid="{00000000-0005-0000-0000-000038000000}"/>
    <cellStyle name="Total 2" xfId="54" xr:uid="{00000000-0005-0000-0000-000039000000}"/>
    <cellStyle name="Warning Text 2" xfId="55" xr:uid="{00000000-0005-0000-0000-00003A000000}"/>
  </cellStyles>
  <dxfs count="0"/>
  <tableStyles count="0" defaultTableStyle="TableStyleMedium2" defaultPivotStyle="PivotStyleLight16"/>
  <colors>
    <mruColors>
      <color rgb="FFDDDDDD"/>
      <color rgb="FFEEEEEE"/>
      <color rgb="FF2A3151"/>
      <color rgb="FFDD6E50"/>
      <color rgb="FFFFCCFF"/>
      <color rgb="FF12628A"/>
      <color rgb="FFFF0066"/>
      <color rgb="FFB2B2B2"/>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E"/>
              <a:t>Gross Drug Budget Impact</a:t>
            </a:r>
          </a:p>
        </c:rich>
      </c:tx>
      <c:overlay val="0"/>
    </c:title>
    <c:autoTitleDeleted val="0"/>
    <c:plotArea>
      <c:layout>
        <c:manualLayout>
          <c:layoutTarget val="inner"/>
          <c:xMode val="edge"/>
          <c:yMode val="edge"/>
          <c:x val="0.32493956750299297"/>
          <c:y val="0.13484161952680102"/>
          <c:w val="0.60055602145576681"/>
          <c:h val="0.83868425291603887"/>
        </c:manualLayout>
      </c:layout>
      <c:barChart>
        <c:barDir val="bar"/>
        <c:grouping val="clustered"/>
        <c:varyColors val="0"/>
        <c:ser>
          <c:idx val="0"/>
          <c:order val="0"/>
          <c:tx>
            <c:strRef>
              <c:f>'Analysis of Uncertainty'!$O$82</c:f>
              <c:strCache>
                <c:ptCount val="1"/>
                <c:pt idx="0">
                  <c:v>Lower</c:v>
                </c:pt>
              </c:strCache>
            </c:strRef>
          </c:tx>
          <c:invertIfNegative val="0"/>
          <c:val>
            <c:numRef>
              <c:f>'Analysis of Uncertainty'!$O$83:$O$106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Uncertainty'!$N$83:$N$106</c15:sqref>
                        </c15:formulaRef>
                      </c:ext>
                    </c:extLst>
                  </c:multiLvlStrRef>
                </c15:cat>
              </c15:filteredCategoryTitle>
            </c:ext>
            <c:ext xmlns:c16="http://schemas.microsoft.com/office/drawing/2014/chart" uri="{C3380CC4-5D6E-409C-BE32-E72D297353CC}">
              <c16:uniqueId val="{00000000-508D-1A41-BEB4-33B7CD73FD9C}"/>
            </c:ext>
          </c:extLst>
        </c:ser>
        <c:ser>
          <c:idx val="1"/>
          <c:order val="1"/>
          <c:tx>
            <c:strRef>
              <c:f>'Analysis of Uncertainty'!$P$82</c:f>
              <c:strCache>
                <c:ptCount val="1"/>
                <c:pt idx="0">
                  <c:v>Upper</c:v>
                </c:pt>
              </c:strCache>
            </c:strRef>
          </c:tx>
          <c:invertIfNegative val="0"/>
          <c:val>
            <c:numRef>
              <c:f>'Analysis of Uncertainty'!$P$83:$P$106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Uncertainty'!$N$83:$N$106</c15:sqref>
                        </c15:formulaRef>
                      </c:ext>
                    </c:extLst>
                  </c:multiLvlStrRef>
                </c15:cat>
              </c15:filteredCategoryTitle>
            </c:ext>
            <c:ext xmlns:c16="http://schemas.microsoft.com/office/drawing/2014/chart" uri="{C3380CC4-5D6E-409C-BE32-E72D297353CC}">
              <c16:uniqueId val="{00000001-508D-1A41-BEB4-33B7CD73FD9C}"/>
            </c:ext>
          </c:extLst>
        </c:ser>
        <c:dLbls>
          <c:showLegendKey val="0"/>
          <c:showVal val="0"/>
          <c:showCatName val="0"/>
          <c:showSerName val="0"/>
          <c:showPercent val="0"/>
          <c:showBubbleSize val="0"/>
        </c:dLbls>
        <c:gapWidth val="30"/>
        <c:overlap val="100"/>
        <c:axId val="296085760"/>
        <c:axId val="295309312"/>
      </c:barChart>
      <c:catAx>
        <c:axId val="296085760"/>
        <c:scaling>
          <c:orientation val="maxMin"/>
        </c:scaling>
        <c:delete val="0"/>
        <c:axPos val="l"/>
        <c:numFmt formatCode="General" sourceLinked="1"/>
        <c:majorTickMark val="none"/>
        <c:minorTickMark val="none"/>
        <c:tickLblPos val="low"/>
        <c:crossAx val="295309312"/>
        <c:crossesAt val="0"/>
        <c:auto val="1"/>
        <c:lblAlgn val="ctr"/>
        <c:lblOffset val="100"/>
        <c:noMultiLvlLbl val="0"/>
      </c:catAx>
      <c:valAx>
        <c:axId val="295309312"/>
        <c:scaling>
          <c:orientation val="minMax"/>
        </c:scaling>
        <c:delete val="0"/>
        <c:axPos val="t"/>
        <c:majorGridlines/>
        <c:numFmt formatCode="General" sourceLinked="0"/>
        <c:majorTickMark val="none"/>
        <c:minorTickMark val="none"/>
        <c:tickLblPos val="nextTo"/>
        <c:crossAx val="2960857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E"/>
              <a:t>Net Drug Budget Impact</a:t>
            </a:r>
          </a:p>
        </c:rich>
      </c:tx>
      <c:overlay val="0"/>
    </c:title>
    <c:autoTitleDeleted val="0"/>
    <c:plotArea>
      <c:layout>
        <c:manualLayout>
          <c:layoutTarget val="inner"/>
          <c:xMode val="edge"/>
          <c:yMode val="edge"/>
          <c:x val="0.32493956750299297"/>
          <c:y val="0.13484161952680102"/>
          <c:w val="0.60055602145576681"/>
          <c:h val="0.83868425291603887"/>
        </c:manualLayout>
      </c:layout>
      <c:barChart>
        <c:barDir val="bar"/>
        <c:grouping val="clustered"/>
        <c:varyColors val="0"/>
        <c:ser>
          <c:idx val="0"/>
          <c:order val="0"/>
          <c:tx>
            <c:strRef>
              <c:f>'Analysis of Uncertainty'!$U$82</c:f>
              <c:strCache>
                <c:ptCount val="1"/>
                <c:pt idx="0">
                  <c:v>Lower</c:v>
                </c:pt>
              </c:strCache>
            </c:strRef>
          </c:tx>
          <c:invertIfNegative val="0"/>
          <c:val>
            <c:numRef>
              <c:f>'Analysis of Uncertainty'!$U$83:$U$106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Uncertainty'!$T$83:$T$106</c15:sqref>
                        </c15:formulaRef>
                      </c:ext>
                    </c:extLst>
                  </c:multiLvlStrRef>
                </c15:cat>
              </c15:filteredCategoryTitle>
            </c:ext>
            <c:ext xmlns:c16="http://schemas.microsoft.com/office/drawing/2014/chart" uri="{C3380CC4-5D6E-409C-BE32-E72D297353CC}">
              <c16:uniqueId val="{00000000-E85A-4D44-B3E8-A677325B3EFE}"/>
            </c:ext>
          </c:extLst>
        </c:ser>
        <c:ser>
          <c:idx val="1"/>
          <c:order val="1"/>
          <c:tx>
            <c:strRef>
              <c:f>'Analysis of Uncertainty'!$V$82</c:f>
              <c:strCache>
                <c:ptCount val="1"/>
                <c:pt idx="0">
                  <c:v>Upper</c:v>
                </c:pt>
              </c:strCache>
            </c:strRef>
          </c:tx>
          <c:invertIfNegative val="0"/>
          <c:val>
            <c:numRef>
              <c:f>'Analysis of Uncertainty'!$V$83:$V$106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Uncertainty'!$T$83:$T$106</c15:sqref>
                        </c15:formulaRef>
                      </c:ext>
                    </c:extLst>
                  </c:multiLvlStrRef>
                </c15:cat>
              </c15:filteredCategoryTitle>
            </c:ext>
            <c:ext xmlns:c16="http://schemas.microsoft.com/office/drawing/2014/chart" uri="{C3380CC4-5D6E-409C-BE32-E72D297353CC}">
              <c16:uniqueId val="{00000001-E85A-4D44-B3E8-A677325B3EFE}"/>
            </c:ext>
          </c:extLst>
        </c:ser>
        <c:dLbls>
          <c:showLegendKey val="0"/>
          <c:showVal val="0"/>
          <c:showCatName val="0"/>
          <c:showSerName val="0"/>
          <c:showPercent val="0"/>
          <c:showBubbleSize val="0"/>
        </c:dLbls>
        <c:gapWidth val="30"/>
        <c:overlap val="100"/>
        <c:axId val="295335424"/>
        <c:axId val="295336960"/>
      </c:barChart>
      <c:catAx>
        <c:axId val="295335424"/>
        <c:scaling>
          <c:orientation val="maxMin"/>
        </c:scaling>
        <c:delete val="0"/>
        <c:axPos val="l"/>
        <c:numFmt formatCode="General" sourceLinked="1"/>
        <c:majorTickMark val="none"/>
        <c:minorTickMark val="none"/>
        <c:tickLblPos val="low"/>
        <c:crossAx val="295336960"/>
        <c:crossesAt val="0"/>
        <c:auto val="1"/>
        <c:lblAlgn val="ctr"/>
        <c:lblOffset val="100"/>
        <c:noMultiLvlLbl val="0"/>
      </c:catAx>
      <c:valAx>
        <c:axId val="295336960"/>
        <c:scaling>
          <c:orientation val="minMax"/>
        </c:scaling>
        <c:delete val="0"/>
        <c:axPos val="t"/>
        <c:majorGridlines/>
        <c:numFmt formatCode="General" sourceLinked="0"/>
        <c:majorTickMark val="none"/>
        <c:minorTickMark val="none"/>
        <c:tickLblPos val="nextTo"/>
        <c:crossAx val="295335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E"/>
              <a:t>Net Budget Impact</a:t>
            </a:r>
          </a:p>
        </c:rich>
      </c:tx>
      <c:overlay val="0"/>
    </c:title>
    <c:autoTitleDeleted val="0"/>
    <c:plotArea>
      <c:layout>
        <c:manualLayout>
          <c:layoutTarget val="inner"/>
          <c:xMode val="edge"/>
          <c:yMode val="edge"/>
          <c:x val="0.32493956750299297"/>
          <c:y val="0.13484161952680102"/>
          <c:w val="0.60055602145576681"/>
          <c:h val="0.83868425291603887"/>
        </c:manualLayout>
      </c:layout>
      <c:barChart>
        <c:barDir val="bar"/>
        <c:grouping val="clustered"/>
        <c:varyColors val="0"/>
        <c:ser>
          <c:idx val="0"/>
          <c:order val="0"/>
          <c:tx>
            <c:strRef>
              <c:f>'Analysis of Uncertainty'!$AA$82</c:f>
              <c:strCache>
                <c:ptCount val="1"/>
                <c:pt idx="0">
                  <c:v>Lower</c:v>
                </c:pt>
              </c:strCache>
            </c:strRef>
          </c:tx>
          <c:invertIfNegative val="0"/>
          <c:val>
            <c:numRef>
              <c:f>'Analysis of Uncertainty'!$AA$83:$AA$106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Uncertainty'!$Z$83:$Z$106</c15:sqref>
                        </c15:formulaRef>
                      </c:ext>
                    </c:extLst>
                  </c:multiLvlStrRef>
                </c15:cat>
              </c15:filteredCategoryTitle>
            </c:ext>
            <c:ext xmlns:c16="http://schemas.microsoft.com/office/drawing/2014/chart" uri="{C3380CC4-5D6E-409C-BE32-E72D297353CC}">
              <c16:uniqueId val="{00000000-147D-B544-A9F6-E57C8B4B3775}"/>
            </c:ext>
          </c:extLst>
        </c:ser>
        <c:ser>
          <c:idx val="1"/>
          <c:order val="1"/>
          <c:tx>
            <c:strRef>
              <c:f>'Analysis of Uncertainty'!$AB$82</c:f>
              <c:strCache>
                <c:ptCount val="1"/>
                <c:pt idx="0">
                  <c:v>Upper</c:v>
                </c:pt>
              </c:strCache>
            </c:strRef>
          </c:tx>
          <c:invertIfNegative val="0"/>
          <c:val>
            <c:numRef>
              <c:f>'Analysis of Uncertainty'!$AB$83:$AB$106</c:f>
              <c:numCache>
                <c:formatCode>"€"#,##0.00</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val>
          <c:extLst>
            <c:ext xmlns:c15="http://schemas.microsoft.com/office/drawing/2012/chart" uri="{02D57815-91ED-43cb-92C2-25804820EDAC}">
              <c15:filteredCategoryTitle>
                <c15:cat>
                  <c:multiLvlStrRef>
                    <c:extLst>
                      <c:ext uri="{02D57815-91ED-43cb-92C2-25804820EDAC}">
                        <c15:formulaRef>
                          <c15:sqref>'Analysis of Uncertainty'!$Z$83:$Z$106</c15:sqref>
                        </c15:formulaRef>
                      </c:ext>
                    </c:extLst>
                  </c:multiLvlStrRef>
                </c15:cat>
              </c15:filteredCategoryTitle>
            </c:ext>
            <c:ext xmlns:c16="http://schemas.microsoft.com/office/drawing/2014/chart" uri="{C3380CC4-5D6E-409C-BE32-E72D297353CC}">
              <c16:uniqueId val="{00000001-147D-B544-A9F6-E57C8B4B3775}"/>
            </c:ext>
          </c:extLst>
        </c:ser>
        <c:dLbls>
          <c:showLegendKey val="0"/>
          <c:showVal val="0"/>
          <c:showCatName val="0"/>
          <c:showSerName val="0"/>
          <c:showPercent val="0"/>
          <c:showBubbleSize val="0"/>
        </c:dLbls>
        <c:gapWidth val="30"/>
        <c:overlap val="100"/>
        <c:axId val="297081088"/>
        <c:axId val="297082880"/>
      </c:barChart>
      <c:catAx>
        <c:axId val="297081088"/>
        <c:scaling>
          <c:orientation val="maxMin"/>
        </c:scaling>
        <c:delete val="0"/>
        <c:axPos val="l"/>
        <c:numFmt formatCode="General" sourceLinked="1"/>
        <c:majorTickMark val="none"/>
        <c:minorTickMark val="none"/>
        <c:tickLblPos val="low"/>
        <c:crossAx val="297082880"/>
        <c:crossesAt val="0"/>
        <c:auto val="1"/>
        <c:lblAlgn val="ctr"/>
        <c:lblOffset val="100"/>
        <c:noMultiLvlLbl val="0"/>
      </c:catAx>
      <c:valAx>
        <c:axId val="297082880"/>
        <c:scaling>
          <c:orientation val="minMax"/>
        </c:scaling>
        <c:delete val="0"/>
        <c:axPos val="t"/>
        <c:majorGridlines/>
        <c:numFmt formatCode="General" sourceLinked="0"/>
        <c:majorTickMark val="none"/>
        <c:minorTickMark val="none"/>
        <c:tickLblPos val="nextTo"/>
        <c:crossAx val="2970810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480146</xdr:colOff>
      <xdr:row>9</xdr:row>
      <xdr:rowOff>76783</xdr:rowOff>
    </xdr:from>
    <xdr:to>
      <xdr:col>14</xdr:col>
      <xdr:colOff>676441</xdr:colOff>
      <xdr:row>14</xdr:row>
      <xdr:rowOff>149783</xdr:rowOff>
    </xdr:to>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3274146" y="1886533"/>
          <a:ext cx="7181295" cy="10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National Centre for Pharmacoeconomics</a:t>
          </a:r>
        </a:p>
        <a:p>
          <a:pPr algn="ctr"/>
          <a:r>
            <a:rPr lang="en-IE" sz="2400">
              <a:solidFill>
                <a:schemeClr val="bg1"/>
              </a:solidFill>
              <a:latin typeface="Calibri" pitchFamily="34" charset="0"/>
              <a:cs typeface="Calibri" pitchFamily="34" charset="0"/>
            </a:rPr>
            <a:t>Budget</a:t>
          </a:r>
          <a:r>
            <a:rPr lang="en-IE" sz="2400" baseline="0">
              <a:solidFill>
                <a:schemeClr val="bg1"/>
              </a:solidFill>
              <a:latin typeface="Calibri" pitchFamily="34" charset="0"/>
              <a:cs typeface="Calibri" pitchFamily="34" charset="0"/>
            </a:rPr>
            <a:t> Impact Model Template v1.7</a:t>
          </a:r>
          <a:endParaRPr lang="en-IE" sz="2000">
            <a:solidFill>
              <a:schemeClr val="bg1"/>
            </a:solidFill>
            <a:latin typeface="Calibri" pitchFamily="34" charset="0"/>
            <a:cs typeface="Calibri" pitchFamily="34" charset="0"/>
          </a:endParaRPr>
        </a:p>
      </xdr:txBody>
    </xdr:sp>
    <xdr:clientData/>
  </xdr:twoCellAnchor>
  <xdr:twoCellAnchor>
    <xdr:from>
      <xdr:col>0</xdr:col>
      <xdr:colOff>144413</xdr:colOff>
      <xdr:row>54</xdr:row>
      <xdr:rowOff>178594</xdr:rowOff>
    </xdr:from>
    <xdr:to>
      <xdr:col>10</xdr:col>
      <xdr:colOff>563519</xdr:colOff>
      <xdr:row>60</xdr:row>
      <xdr:rowOff>124620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44413" y="12144375"/>
          <a:ext cx="6491294" cy="1089026"/>
          <a:chOff x="3351213" y="4956969"/>
          <a:chExt cx="6538343" cy="1089026"/>
        </a:xfrm>
      </xdr:grpSpPr>
      <xdr:sp macro="[0]!goto_Irish_Pop" textlink="">
        <xdr:nvSpPr>
          <xdr:cNvPr id="48" name="Rounded Rectangle 47">
            <a:extLst>
              <a:ext uri="{FF2B5EF4-FFF2-40B4-BE49-F238E27FC236}">
                <a16:creationId xmlns:a16="http://schemas.microsoft.com/office/drawing/2014/main" id="{00000000-0008-0000-0000-000030000000}"/>
              </a:ext>
            </a:extLst>
          </xdr:cNvPr>
          <xdr:cNvSpPr/>
        </xdr:nvSpPr>
        <xdr:spPr>
          <a:xfrm>
            <a:off x="4668786" y="4960144"/>
            <a:ext cx="1241651"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100" b="1">
                <a:solidFill>
                  <a:sysClr val="windowText" lastClr="000000"/>
                </a:solidFill>
              </a:rPr>
              <a:t>Irish Population Estimates</a:t>
            </a:r>
          </a:p>
        </xdr:txBody>
      </xdr:sp>
      <xdr:sp macro="[0]!goto_Title" textlink="">
        <xdr:nvSpPr>
          <xdr:cNvPr id="49" name="Rounded Rectangle 48">
            <a:extLst>
              <a:ext uri="{FF2B5EF4-FFF2-40B4-BE49-F238E27FC236}">
                <a16:creationId xmlns:a16="http://schemas.microsoft.com/office/drawing/2014/main" id="{00000000-0008-0000-0000-000031000000}"/>
              </a:ext>
            </a:extLst>
          </xdr:cNvPr>
          <xdr:cNvSpPr/>
        </xdr:nvSpPr>
        <xdr:spPr>
          <a:xfrm>
            <a:off x="3351213" y="4960145"/>
            <a:ext cx="1241652"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Title Page</a:t>
            </a:r>
          </a:p>
        </xdr:txBody>
      </xdr:sp>
      <xdr:sp macro="[0]!goto_Instructions" textlink="">
        <xdr:nvSpPr>
          <xdr:cNvPr id="50" name="Rounded Rectangle 49">
            <a:extLst>
              <a:ext uri="{FF2B5EF4-FFF2-40B4-BE49-F238E27FC236}">
                <a16:creationId xmlns:a16="http://schemas.microsoft.com/office/drawing/2014/main" id="{00000000-0008-0000-0000-000032000000}"/>
              </a:ext>
            </a:extLst>
          </xdr:cNvPr>
          <xdr:cNvSpPr/>
        </xdr:nvSpPr>
        <xdr:spPr>
          <a:xfrm>
            <a:off x="3360703" y="5541170"/>
            <a:ext cx="1241652"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Instructions</a:t>
            </a:r>
          </a:p>
        </xdr:txBody>
      </xdr:sp>
      <xdr:sp macro="[0]!goto_Patient_Pop" textlink="">
        <xdr:nvSpPr>
          <xdr:cNvPr id="51" name="Rounded Rectangle 50">
            <a:extLst>
              <a:ext uri="{FF2B5EF4-FFF2-40B4-BE49-F238E27FC236}">
                <a16:creationId xmlns:a16="http://schemas.microsoft.com/office/drawing/2014/main" id="{00000000-0008-0000-0000-000033000000}"/>
              </a:ext>
            </a:extLst>
          </xdr:cNvPr>
          <xdr:cNvSpPr/>
        </xdr:nvSpPr>
        <xdr:spPr>
          <a:xfrm>
            <a:off x="4678276" y="5541170"/>
            <a:ext cx="1241651"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Patient Population</a:t>
            </a:r>
          </a:p>
        </xdr:txBody>
      </xdr:sp>
      <xdr:sp macro="[0]!goto_Drug_Costs" textlink="">
        <xdr:nvSpPr>
          <xdr:cNvPr id="52" name="Rounded Rectangle 51">
            <a:extLst>
              <a:ext uri="{FF2B5EF4-FFF2-40B4-BE49-F238E27FC236}">
                <a16:creationId xmlns:a16="http://schemas.microsoft.com/office/drawing/2014/main" id="{00000000-0008-0000-0000-000034000000}"/>
              </a:ext>
            </a:extLst>
          </xdr:cNvPr>
          <xdr:cNvSpPr/>
        </xdr:nvSpPr>
        <xdr:spPr>
          <a:xfrm>
            <a:off x="5986358" y="4960145"/>
            <a:ext cx="1241652"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Drug Acquisition Costs</a:t>
            </a:r>
          </a:p>
        </xdr:txBody>
      </xdr:sp>
      <xdr:sp macro="[0]!goto_Additional_Cost" textlink="">
        <xdr:nvSpPr>
          <xdr:cNvPr id="53" name="Rounded Rectangle 52">
            <a:extLst>
              <a:ext uri="{FF2B5EF4-FFF2-40B4-BE49-F238E27FC236}">
                <a16:creationId xmlns:a16="http://schemas.microsoft.com/office/drawing/2014/main" id="{00000000-0008-0000-0000-000035000000}"/>
              </a:ext>
            </a:extLst>
          </xdr:cNvPr>
          <xdr:cNvSpPr/>
        </xdr:nvSpPr>
        <xdr:spPr>
          <a:xfrm>
            <a:off x="5995848" y="5541170"/>
            <a:ext cx="1241652"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Additional Costs and</a:t>
            </a:r>
            <a:r>
              <a:rPr lang="en-IE" sz="1100" b="1" baseline="0">
                <a:solidFill>
                  <a:sysClr val="windowText" lastClr="000000"/>
                </a:solidFill>
              </a:rPr>
              <a:t> Cost-Offsets</a:t>
            </a:r>
            <a:endParaRPr lang="en-IE" sz="1100" b="1">
              <a:solidFill>
                <a:sysClr val="windowText" lastClr="000000"/>
              </a:solidFill>
            </a:endParaRPr>
          </a:p>
        </xdr:txBody>
      </xdr:sp>
      <xdr:sp macro="[0]!goto_Results" textlink="">
        <xdr:nvSpPr>
          <xdr:cNvPr id="54" name="Rounded Rectangle 53">
            <a:extLst>
              <a:ext uri="{FF2B5EF4-FFF2-40B4-BE49-F238E27FC236}">
                <a16:creationId xmlns:a16="http://schemas.microsoft.com/office/drawing/2014/main" id="{00000000-0008-0000-0000-000036000000}"/>
              </a:ext>
            </a:extLst>
          </xdr:cNvPr>
          <xdr:cNvSpPr/>
        </xdr:nvSpPr>
        <xdr:spPr>
          <a:xfrm>
            <a:off x="7313422" y="4960145"/>
            <a:ext cx="1245619"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Results</a:t>
            </a:r>
          </a:p>
        </xdr:txBody>
      </xdr:sp>
      <xdr:sp macro="[0]!goto_References" textlink="">
        <xdr:nvSpPr>
          <xdr:cNvPr id="55" name="Rounded Rectangle 54">
            <a:extLst>
              <a:ext uri="{FF2B5EF4-FFF2-40B4-BE49-F238E27FC236}">
                <a16:creationId xmlns:a16="http://schemas.microsoft.com/office/drawing/2014/main" id="{00000000-0008-0000-0000-000037000000}"/>
              </a:ext>
            </a:extLst>
          </xdr:cNvPr>
          <xdr:cNvSpPr/>
        </xdr:nvSpPr>
        <xdr:spPr>
          <a:xfrm>
            <a:off x="7322912" y="5541170"/>
            <a:ext cx="1245619"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References</a:t>
            </a:r>
          </a:p>
        </xdr:txBody>
      </xdr:sp>
      <xdr:sp macro="[0]!goto_Uncertainty" textlink="">
        <xdr:nvSpPr>
          <xdr:cNvPr id="43" name="Rounded Rectangle 42">
            <a:extLst>
              <a:ext uri="{FF2B5EF4-FFF2-40B4-BE49-F238E27FC236}">
                <a16:creationId xmlns:a16="http://schemas.microsoft.com/office/drawing/2014/main" id="{00000000-0008-0000-0000-00002B000000}"/>
              </a:ext>
            </a:extLst>
          </xdr:cNvPr>
          <xdr:cNvSpPr/>
        </xdr:nvSpPr>
        <xdr:spPr>
          <a:xfrm>
            <a:off x="8647904" y="4956969"/>
            <a:ext cx="1241652"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Analysis of Uncertainty</a:t>
            </a:r>
          </a:p>
        </xdr:txBody>
      </xdr:sp>
    </xdr:grpSp>
    <xdr:clientData/>
  </xdr:twoCellAnchor>
  <xdr:twoCellAnchor>
    <xdr:from>
      <xdr:col>0</xdr:col>
      <xdr:colOff>0</xdr:colOff>
      <xdr:row>0</xdr:row>
      <xdr:rowOff>0</xdr:rowOff>
    </xdr:from>
    <xdr:to>
      <xdr:col>15</xdr:col>
      <xdr:colOff>124165</xdr:colOff>
      <xdr:row>16</xdr:row>
      <xdr:rowOff>15151</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0"/>
          <a:ext cx="9232446" cy="3146495"/>
          <a:chOff x="0" y="178596"/>
          <a:chExt cx="9255125" cy="3135912"/>
        </a:xfrm>
      </xdr:grpSpPr>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39615" y="1804512"/>
            <a:ext cx="6267953" cy="10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National Centre for Pharmacoeconomics</a:t>
            </a:r>
          </a:p>
          <a:p>
            <a:pPr algn="ctr"/>
            <a:r>
              <a:rPr lang="en-IE" sz="2400">
                <a:solidFill>
                  <a:schemeClr val="bg1"/>
                </a:solidFill>
                <a:latin typeface="Calibri" pitchFamily="34" charset="0"/>
                <a:cs typeface="Calibri" pitchFamily="34" charset="0"/>
              </a:rPr>
              <a:t>Budget</a:t>
            </a:r>
            <a:r>
              <a:rPr lang="en-IE" sz="2400" baseline="0">
                <a:solidFill>
                  <a:schemeClr val="bg1"/>
                </a:solidFill>
                <a:latin typeface="Calibri" pitchFamily="34" charset="0"/>
                <a:cs typeface="Calibri" pitchFamily="34" charset="0"/>
              </a:rPr>
              <a:t> Impact Model Template v1.8</a:t>
            </a:r>
            <a:endParaRPr lang="en-IE" sz="2000">
              <a:solidFill>
                <a:schemeClr val="bg1"/>
              </a:solidFill>
              <a:latin typeface="Calibri" pitchFamily="34" charset="0"/>
              <a:cs typeface="Calibri" pitchFamily="34" charset="0"/>
            </a:endParaRPr>
          </a:p>
        </xdr:txBody>
      </xdr:sp>
      <xdr:pic>
        <xdr:nvPicPr>
          <xdr:cNvPr id="37" name="Picture 36">
            <a:extLst>
              <a:ext uri="{FF2B5EF4-FFF2-40B4-BE49-F238E27FC236}">
                <a16:creationId xmlns:a16="http://schemas.microsoft.com/office/drawing/2014/main" id="{00000000-0008-0000-0000-000025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38" name="Rectangle 37">
            <a:extLst>
              <a:ext uri="{FF2B5EF4-FFF2-40B4-BE49-F238E27FC236}">
                <a16:creationId xmlns:a16="http://schemas.microsoft.com/office/drawing/2014/main" id="{00000000-0008-0000-0000-000026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clientData/>
  </xdr:twoCellAnchor>
  <xdr:twoCellAnchor>
    <xdr:from>
      <xdr:col>0</xdr:col>
      <xdr:colOff>0</xdr:colOff>
      <xdr:row>64</xdr:row>
      <xdr:rowOff>71437</xdr:rowOff>
    </xdr:from>
    <xdr:to>
      <xdr:col>15</xdr:col>
      <xdr:colOff>93859</xdr:colOff>
      <xdr:row>64</xdr:row>
      <xdr:rowOff>166684</xdr:rowOff>
    </xdr:to>
    <xdr:sp macro="" textlink="">
      <xdr:nvSpPr>
        <xdr:cNvPr id="40" name="Rectangle 39">
          <a:extLst>
            <a:ext uri="{FF2B5EF4-FFF2-40B4-BE49-F238E27FC236}">
              <a16:creationId xmlns:a16="http://schemas.microsoft.com/office/drawing/2014/main" id="{00000000-0008-0000-0000-000028000000}"/>
            </a:ext>
          </a:extLst>
        </xdr:cNvPr>
        <xdr:cNvSpPr/>
      </xdr:nvSpPr>
      <xdr:spPr>
        <a:xfrm>
          <a:off x="0" y="13811250"/>
          <a:ext cx="9202140" cy="952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twoCellAnchor>
    <xdr:from>
      <xdr:col>0</xdr:col>
      <xdr:colOff>1</xdr:colOff>
      <xdr:row>64</xdr:row>
      <xdr:rowOff>153462</xdr:rowOff>
    </xdr:from>
    <xdr:to>
      <xdr:col>15</xdr:col>
      <xdr:colOff>93860</xdr:colOff>
      <xdr:row>66</xdr:row>
      <xdr:rowOff>173421</xdr:rowOff>
    </xdr:to>
    <xdr:sp macro="" textlink="">
      <xdr:nvSpPr>
        <xdr:cNvPr id="41" name="Rectangle 40">
          <a:extLst>
            <a:ext uri="{FF2B5EF4-FFF2-40B4-BE49-F238E27FC236}">
              <a16:creationId xmlns:a16="http://schemas.microsoft.com/office/drawing/2014/main" id="{00000000-0008-0000-0000-000029000000}"/>
            </a:ext>
          </a:extLst>
        </xdr:cNvPr>
        <xdr:cNvSpPr/>
      </xdr:nvSpPr>
      <xdr:spPr>
        <a:xfrm>
          <a:off x="1" y="13893275"/>
          <a:ext cx="9202140" cy="400959"/>
        </a:xfrm>
        <a:prstGeom prst="rect">
          <a:avLst/>
        </a:prstGeom>
        <a:solidFill>
          <a:srgbClr val="2A315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32</xdr:row>
      <xdr:rowOff>57150</xdr:rowOff>
    </xdr:from>
    <xdr:to>
      <xdr:col>3</xdr:col>
      <xdr:colOff>38100</xdr:colOff>
      <xdr:row>34</xdr:row>
      <xdr:rowOff>180975</xdr:rowOff>
    </xdr:to>
    <xdr:sp macro="[0]!goto_Irish_Pop" textlink="">
      <xdr:nvSpPr>
        <xdr:cNvPr id="65" name="Rounded Rectangle 64">
          <a:extLst>
            <a:ext uri="{FF2B5EF4-FFF2-40B4-BE49-F238E27FC236}">
              <a16:creationId xmlns:a16="http://schemas.microsoft.com/office/drawing/2014/main" id="{00000000-0008-0000-0200-000041000000}"/>
            </a:ext>
          </a:extLst>
        </xdr:cNvPr>
        <xdr:cNvSpPr/>
      </xdr:nvSpPr>
      <xdr:spPr>
        <a:xfrm>
          <a:off x="628650" y="6343650"/>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100" b="1">
              <a:solidFill>
                <a:sysClr val="windowText" lastClr="000000"/>
              </a:solidFill>
            </a:rPr>
            <a:t>Irish Population Estimates</a:t>
          </a:r>
        </a:p>
      </xdr:txBody>
    </xdr:sp>
    <xdr:clientData/>
  </xdr:twoCellAnchor>
  <xdr:twoCellAnchor>
    <xdr:from>
      <xdr:col>1</xdr:col>
      <xdr:colOff>28575</xdr:colOff>
      <xdr:row>21</xdr:row>
      <xdr:rowOff>57151</xdr:rowOff>
    </xdr:from>
    <xdr:to>
      <xdr:col>3</xdr:col>
      <xdr:colOff>47625</xdr:colOff>
      <xdr:row>23</xdr:row>
      <xdr:rowOff>180976</xdr:rowOff>
    </xdr:to>
    <xdr:sp macro="[0]!goto_Instructions" textlink="">
      <xdr:nvSpPr>
        <xdr:cNvPr id="67" name="Rounded Rectangle 66">
          <a:extLst>
            <a:ext uri="{FF2B5EF4-FFF2-40B4-BE49-F238E27FC236}">
              <a16:creationId xmlns:a16="http://schemas.microsoft.com/office/drawing/2014/main" id="{00000000-0008-0000-0200-000043000000}"/>
            </a:ext>
          </a:extLst>
        </xdr:cNvPr>
        <xdr:cNvSpPr/>
      </xdr:nvSpPr>
      <xdr:spPr>
        <a:xfrm>
          <a:off x="638175" y="3105151"/>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Instructions</a:t>
          </a:r>
        </a:p>
      </xdr:txBody>
    </xdr:sp>
    <xdr:clientData/>
  </xdr:twoCellAnchor>
  <xdr:twoCellAnchor>
    <xdr:from>
      <xdr:col>1</xdr:col>
      <xdr:colOff>19050</xdr:colOff>
      <xdr:row>40</xdr:row>
      <xdr:rowOff>47626</xdr:rowOff>
    </xdr:from>
    <xdr:to>
      <xdr:col>3</xdr:col>
      <xdr:colOff>38100</xdr:colOff>
      <xdr:row>42</xdr:row>
      <xdr:rowOff>171451</xdr:rowOff>
    </xdr:to>
    <xdr:sp macro="[0]!goto_Patient_Pop" textlink="">
      <xdr:nvSpPr>
        <xdr:cNvPr id="68" name="Rounded Rectangle 67">
          <a:extLst>
            <a:ext uri="{FF2B5EF4-FFF2-40B4-BE49-F238E27FC236}">
              <a16:creationId xmlns:a16="http://schemas.microsoft.com/office/drawing/2014/main" id="{00000000-0008-0000-0200-000044000000}"/>
            </a:ext>
          </a:extLst>
        </xdr:cNvPr>
        <xdr:cNvSpPr/>
      </xdr:nvSpPr>
      <xdr:spPr>
        <a:xfrm>
          <a:off x="628650" y="7858126"/>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Patient Population</a:t>
          </a:r>
        </a:p>
      </xdr:txBody>
    </xdr:sp>
    <xdr:clientData/>
  </xdr:twoCellAnchor>
  <xdr:twoCellAnchor>
    <xdr:from>
      <xdr:col>1</xdr:col>
      <xdr:colOff>19050</xdr:colOff>
      <xdr:row>48</xdr:row>
      <xdr:rowOff>57151</xdr:rowOff>
    </xdr:from>
    <xdr:to>
      <xdr:col>3</xdr:col>
      <xdr:colOff>38100</xdr:colOff>
      <xdr:row>50</xdr:row>
      <xdr:rowOff>180976</xdr:rowOff>
    </xdr:to>
    <xdr:sp macro="[0]!goto_Drug_Costs" textlink="">
      <xdr:nvSpPr>
        <xdr:cNvPr id="69" name="Rounded Rectangle 68">
          <a:extLst>
            <a:ext uri="{FF2B5EF4-FFF2-40B4-BE49-F238E27FC236}">
              <a16:creationId xmlns:a16="http://schemas.microsoft.com/office/drawing/2014/main" id="{00000000-0008-0000-0200-000045000000}"/>
            </a:ext>
          </a:extLst>
        </xdr:cNvPr>
        <xdr:cNvSpPr/>
      </xdr:nvSpPr>
      <xdr:spPr>
        <a:xfrm>
          <a:off x="628650" y="8058151"/>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Drug Acquisition Costs</a:t>
          </a:r>
        </a:p>
      </xdr:txBody>
    </xdr:sp>
    <xdr:clientData/>
  </xdr:twoCellAnchor>
  <xdr:twoCellAnchor>
    <xdr:from>
      <xdr:col>1</xdr:col>
      <xdr:colOff>19050</xdr:colOff>
      <xdr:row>65</xdr:row>
      <xdr:rowOff>66676</xdr:rowOff>
    </xdr:from>
    <xdr:to>
      <xdr:col>3</xdr:col>
      <xdr:colOff>38100</xdr:colOff>
      <xdr:row>68</xdr:row>
      <xdr:rowOff>1</xdr:rowOff>
    </xdr:to>
    <xdr:sp macro="[0]!goto_Additional_Cost" textlink="">
      <xdr:nvSpPr>
        <xdr:cNvPr id="70" name="Rounded Rectangle 69">
          <a:extLst>
            <a:ext uri="{FF2B5EF4-FFF2-40B4-BE49-F238E27FC236}">
              <a16:creationId xmlns:a16="http://schemas.microsoft.com/office/drawing/2014/main" id="{00000000-0008-0000-0200-000046000000}"/>
            </a:ext>
          </a:extLst>
        </xdr:cNvPr>
        <xdr:cNvSpPr/>
      </xdr:nvSpPr>
      <xdr:spPr>
        <a:xfrm>
          <a:off x="628650" y="9591676"/>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Additional Costs and Cost Offsets</a:t>
          </a:r>
        </a:p>
      </xdr:txBody>
    </xdr:sp>
    <xdr:clientData/>
  </xdr:twoCellAnchor>
  <xdr:twoCellAnchor>
    <xdr:from>
      <xdr:col>1</xdr:col>
      <xdr:colOff>21431</xdr:colOff>
      <xdr:row>74</xdr:row>
      <xdr:rowOff>11908</xdr:rowOff>
    </xdr:from>
    <xdr:to>
      <xdr:col>3</xdr:col>
      <xdr:colOff>40481</xdr:colOff>
      <xdr:row>76</xdr:row>
      <xdr:rowOff>135733</xdr:rowOff>
    </xdr:to>
    <xdr:sp macro="[0]!goto_Results" textlink="">
      <xdr:nvSpPr>
        <xdr:cNvPr id="71" name="Rounded Rectangle 70">
          <a:extLst>
            <a:ext uri="{FF2B5EF4-FFF2-40B4-BE49-F238E27FC236}">
              <a16:creationId xmlns:a16="http://schemas.microsoft.com/office/drawing/2014/main" id="{00000000-0008-0000-0200-000047000000}"/>
            </a:ext>
          </a:extLst>
        </xdr:cNvPr>
        <xdr:cNvSpPr/>
      </xdr:nvSpPr>
      <xdr:spPr>
        <a:xfrm>
          <a:off x="628650" y="14061283"/>
          <a:ext cx="1233487"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Results</a:t>
          </a:r>
        </a:p>
      </xdr:txBody>
    </xdr:sp>
    <xdr:clientData/>
  </xdr:twoCellAnchor>
  <xdr:twoCellAnchor>
    <xdr:from>
      <xdr:col>1</xdr:col>
      <xdr:colOff>9525</xdr:colOff>
      <xdr:row>89</xdr:row>
      <xdr:rowOff>57151</xdr:rowOff>
    </xdr:from>
    <xdr:to>
      <xdr:col>3</xdr:col>
      <xdr:colOff>28575</xdr:colOff>
      <xdr:row>91</xdr:row>
      <xdr:rowOff>180976</xdr:rowOff>
    </xdr:to>
    <xdr:sp macro="[0]!goto_References" textlink="">
      <xdr:nvSpPr>
        <xdr:cNvPr id="72" name="Rounded Rectangle 71">
          <a:extLst>
            <a:ext uri="{FF2B5EF4-FFF2-40B4-BE49-F238E27FC236}">
              <a16:creationId xmlns:a16="http://schemas.microsoft.com/office/drawing/2014/main" id="{00000000-0008-0000-0200-000048000000}"/>
            </a:ext>
          </a:extLst>
        </xdr:cNvPr>
        <xdr:cNvSpPr/>
      </xdr:nvSpPr>
      <xdr:spPr>
        <a:xfrm>
          <a:off x="619125" y="12630151"/>
          <a:ext cx="1238250"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References</a:t>
          </a:r>
        </a:p>
      </xdr:txBody>
    </xdr:sp>
    <xdr:clientData/>
  </xdr:twoCellAnchor>
  <xdr:twoCellAnchor>
    <xdr:from>
      <xdr:col>0</xdr:col>
      <xdr:colOff>599665</xdr:colOff>
      <xdr:row>95</xdr:row>
      <xdr:rowOff>59499</xdr:rowOff>
    </xdr:from>
    <xdr:to>
      <xdr:col>3</xdr:col>
      <xdr:colOff>18263</xdr:colOff>
      <xdr:row>97</xdr:row>
      <xdr:rowOff>183324</xdr:rowOff>
    </xdr:to>
    <xdr:sp macro="[0]!goto_Uncertainty" textlink="">
      <xdr:nvSpPr>
        <xdr:cNvPr id="82" name="Rounded Rectangle 81">
          <a:extLst>
            <a:ext uri="{FF2B5EF4-FFF2-40B4-BE49-F238E27FC236}">
              <a16:creationId xmlns:a16="http://schemas.microsoft.com/office/drawing/2014/main" id="{00000000-0008-0000-0200-000052000000}"/>
            </a:ext>
          </a:extLst>
        </xdr:cNvPr>
        <xdr:cNvSpPr/>
      </xdr:nvSpPr>
      <xdr:spPr>
        <a:xfrm>
          <a:off x="599665" y="15299499"/>
          <a:ext cx="1240254"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Analysis of Uncertainty</a:t>
          </a:r>
        </a:p>
      </xdr:txBody>
    </xdr:sp>
    <xdr:clientData/>
  </xdr:twoCellAnchor>
  <xdr:twoCellAnchor>
    <xdr:from>
      <xdr:col>1</xdr:col>
      <xdr:colOff>11906</xdr:colOff>
      <xdr:row>57</xdr:row>
      <xdr:rowOff>23808</xdr:rowOff>
    </xdr:from>
    <xdr:to>
      <xdr:col>3</xdr:col>
      <xdr:colOff>47625</xdr:colOff>
      <xdr:row>59</xdr:row>
      <xdr:rowOff>154768</xdr:rowOff>
    </xdr:to>
    <xdr:sp macro="[0]!goto_Drug_Costs_PAS" textlink="">
      <xdr:nvSpPr>
        <xdr:cNvPr id="2" name="Rounded Rectangle 1">
          <a:extLst>
            <a:ext uri="{FF2B5EF4-FFF2-40B4-BE49-F238E27FC236}">
              <a16:creationId xmlns:a16="http://schemas.microsoft.com/office/drawing/2014/main" id="{00000000-0008-0000-0200-000002000000}"/>
            </a:ext>
          </a:extLst>
        </xdr:cNvPr>
        <xdr:cNvSpPr/>
      </xdr:nvSpPr>
      <xdr:spPr>
        <a:xfrm>
          <a:off x="619125" y="11287121"/>
          <a:ext cx="1250156" cy="511960"/>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100" b="1">
              <a:solidFill>
                <a:sysClr val="windowText" lastClr="000000"/>
              </a:solidFill>
            </a:rPr>
            <a:t>Drug Acqusition Costs (PAS)</a:t>
          </a:r>
        </a:p>
      </xdr:txBody>
    </xdr:sp>
    <xdr:clientData/>
  </xdr:twoCellAnchor>
  <xdr:twoCellAnchor>
    <xdr:from>
      <xdr:col>1</xdr:col>
      <xdr:colOff>1</xdr:colOff>
      <xdr:row>83</xdr:row>
      <xdr:rowOff>35707</xdr:rowOff>
    </xdr:from>
    <xdr:to>
      <xdr:col>3</xdr:col>
      <xdr:colOff>47627</xdr:colOff>
      <xdr:row>85</xdr:row>
      <xdr:rowOff>130952</xdr:rowOff>
    </xdr:to>
    <xdr:sp macro="[0]!goto_Results_PAS" textlink="">
      <xdr:nvSpPr>
        <xdr:cNvPr id="3" name="Rounded Rectangle 2">
          <a:extLst>
            <a:ext uri="{FF2B5EF4-FFF2-40B4-BE49-F238E27FC236}">
              <a16:creationId xmlns:a16="http://schemas.microsoft.com/office/drawing/2014/main" id="{00000000-0008-0000-0200-000003000000}"/>
            </a:ext>
          </a:extLst>
        </xdr:cNvPr>
        <xdr:cNvSpPr/>
      </xdr:nvSpPr>
      <xdr:spPr>
        <a:xfrm>
          <a:off x="607220" y="16394895"/>
          <a:ext cx="1262063" cy="47624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lnSpc>
              <a:spcPct val="150000"/>
            </a:lnSpc>
            <a:spcBef>
              <a:spcPts val="0"/>
            </a:spcBef>
          </a:pPr>
          <a:r>
            <a:rPr lang="en-IE" sz="1100" b="1">
              <a:solidFill>
                <a:sysClr val="windowText" lastClr="000000"/>
              </a:solidFill>
            </a:rPr>
            <a:t>Results (PAS)</a:t>
          </a:r>
        </a:p>
      </xdr:txBody>
    </xdr:sp>
    <xdr:clientData/>
  </xdr:twoCellAnchor>
  <xdr:twoCellAnchor>
    <xdr:from>
      <xdr:col>12</xdr:col>
      <xdr:colOff>226229</xdr:colOff>
      <xdr:row>0</xdr:row>
      <xdr:rowOff>107166</xdr:rowOff>
    </xdr:from>
    <xdr:to>
      <xdr:col>24</xdr:col>
      <xdr:colOff>17817</xdr:colOff>
      <xdr:row>6</xdr:row>
      <xdr:rowOff>78477</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7541429" y="107166"/>
          <a:ext cx="7106788" cy="1114311"/>
          <a:chOff x="8501063" y="2476500"/>
          <a:chExt cx="7078213" cy="1114311"/>
        </a:xfrm>
      </xdr:grpSpPr>
      <xdr:sp macro="[0]!goto_References" textlink="">
        <xdr:nvSpPr>
          <xdr:cNvPr id="75" name="Rounded Rectangle 74">
            <a:extLst>
              <a:ext uri="{FF2B5EF4-FFF2-40B4-BE49-F238E27FC236}">
                <a16:creationId xmlns:a16="http://schemas.microsoft.com/office/drawing/2014/main" id="{00000000-0008-0000-0200-00004B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59" name="Rounded Rectangle 58">
            <a:extLst>
              <a:ext uri="{FF2B5EF4-FFF2-40B4-BE49-F238E27FC236}">
                <a16:creationId xmlns:a16="http://schemas.microsoft.com/office/drawing/2014/main" id="{00000000-0008-0000-0200-00003B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60" name="Rounded Rectangle 59">
            <a:extLst>
              <a:ext uri="{FF2B5EF4-FFF2-40B4-BE49-F238E27FC236}">
                <a16:creationId xmlns:a16="http://schemas.microsoft.com/office/drawing/2014/main" id="{00000000-0008-0000-0200-00003C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61" name="Rounded Rectangle 60">
            <a:extLst>
              <a:ext uri="{FF2B5EF4-FFF2-40B4-BE49-F238E27FC236}">
                <a16:creationId xmlns:a16="http://schemas.microsoft.com/office/drawing/2014/main" id="{00000000-0008-0000-0200-00003D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62" name="Rounded Rectangle 61">
            <a:extLst>
              <a:ext uri="{FF2B5EF4-FFF2-40B4-BE49-F238E27FC236}">
                <a16:creationId xmlns:a16="http://schemas.microsoft.com/office/drawing/2014/main" id="{00000000-0008-0000-0200-00003E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63" name="Rounded Rectangle 62">
            <a:extLst>
              <a:ext uri="{FF2B5EF4-FFF2-40B4-BE49-F238E27FC236}">
                <a16:creationId xmlns:a16="http://schemas.microsoft.com/office/drawing/2014/main" id="{00000000-0008-0000-0200-00003F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64" name="Rounded Rectangle 63">
            <a:extLst>
              <a:ext uri="{FF2B5EF4-FFF2-40B4-BE49-F238E27FC236}">
                <a16:creationId xmlns:a16="http://schemas.microsoft.com/office/drawing/2014/main" id="{00000000-0008-0000-0200-000040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66" name="Rounded Rectangle 65">
            <a:extLst>
              <a:ext uri="{FF2B5EF4-FFF2-40B4-BE49-F238E27FC236}">
                <a16:creationId xmlns:a16="http://schemas.microsoft.com/office/drawing/2014/main" id="{00000000-0008-0000-0200-000042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73" name="Rounded Rectangle 72">
            <a:extLst>
              <a:ext uri="{FF2B5EF4-FFF2-40B4-BE49-F238E27FC236}">
                <a16:creationId xmlns:a16="http://schemas.microsoft.com/office/drawing/2014/main" id="{00000000-0008-0000-0200-000049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74" name="Rounded Rectangle 73">
            <a:extLst>
              <a:ext uri="{FF2B5EF4-FFF2-40B4-BE49-F238E27FC236}">
                <a16:creationId xmlns:a16="http://schemas.microsoft.com/office/drawing/2014/main" id="{00000000-0008-0000-0200-00004A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76" name="Rounded Rectangle 75">
            <a:extLst>
              <a:ext uri="{FF2B5EF4-FFF2-40B4-BE49-F238E27FC236}">
                <a16:creationId xmlns:a16="http://schemas.microsoft.com/office/drawing/2014/main" id="{00000000-0008-0000-0200-00004C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12700</xdr:rowOff>
    </xdr:from>
    <xdr:to>
      <xdr:col>12</xdr:col>
      <xdr:colOff>119450</xdr:colOff>
      <xdr:row>13</xdr:row>
      <xdr:rowOff>81240</xdr:rowOff>
    </xdr:to>
    <xdr:grpSp>
      <xdr:nvGrpSpPr>
        <xdr:cNvPr id="39" name="Group 38">
          <a:extLst>
            <a:ext uri="{FF2B5EF4-FFF2-40B4-BE49-F238E27FC236}">
              <a16:creationId xmlns:a16="http://schemas.microsoft.com/office/drawing/2014/main" id="{00000000-0008-0000-0200-000027000000}"/>
            </a:ext>
          </a:extLst>
        </xdr:cNvPr>
        <xdr:cNvGrpSpPr/>
      </xdr:nvGrpSpPr>
      <xdr:grpSpPr>
        <a:xfrm>
          <a:off x="0" y="12700"/>
          <a:ext cx="7434650" cy="2545040"/>
          <a:chOff x="8534400" y="3048000"/>
          <a:chExt cx="9255125" cy="3135912"/>
        </a:xfrm>
      </xdr:grpSpPr>
      <xdr:grpSp>
        <xdr:nvGrpSpPr>
          <xdr:cNvPr id="40" name="Group 39">
            <a:extLst>
              <a:ext uri="{FF2B5EF4-FFF2-40B4-BE49-F238E27FC236}">
                <a16:creationId xmlns:a16="http://schemas.microsoft.com/office/drawing/2014/main" id="{00000000-0008-0000-0200-000028000000}"/>
              </a:ext>
            </a:extLst>
          </xdr:cNvPr>
          <xdr:cNvGrpSpPr/>
        </xdr:nvGrpSpPr>
        <xdr:grpSpPr>
          <a:xfrm>
            <a:off x="8534400" y="3048000"/>
            <a:ext cx="9255125" cy="3135912"/>
            <a:chOff x="0" y="178596"/>
            <a:chExt cx="9255125" cy="3135912"/>
          </a:xfrm>
        </xdr:grpSpPr>
        <xdr:pic>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3" name="Picture 42">
              <a:extLst>
                <a:ext uri="{FF2B5EF4-FFF2-40B4-BE49-F238E27FC236}">
                  <a16:creationId xmlns:a16="http://schemas.microsoft.com/office/drawing/2014/main" id="{00000000-0008-0000-0200-00002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4" name="Rectangle 43">
              <a:extLst>
                <a:ext uri="{FF2B5EF4-FFF2-40B4-BE49-F238E27FC236}">
                  <a16:creationId xmlns:a16="http://schemas.microsoft.com/office/drawing/2014/main" id="{00000000-0008-0000-0200-00002C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400">
                <a:solidFill>
                  <a:schemeClr val="bg1"/>
                </a:solidFill>
                <a:latin typeface="Calibri" pitchFamily="34" charset="0"/>
                <a:cs typeface="Calibri" pitchFamily="34" charset="0"/>
              </a:rPr>
              <a:t>Budget Impact Model Template</a:t>
            </a:r>
          </a:p>
          <a:p>
            <a:pPr algn="ctr"/>
            <a:r>
              <a:rPr lang="en-IE" sz="2000">
                <a:solidFill>
                  <a:schemeClr val="bg1"/>
                </a:solidFill>
                <a:latin typeface="Calibri" pitchFamily="34" charset="0"/>
                <a:cs typeface="Calibri" pitchFamily="34" charset="0"/>
              </a:rPr>
              <a:t>User</a:t>
            </a:r>
            <a:r>
              <a:rPr lang="en-IE" sz="2000" baseline="0">
                <a:solidFill>
                  <a:schemeClr val="bg1"/>
                </a:solidFill>
                <a:latin typeface="Calibri" pitchFamily="34" charset="0"/>
                <a:cs typeface="Calibri" pitchFamily="34" charset="0"/>
              </a:rPr>
              <a:t> Instructions</a:t>
            </a:r>
            <a:endParaRPr lang="en-IE" sz="1800">
              <a:solidFill>
                <a:schemeClr val="bg1"/>
              </a:solidFill>
              <a:latin typeface="Calibri" pitchFamily="34" charset="0"/>
              <a:cs typeface="Calibri"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16</xdr:row>
          <xdr:rowOff>28575</xdr:rowOff>
        </xdr:from>
        <xdr:to>
          <xdr:col>0</xdr:col>
          <xdr:colOff>561975</xdr:colOff>
          <xdr:row>17</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1</a:t>
              </a:r>
            </a:p>
          </xdr:txBody>
        </xdr:sp>
        <xdr:clientData fPrintsWithSheet="0"/>
      </xdr:twoCellAnchor>
    </mc:Choice>
    <mc:Fallback/>
  </mc:AlternateContent>
  <xdr:twoCellAnchor>
    <xdr:from>
      <xdr:col>13</xdr:col>
      <xdr:colOff>71445</xdr:colOff>
      <xdr:row>0</xdr:row>
      <xdr:rowOff>107161</xdr:rowOff>
    </xdr:from>
    <xdr:to>
      <xdr:col>25</xdr:col>
      <xdr:colOff>220221</xdr:colOff>
      <xdr:row>6</xdr:row>
      <xdr:rowOff>78472</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7602545" y="107161"/>
          <a:ext cx="7108376" cy="1114311"/>
          <a:chOff x="8501063" y="2476500"/>
          <a:chExt cx="7078213" cy="1114311"/>
        </a:xfrm>
      </xdr:grpSpPr>
      <xdr:sp macro="[0]!goto_References" textlink="">
        <xdr:nvSpPr>
          <xdr:cNvPr id="29" name="Rounded Rectangle 28">
            <a:extLst>
              <a:ext uri="{FF2B5EF4-FFF2-40B4-BE49-F238E27FC236}">
                <a16:creationId xmlns:a16="http://schemas.microsoft.com/office/drawing/2014/main" id="{00000000-0008-0000-0300-00001D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30" name="Rounded Rectangle 29">
            <a:extLst>
              <a:ext uri="{FF2B5EF4-FFF2-40B4-BE49-F238E27FC236}">
                <a16:creationId xmlns:a16="http://schemas.microsoft.com/office/drawing/2014/main" id="{00000000-0008-0000-0300-00001E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1" name="Rounded Rectangle 30">
            <a:extLst>
              <a:ext uri="{FF2B5EF4-FFF2-40B4-BE49-F238E27FC236}">
                <a16:creationId xmlns:a16="http://schemas.microsoft.com/office/drawing/2014/main" id="{00000000-0008-0000-0300-00001F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2" name="Rounded Rectangle 31">
            <a:extLst>
              <a:ext uri="{FF2B5EF4-FFF2-40B4-BE49-F238E27FC236}">
                <a16:creationId xmlns:a16="http://schemas.microsoft.com/office/drawing/2014/main" id="{00000000-0008-0000-0300-000020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3" name="Rounded Rectangle 32">
            <a:extLst>
              <a:ext uri="{FF2B5EF4-FFF2-40B4-BE49-F238E27FC236}">
                <a16:creationId xmlns:a16="http://schemas.microsoft.com/office/drawing/2014/main" id="{00000000-0008-0000-0300-000021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4" name="Rounded Rectangle 33">
            <a:extLst>
              <a:ext uri="{FF2B5EF4-FFF2-40B4-BE49-F238E27FC236}">
                <a16:creationId xmlns:a16="http://schemas.microsoft.com/office/drawing/2014/main" id="{00000000-0008-0000-0300-000022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5" name="Rounded Rectangle 34">
            <a:extLst>
              <a:ext uri="{FF2B5EF4-FFF2-40B4-BE49-F238E27FC236}">
                <a16:creationId xmlns:a16="http://schemas.microsoft.com/office/drawing/2014/main" id="{00000000-0008-0000-0300-000023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6" name="Rounded Rectangle 35">
            <a:extLst>
              <a:ext uri="{FF2B5EF4-FFF2-40B4-BE49-F238E27FC236}">
                <a16:creationId xmlns:a16="http://schemas.microsoft.com/office/drawing/2014/main" id="{00000000-0008-0000-0300-000024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37" name="Rounded Rectangle 36">
            <a:extLst>
              <a:ext uri="{FF2B5EF4-FFF2-40B4-BE49-F238E27FC236}">
                <a16:creationId xmlns:a16="http://schemas.microsoft.com/office/drawing/2014/main" id="{00000000-0008-0000-0300-000025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38" name="Rounded Rectangle 37">
            <a:extLst>
              <a:ext uri="{FF2B5EF4-FFF2-40B4-BE49-F238E27FC236}">
                <a16:creationId xmlns:a16="http://schemas.microsoft.com/office/drawing/2014/main" id="{00000000-0008-0000-0300-000026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39" name="Rounded Rectangle 38">
            <a:extLst>
              <a:ext uri="{FF2B5EF4-FFF2-40B4-BE49-F238E27FC236}">
                <a16:creationId xmlns:a16="http://schemas.microsoft.com/office/drawing/2014/main" id="{00000000-0008-0000-0300-000027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12</xdr:col>
      <xdr:colOff>487750</xdr:colOff>
      <xdr:row>13</xdr:row>
      <xdr:rowOff>68540</xdr:rowOff>
    </xdr:to>
    <xdr:grpSp>
      <xdr:nvGrpSpPr>
        <xdr:cNvPr id="40" name="Group 39">
          <a:extLst>
            <a:ext uri="{FF2B5EF4-FFF2-40B4-BE49-F238E27FC236}">
              <a16:creationId xmlns:a16="http://schemas.microsoft.com/office/drawing/2014/main" id="{00000000-0008-0000-0300-000028000000}"/>
            </a:ext>
          </a:extLst>
        </xdr:cNvPr>
        <xdr:cNvGrpSpPr/>
      </xdr:nvGrpSpPr>
      <xdr:grpSpPr>
        <a:xfrm>
          <a:off x="0" y="0"/>
          <a:ext cx="7409250" cy="2545040"/>
          <a:chOff x="8534400" y="3048000"/>
          <a:chExt cx="9255125" cy="3135912"/>
        </a:xfrm>
      </xdr:grpSpPr>
      <xdr:grpSp>
        <xdr:nvGrpSpPr>
          <xdr:cNvPr id="41" name="Group 40">
            <a:extLst>
              <a:ext uri="{FF2B5EF4-FFF2-40B4-BE49-F238E27FC236}">
                <a16:creationId xmlns:a16="http://schemas.microsoft.com/office/drawing/2014/main" id="{00000000-0008-0000-0300-000029000000}"/>
              </a:ext>
            </a:extLst>
          </xdr:cNvPr>
          <xdr:cNvGrpSpPr/>
        </xdr:nvGrpSpPr>
        <xdr:grpSpPr>
          <a:xfrm>
            <a:off x="8534400" y="3048000"/>
            <a:ext cx="9255125" cy="3135912"/>
            <a:chOff x="0" y="178596"/>
            <a:chExt cx="9255125" cy="3135912"/>
          </a:xfrm>
        </xdr:grpSpPr>
        <xdr:pic>
          <xdr:nvPicPr>
            <xdr:cNvPr id="43" name="Picture 42">
              <a:extLst>
                <a:ext uri="{FF2B5EF4-FFF2-40B4-BE49-F238E27FC236}">
                  <a16:creationId xmlns:a16="http://schemas.microsoft.com/office/drawing/2014/main" id="{00000000-0008-0000-0300-00002B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4" name="Picture 43">
              <a:extLst>
                <a:ext uri="{FF2B5EF4-FFF2-40B4-BE49-F238E27FC236}">
                  <a16:creationId xmlns:a16="http://schemas.microsoft.com/office/drawing/2014/main" id="{00000000-0008-0000-0300-00002C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5" name="Rectangle 44">
              <a:extLst>
                <a:ext uri="{FF2B5EF4-FFF2-40B4-BE49-F238E27FC236}">
                  <a16:creationId xmlns:a16="http://schemas.microsoft.com/office/drawing/2014/main" id="{00000000-0008-0000-0300-00002D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400">
                <a:solidFill>
                  <a:schemeClr val="bg1"/>
                </a:solidFill>
                <a:latin typeface="Calibri" pitchFamily="34" charset="0"/>
                <a:cs typeface="Calibri" pitchFamily="34" charset="0"/>
              </a:rPr>
              <a:t>Population Estimates</a:t>
            </a:r>
            <a:endParaRPr lang="en-IE" sz="1800">
              <a:solidFill>
                <a:schemeClr val="bg1"/>
              </a:solidFill>
              <a:latin typeface="Calibri" pitchFamily="34" charset="0"/>
              <a:cs typeface="Calibri"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27</xdr:row>
          <xdr:rowOff>85725</xdr:rowOff>
        </xdr:from>
        <xdr:to>
          <xdr:col>0</xdr:col>
          <xdr:colOff>523875</xdr:colOff>
          <xdr:row>27</xdr:row>
          <xdr:rowOff>447675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1</a:t>
              </a:r>
            </a:p>
          </xdr:txBody>
        </xdr:sp>
        <xdr:clientData fPrintsWithSheet="0"/>
      </xdr:twoCellAnchor>
    </mc:Choice>
    <mc:Fallback/>
  </mc:AlternateContent>
  <xdr:twoCellAnchor>
    <xdr:from>
      <xdr:col>11</xdr:col>
      <xdr:colOff>190512</xdr:colOff>
      <xdr:row>0</xdr:row>
      <xdr:rowOff>107166</xdr:rowOff>
    </xdr:from>
    <xdr:to>
      <xdr:col>22</xdr:col>
      <xdr:colOff>327381</xdr:colOff>
      <xdr:row>6</xdr:row>
      <xdr:rowOff>78477</xdr:rowOff>
    </xdr:to>
    <xdr:grpSp>
      <xdr:nvGrpSpPr>
        <xdr:cNvPr id="28" name="Group 27">
          <a:extLst>
            <a:ext uri="{FF2B5EF4-FFF2-40B4-BE49-F238E27FC236}">
              <a16:creationId xmlns:a16="http://schemas.microsoft.com/office/drawing/2014/main" id="{00000000-0008-0000-0400-00001C000000}"/>
            </a:ext>
          </a:extLst>
        </xdr:cNvPr>
        <xdr:cNvGrpSpPr/>
      </xdr:nvGrpSpPr>
      <xdr:grpSpPr>
        <a:xfrm>
          <a:off x="7975612" y="107166"/>
          <a:ext cx="7096469" cy="1114311"/>
          <a:chOff x="8501063" y="2476500"/>
          <a:chExt cx="7078213" cy="1114311"/>
        </a:xfrm>
      </xdr:grpSpPr>
      <xdr:sp macro="[0]!goto_References" textlink="">
        <xdr:nvSpPr>
          <xdr:cNvPr id="29" name="Rounded Rectangle 28">
            <a:extLst>
              <a:ext uri="{FF2B5EF4-FFF2-40B4-BE49-F238E27FC236}">
                <a16:creationId xmlns:a16="http://schemas.microsoft.com/office/drawing/2014/main" id="{00000000-0008-0000-0400-00001D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30" name="Rounded Rectangle 29">
            <a:extLst>
              <a:ext uri="{FF2B5EF4-FFF2-40B4-BE49-F238E27FC236}">
                <a16:creationId xmlns:a16="http://schemas.microsoft.com/office/drawing/2014/main" id="{00000000-0008-0000-0400-00001E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1" name="Rounded Rectangle 30">
            <a:extLst>
              <a:ext uri="{FF2B5EF4-FFF2-40B4-BE49-F238E27FC236}">
                <a16:creationId xmlns:a16="http://schemas.microsoft.com/office/drawing/2014/main" id="{00000000-0008-0000-0400-00001F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2" name="Rounded Rectangle 31">
            <a:extLst>
              <a:ext uri="{FF2B5EF4-FFF2-40B4-BE49-F238E27FC236}">
                <a16:creationId xmlns:a16="http://schemas.microsoft.com/office/drawing/2014/main" id="{00000000-0008-0000-0400-000020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3" name="Rounded Rectangle 32">
            <a:extLst>
              <a:ext uri="{FF2B5EF4-FFF2-40B4-BE49-F238E27FC236}">
                <a16:creationId xmlns:a16="http://schemas.microsoft.com/office/drawing/2014/main" id="{00000000-0008-0000-0400-000021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4" name="Rounded Rectangle 33">
            <a:extLst>
              <a:ext uri="{FF2B5EF4-FFF2-40B4-BE49-F238E27FC236}">
                <a16:creationId xmlns:a16="http://schemas.microsoft.com/office/drawing/2014/main" id="{00000000-0008-0000-0400-000022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5" name="Rounded Rectangle 34">
            <a:extLst>
              <a:ext uri="{FF2B5EF4-FFF2-40B4-BE49-F238E27FC236}">
                <a16:creationId xmlns:a16="http://schemas.microsoft.com/office/drawing/2014/main" id="{00000000-0008-0000-0400-000023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6" name="Rounded Rectangle 35">
            <a:extLst>
              <a:ext uri="{FF2B5EF4-FFF2-40B4-BE49-F238E27FC236}">
                <a16:creationId xmlns:a16="http://schemas.microsoft.com/office/drawing/2014/main" id="{00000000-0008-0000-0400-000024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41" name="Rounded Rectangle 40">
            <a:extLst>
              <a:ext uri="{FF2B5EF4-FFF2-40B4-BE49-F238E27FC236}">
                <a16:creationId xmlns:a16="http://schemas.microsoft.com/office/drawing/2014/main" id="{00000000-0008-0000-0400-000029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42" name="Rounded Rectangle 41">
            <a:extLst>
              <a:ext uri="{FF2B5EF4-FFF2-40B4-BE49-F238E27FC236}">
                <a16:creationId xmlns:a16="http://schemas.microsoft.com/office/drawing/2014/main" id="{00000000-0008-0000-0400-00002A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43" name="Rounded Rectangle 42">
            <a:extLst>
              <a:ext uri="{FF2B5EF4-FFF2-40B4-BE49-F238E27FC236}">
                <a16:creationId xmlns:a16="http://schemas.microsoft.com/office/drawing/2014/main" id="{00000000-0008-0000-0400-00002B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10</xdr:col>
      <xdr:colOff>822250</xdr:colOff>
      <xdr:row>13</xdr:row>
      <xdr:rowOff>154779</xdr:rowOff>
    </xdr:to>
    <xdr:grpSp>
      <xdr:nvGrpSpPr>
        <xdr:cNvPr id="37" name="Group 36">
          <a:extLst>
            <a:ext uri="{FF2B5EF4-FFF2-40B4-BE49-F238E27FC236}">
              <a16:creationId xmlns:a16="http://schemas.microsoft.com/office/drawing/2014/main" id="{00000000-0008-0000-0400-000025000000}"/>
            </a:ext>
          </a:extLst>
        </xdr:cNvPr>
        <xdr:cNvGrpSpPr/>
      </xdr:nvGrpSpPr>
      <xdr:grpSpPr>
        <a:xfrm>
          <a:off x="0" y="0"/>
          <a:ext cx="7743750" cy="2631279"/>
          <a:chOff x="8534400" y="3048000"/>
          <a:chExt cx="9255125" cy="3135912"/>
        </a:xfrm>
      </xdr:grpSpPr>
      <xdr:grpSp>
        <xdr:nvGrpSpPr>
          <xdr:cNvPr id="38" name="Group 37">
            <a:extLst>
              <a:ext uri="{FF2B5EF4-FFF2-40B4-BE49-F238E27FC236}">
                <a16:creationId xmlns:a16="http://schemas.microsoft.com/office/drawing/2014/main" id="{00000000-0008-0000-0400-000026000000}"/>
              </a:ext>
            </a:extLst>
          </xdr:cNvPr>
          <xdr:cNvGrpSpPr/>
        </xdr:nvGrpSpPr>
        <xdr:grpSpPr>
          <a:xfrm>
            <a:off x="8534400" y="3048000"/>
            <a:ext cx="9255125" cy="3135912"/>
            <a:chOff x="0" y="178596"/>
            <a:chExt cx="9255125" cy="3135912"/>
          </a:xfrm>
        </xdr:grpSpPr>
        <xdr:pic>
          <xdr:nvPicPr>
            <xdr:cNvPr id="40" name="Picture 39">
              <a:extLst>
                <a:ext uri="{FF2B5EF4-FFF2-40B4-BE49-F238E27FC236}">
                  <a16:creationId xmlns:a16="http://schemas.microsoft.com/office/drawing/2014/main" id="{00000000-0008-0000-0400-000028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4" name="Picture 43">
              <a:extLst>
                <a:ext uri="{FF2B5EF4-FFF2-40B4-BE49-F238E27FC236}">
                  <a16:creationId xmlns:a16="http://schemas.microsoft.com/office/drawing/2014/main" id="{00000000-0008-0000-0400-00002C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5" name="Rectangle 44">
              <a:extLst>
                <a:ext uri="{FF2B5EF4-FFF2-40B4-BE49-F238E27FC236}">
                  <a16:creationId xmlns:a16="http://schemas.microsoft.com/office/drawing/2014/main" id="{00000000-0008-0000-0400-00002D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400">
                <a:solidFill>
                  <a:schemeClr val="bg1"/>
                </a:solidFill>
                <a:latin typeface="Calibri" pitchFamily="34" charset="0"/>
                <a:cs typeface="Calibri" pitchFamily="34" charset="0"/>
              </a:rPr>
              <a:t>Patient Population</a:t>
            </a:r>
            <a:endParaRPr lang="en-IE" sz="1800">
              <a:solidFill>
                <a:schemeClr val="bg1"/>
              </a:solidFill>
              <a:latin typeface="Calibri" pitchFamily="34" charset="0"/>
              <a:cs typeface="Calibri"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50</xdr:row>
          <xdr:rowOff>28575</xdr:rowOff>
        </xdr:from>
        <xdr:to>
          <xdr:col>0</xdr:col>
          <xdr:colOff>523875</xdr:colOff>
          <xdr:row>51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135</xdr:row>
          <xdr:rowOff>28575</xdr:rowOff>
        </xdr:from>
        <xdr:to>
          <xdr:col>0</xdr:col>
          <xdr:colOff>523875</xdr:colOff>
          <xdr:row>136</xdr:row>
          <xdr:rowOff>0</xdr:rowOff>
        </xdr:to>
        <xdr:sp macro="" textlink="">
          <xdr:nvSpPr>
            <xdr:cNvPr id="11293" name="Button 29" hidden="1">
              <a:extLst>
                <a:ext uri="{63B3BB69-23CF-44E3-9099-C40C66FF867C}">
                  <a14:compatExt spid="_x0000_s11293"/>
                </a:ext>
                <a:ext uri="{FF2B5EF4-FFF2-40B4-BE49-F238E27FC236}">
                  <a16:creationId xmlns:a16="http://schemas.microsoft.com/office/drawing/2014/main" id="{00000000-0008-0000-0500-00001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1294" name="Button 30" hidden="1">
              <a:extLst>
                <a:ext uri="{63B3BB69-23CF-44E3-9099-C40C66FF867C}">
                  <a14:compatExt spid="_x0000_s11294"/>
                </a:ext>
                <a:ext uri="{FF2B5EF4-FFF2-40B4-BE49-F238E27FC236}">
                  <a16:creationId xmlns:a16="http://schemas.microsoft.com/office/drawing/2014/main" id="{00000000-0008-0000-0500-00001E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500-00001F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500-000020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1298" name="Button 34" hidden="1">
              <a:extLst>
                <a:ext uri="{63B3BB69-23CF-44E3-9099-C40C66FF867C}">
                  <a14:compatExt spid="_x0000_s11298"/>
                </a:ext>
                <a:ext uri="{FF2B5EF4-FFF2-40B4-BE49-F238E27FC236}">
                  <a16:creationId xmlns:a16="http://schemas.microsoft.com/office/drawing/2014/main" id="{00000000-0008-0000-0500-00002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647</xdr:row>
          <xdr:rowOff>28575</xdr:rowOff>
        </xdr:from>
        <xdr:to>
          <xdr:col>0</xdr:col>
          <xdr:colOff>523875</xdr:colOff>
          <xdr:row>648</xdr:row>
          <xdr:rowOff>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500-00002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732</xdr:row>
          <xdr:rowOff>28575</xdr:rowOff>
        </xdr:from>
        <xdr:to>
          <xdr:col>0</xdr:col>
          <xdr:colOff>523875</xdr:colOff>
          <xdr:row>733</xdr:row>
          <xdr:rowOff>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500-00002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817</xdr:row>
          <xdr:rowOff>28575</xdr:rowOff>
        </xdr:from>
        <xdr:to>
          <xdr:col>0</xdr:col>
          <xdr:colOff>523875</xdr:colOff>
          <xdr:row>818</xdr:row>
          <xdr:rowOff>0</xdr:rowOff>
        </xdr:to>
        <xdr:sp macro="" textlink="">
          <xdr:nvSpPr>
            <xdr:cNvPr id="11301" name="Button 37" hidden="1">
              <a:extLst>
                <a:ext uri="{63B3BB69-23CF-44E3-9099-C40C66FF867C}">
                  <a14:compatExt spid="_x0000_s11301"/>
                </a:ext>
                <a:ext uri="{FF2B5EF4-FFF2-40B4-BE49-F238E27FC236}">
                  <a16:creationId xmlns:a16="http://schemas.microsoft.com/office/drawing/2014/main" id="{00000000-0008-0000-0500-00002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902</xdr:row>
          <xdr:rowOff>28575</xdr:rowOff>
        </xdr:from>
        <xdr:to>
          <xdr:col>0</xdr:col>
          <xdr:colOff>523875</xdr:colOff>
          <xdr:row>903</xdr:row>
          <xdr:rowOff>0</xdr:rowOff>
        </xdr:to>
        <xdr:sp macro="" textlink="">
          <xdr:nvSpPr>
            <xdr:cNvPr id="11302" name="Button 38" hidden="1">
              <a:extLst>
                <a:ext uri="{63B3BB69-23CF-44E3-9099-C40C66FF867C}">
                  <a14:compatExt spid="_x0000_s11302"/>
                </a:ext>
                <a:ext uri="{FF2B5EF4-FFF2-40B4-BE49-F238E27FC236}">
                  <a16:creationId xmlns:a16="http://schemas.microsoft.com/office/drawing/2014/main" id="{00000000-0008-0000-0500-00002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987</xdr:row>
          <xdr:rowOff>28575</xdr:rowOff>
        </xdr:from>
        <xdr:to>
          <xdr:col>0</xdr:col>
          <xdr:colOff>523875</xdr:colOff>
          <xdr:row>988</xdr:row>
          <xdr:rowOff>0</xdr:rowOff>
        </xdr:to>
        <xdr:sp macro="" textlink="">
          <xdr:nvSpPr>
            <xdr:cNvPr id="11303" name="Button 39" hidden="1">
              <a:extLst>
                <a:ext uri="{63B3BB69-23CF-44E3-9099-C40C66FF867C}">
                  <a14:compatExt spid="_x0000_s11303"/>
                </a:ext>
                <a:ext uri="{FF2B5EF4-FFF2-40B4-BE49-F238E27FC236}">
                  <a16:creationId xmlns:a16="http://schemas.microsoft.com/office/drawing/2014/main" id="{00000000-0008-0000-0500-00002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1072</xdr:row>
          <xdr:rowOff>28575</xdr:rowOff>
        </xdr:from>
        <xdr:to>
          <xdr:col>0</xdr:col>
          <xdr:colOff>523875</xdr:colOff>
          <xdr:row>1073</xdr:row>
          <xdr:rowOff>0</xdr:rowOff>
        </xdr:to>
        <xdr:sp macro="" textlink="">
          <xdr:nvSpPr>
            <xdr:cNvPr id="11304" name="Button 40" hidden="1">
              <a:extLst>
                <a:ext uri="{63B3BB69-23CF-44E3-9099-C40C66FF867C}">
                  <a14:compatExt spid="_x0000_s11304"/>
                </a:ext>
                <a:ext uri="{FF2B5EF4-FFF2-40B4-BE49-F238E27FC236}">
                  <a16:creationId xmlns:a16="http://schemas.microsoft.com/office/drawing/2014/main" id="{00000000-0008-0000-0500-000028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xdr:twoCellAnchor>
    <xdr:from>
      <xdr:col>8</xdr:col>
      <xdr:colOff>642943</xdr:colOff>
      <xdr:row>0</xdr:row>
      <xdr:rowOff>107162</xdr:rowOff>
    </xdr:from>
    <xdr:to>
      <xdr:col>14</xdr:col>
      <xdr:colOff>756000</xdr:colOff>
      <xdr:row>6</xdr:row>
      <xdr:rowOff>78473</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9494843" y="107162"/>
          <a:ext cx="7085357" cy="1114311"/>
          <a:chOff x="8501063" y="2476500"/>
          <a:chExt cx="7078213" cy="1114311"/>
        </a:xfrm>
      </xdr:grpSpPr>
      <xdr:sp macro="[0]!goto_References" textlink="">
        <xdr:nvSpPr>
          <xdr:cNvPr id="41" name="Rounded Rectangle 40">
            <a:extLst>
              <a:ext uri="{FF2B5EF4-FFF2-40B4-BE49-F238E27FC236}">
                <a16:creationId xmlns:a16="http://schemas.microsoft.com/office/drawing/2014/main" id="{00000000-0008-0000-0500-000029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42" name="Rounded Rectangle 41">
            <a:extLst>
              <a:ext uri="{FF2B5EF4-FFF2-40B4-BE49-F238E27FC236}">
                <a16:creationId xmlns:a16="http://schemas.microsoft.com/office/drawing/2014/main" id="{00000000-0008-0000-0500-00002A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43" name="Rounded Rectangle 42">
            <a:extLst>
              <a:ext uri="{FF2B5EF4-FFF2-40B4-BE49-F238E27FC236}">
                <a16:creationId xmlns:a16="http://schemas.microsoft.com/office/drawing/2014/main" id="{00000000-0008-0000-0500-00002B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44" name="Rounded Rectangle 43">
            <a:extLst>
              <a:ext uri="{FF2B5EF4-FFF2-40B4-BE49-F238E27FC236}">
                <a16:creationId xmlns:a16="http://schemas.microsoft.com/office/drawing/2014/main" id="{00000000-0008-0000-0500-00002C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45" name="Rounded Rectangle 44">
            <a:extLst>
              <a:ext uri="{FF2B5EF4-FFF2-40B4-BE49-F238E27FC236}">
                <a16:creationId xmlns:a16="http://schemas.microsoft.com/office/drawing/2014/main" id="{00000000-0008-0000-0500-00002D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46" name="Rounded Rectangle 45">
            <a:extLst>
              <a:ext uri="{FF2B5EF4-FFF2-40B4-BE49-F238E27FC236}">
                <a16:creationId xmlns:a16="http://schemas.microsoft.com/office/drawing/2014/main" id="{00000000-0008-0000-0500-00002E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47" name="Rounded Rectangle 46">
            <a:extLst>
              <a:ext uri="{FF2B5EF4-FFF2-40B4-BE49-F238E27FC236}">
                <a16:creationId xmlns:a16="http://schemas.microsoft.com/office/drawing/2014/main" id="{00000000-0008-0000-0500-00002F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48" name="Rounded Rectangle 47">
            <a:extLst>
              <a:ext uri="{FF2B5EF4-FFF2-40B4-BE49-F238E27FC236}">
                <a16:creationId xmlns:a16="http://schemas.microsoft.com/office/drawing/2014/main" id="{00000000-0008-0000-0500-000030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49" name="Rounded Rectangle 48">
            <a:extLst>
              <a:ext uri="{FF2B5EF4-FFF2-40B4-BE49-F238E27FC236}">
                <a16:creationId xmlns:a16="http://schemas.microsoft.com/office/drawing/2014/main" id="{00000000-0008-0000-0500-000031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50" name="Rounded Rectangle 49">
            <a:extLst>
              <a:ext uri="{FF2B5EF4-FFF2-40B4-BE49-F238E27FC236}">
                <a16:creationId xmlns:a16="http://schemas.microsoft.com/office/drawing/2014/main" id="{00000000-0008-0000-0500-000032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51" name="Rounded Rectangle 50">
            <a:extLst>
              <a:ext uri="{FF2B5EF4-FFF2-40B4-BE49-F238E27FC236}">
                <a16:creationId xmlns:a16="http://schemas.microsoft.com/office/drawing/2014/main" id="{00000000-0008-0000-0500-000033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8</xdr:col>
      <xdr:colOff>647700</xdr:colOff>
      <xdr:row>7</xdr:row>
      <xdr:rowOff>152400</xdr:rowOff>
    </xdr:from>
    <xdr:to>
      <xdr:col>14</xdr:col>
      <xdr:colOff>784108</xdr:colOff>
      <xdr:row>16</xdr:row>
      <xdr:rowOff>164189</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9499600" y="1485900"/>
          <a:ext cx="7108708" cy="1726289"/>
          <a:chOff x="9474200" y="1384300"/>
          <a:chExt cx="7108708" cy="1726289"/>
        </a:xfrm>
      </xdr:grpSpPr>
      <xdr:grpSp>
        <xdr:nvGrpSpPr>
          <xdr:cNvPr id="2" name="Group 1">
            <a:extLst>
              <a:ext uri="{FF2B5EF4-FFF2-40B4-BE49-F238E27FC236}">
                <a16:creationId xmlns:a16="http://schemas.microsoft.com/office/drawing/2014/main" id="{00000000-0008-0000-0500-000002000000}"/>
              </a:ext>
            </a:extLst>
          </xdr:cNvPr>
          <xdr:cNvGrpSpPr/>
        </xdr:nvGrpSpPr>
        <xdr:grpSpPr>
          <a:xfrm>
            <a:off x="9474200" y="1993900"/>
            <a:ext cx="7108708" cy="1116689"/>
            <a:chOff x="9474200" y="1993900"/>
            <a:chExt cx="7108708" cy="1116689"/>
          </a:xfrm>
        </xdr:grpSpPr>
        <xdr:grpSp>
          <xdr:nvGrpSpPr>
            <xdr:cNvPr id="52" name="Group 51">
              <a:extLst>
                <a:ext uri="{FF2B5EF4-FFF2-40B4-BE49-F238E27FC236}">
                  <a16:creationId xmlns:a16="http://schemas.microsoft.com/office/drawing/2014/main" id="{00000000-0008-0000-0500-000034000000}"/>
                </a:ext>
              </a:extLst>
            </xdr:cNvPr>
            <xdr:cNvGrpSpPr/>
          </xdr:nvGrpSpPr>
          <xdr:grpSpPr>
            <a:xfrm>
              <a:off x="9474200" y="1993900"/>
              <a:ext cx="7085357" cy="1114311"/>
              <a:chOff x="8501063" y="2476500"/>
              <a:chExt cx="7078213" cy="1114311"/>
            </a:xfrm>
          </xdr:grpSpPr>
          <xdr:sp macro="[0]!SelectComp11" textlink="">
            <xdr:nvSpPr>
              <xdr:cNvPr id="53" name="Rounded Rectangle 40">
                <a:extLst>
                  <a:ext uri="{FF2B5EF4-FFF2-40B4-BE49-F238E27FC236}">
                    <a16:creationId xmlns:a16="http://schemas.microsoft.com/office/drawing/2014/main" id="{00000000-0008-0000-0500-000035000000}"/>
                  </a:ext>
                </a:extLst>
              </xdr:cNvPr>
              <xdr:cNvSpPr/>
            </xdr:nvSpPr>
            <xdr:spPr>
              <a:xfrm>
                <a:off x="13275467" y="3083722"/>
                <a:ext cx="1116741"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11</a:t>
                </a:r>
                <a:endParaRPr lang="en-IE" sz="1000" b="1">
                  <a:solidFill>
                    <a:sysClr val="windowText" lastClr="000000"/>
                  </a:solidFill>
                </a:endParaRPr>
              </a:p>
            </xdr:txBody>
          </xdr:sp>
          <xdr:sp macro="[0]!SelectComp1" textlink="">
            <xdr:nvSpPr>
              <xdr:cNvPr id="54" name="Rounded Rectangle 41">
                <a:extLst>
                  <a:ext uri="{FF2B5EF4-FFF2-40B4-BE49-F238E27FC236}">
                    <a16:creationId xmlns:a16="http://schemas.microsoft.com/office/drawing/2014/main" id="{00000000-0008-0000-0500-000036000000}"/>
                  </a:ext>
                </a:extLst>
              </xdr:cNvPr>
              <xdr:cNvSpPr/>
            </xdr:nvSpPr>
            <xdr:spPr>
              <a:xfrm>
                <a:off x="8501063" y="2476500"/>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1</a:t>
                </a:r>
                <a:endParaRPr lang="en-IE" sz="1000" b="1">
                  <a:solidFill>
                    <a:sysClr val="windowText" lastClr="000000"/>
                  </a:solidFill>
                </a:endParaRPr>
              </a:p>
            </xdr:txBody>
          </xdr:sp>
          <xdr:sp macro="[0]!SelectComp7" textlink="">
            <xdr:nvSpPr>
              <xdr:cNvPr id="55" name="Rounded Rectangle 42">
                <a:extLst>
                  <a:ext uri="{FF2B5EF4-FFF2-40B4-BE49-F238E27FC236}">
                    <a16:creationId xmlns:a16="http://schemas.microsoft.com/office/drawing/2014/main" id="{00000000-0008-0000-0500-000037000000}"/>
                  </a:ext>
                </a:extLst>
              </xdr:cNvPr>
              <xdr:cNvSpPr/>
            </xdr:nvSpPr>
            <xdr:spPr>
              <a:xfrm>
                <a:off x="8501063" y="3083717"/>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7</a:t>
                </a:r>
                <a:endParaRPr lang="en-IE" sz="1000" b="1">
                  <a:solidFill>
                    <a:sysClr val="windowText" lastClr="000000"/>
                  </a:solidFill>
                </a:endParaRPr>
              </a:p>
            </xdr:txBody>
          </xdr:sp>
          <xdr:sp macro="[0]!SelectComp2" textlink="">
            <xdr:nvSpPr>
              <xdr:cNvPr id="56" name="Rounded Rectangle 43">
                <a:extLst>
                  <a:ext uri="{FF2B5EF4-FFF2-40B4-BE49-F238E27FC236}">
                    <a16:creationId xmlns:a16="http://schemas.microsoft.com/office/drawing/2014/main" id="{00000000-0008-0000-0500-000038000000}"/>
                  </a:ext>
                </a:extLst>
              </xdr:cNvPr>
              <xdr:cNvSpPr/>
            </xdr:nvSpPr>
            <xdr:spPr>
              <a:xfrm>
                <a:off x="9691683" y="2476503"/>
                <a:ext cx="1113183"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2</a:t>
                </a:r>
                <a:endParaRPr lang="en-IE" sz="1000" b="1">
                  <a:solidFill>
                    <a:sysClr val="windowText" lastClr="000000"/>
                  </a:solidFill>
                </a:endParaRPr>
              </a:p>
            </xdr:txBody>
          </xdr:sp>
          <xdr:sp macro="[0]!SelectComp8" textlink="">
            <xdr:nvSpPr>
              <xdr:cNvPr id="57" name="Rounded Rectangle 44">
                <a:extLst>
                  <a:ext uri="{FF2B5EF4-FFF2-40B4-BE49-F238E27FC236}">
                    <a16:creationId xmlns:a16="http://schemas.microsoft.com/office/drawing/2014/main" id="{00000000-0008-0000-0500-000039000000}"/>
                  </a:ext>
                </a:extLst>
              </xdr:cNvPr>
              <xdr:cNvSpPr/>
            </xdr:nvSpPr>
            <xdr:spPr>
              <a:xfrm>
                <a:off x="9691688" y="3083710"/>
                <a:ext cx="1113183"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8</a:t>
                </a:r>
              </a:p>
            </xdr:txBody>
          </xdr:sp>
          <xdr:sp macro="[0]!SelectComp3" textlink="">
            <xdr:nvSpPr>
              <xdr:cNvPr id="58" name="Rounded Rectangle 45">
                <a:extLst>
                  <a:ext uri="{FF2B5EF4-FFF2-40B4-BE49-F238E27FC236}">
                    <a16:creationId xmlns:a16="http://schemas.microsoft.com/office/drawing/2014/main" id="{00000000-0008-0000-0500-00003A000000}"/>
                  </a:ext>
                </a:extLst>
              </xdr:cNvPr>
              <xdr:cNvSpPr/>
            </xdr:nvSpPr>
            <xdr:spPr>
              <a:xfrm>
                <a:off x="10882310" y="2476504"/>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3</a:t>
                </a:r>
              </a:p>
            </xdr:txBody>
          </xdr:sp>
          <xdr:sp macro="[0]!SelectComp9" textlink="">
            <xdr:nvSpPr>
              <xdr:cNvPr id="59" name="Rounded Rectangle 46">
                <a:extLst>
                  <a:ext uri="{FF2B5EF4-FFF2-40B4-BE49-F238E27FC236}">
                    <a16:creationId xmlns:a16="http://schemas.microsoft.com/office/drawing/2014/main" id="{00000000-0008-0000-0500-00003B000000}"/>
                  </a:ext>
                </a:extLst>
              </xdr:cNvPr>
              <xdr:cNvSpPr/>
            </xdr:nvSpPr>
            <xdr:spPr>
              <a:xfrm>
                <a:off x="10882314" y="3083717"/>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9</a:t>
                </a:r>
              </a:p>
            </xdr:txBody>
          </xdr:sp>
          <xdr:sp macro="[0]!SelectComp4" textlink="">
            <xdr:nvSpPr>
              <xdr:cNvPr id="60" name="Rounded Rectangle 47">
                <a:extLst>
                  <a:ext uri="{FF2B5EF4-FFF2-40B4-BE49-F238E27FC236}">
                    <a16:creationId xmlns:a16="http://schemas.microsoft.com/office/drawing/2014/main" id="{00000000-0008-0000-0500-00003C000000}"/>
                  </a:ext>
                </a:extLst>
              </xdr:cNvPr>
              <xdr:cNvSpPr/>
            </xdr:nvSpPr>
            <xdr:spPr>
              <a:xfrm>
                <a:off x="12072934" y="2476500"/>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4</a:t>
                </a:r>
              </a:p>
            </xdr:txBody>
          </xdr:sp>
          <xdr:sp macro="[0]!SelectComp10" textlink="">
            <xdr:nvSpPr>
              <xdr:cNvPr id="61" name="Rounded Rectangle 48">
                <a:extLst>
                  <a:ext uri="{FF2B5EF4-FFF2-40B4-BE49-F238E27FC236}">
                    <a16:creationId xmlns:a16="http://schemas.microsoft.com/office/drawing/2014/main" id="{00000000-0008-0000-0500-00003D000000}"/>
                  </a:ext>
                </a:extLst>
              </xdr:cNvPr>
              <xdr:cNvSpPr/>
            </xdr:nvSpPr>
            <xdr:spPr>
              <a:xfrm>
                <a:off x="12072932" y="3083720"/>
                <a:ext cx="1116741"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10</a:t>
                </a:r>
                <a:endParaRPr lang="en-IE" sz="1000" b="1">
                  <a:solidFill>
                    <a:sysClr val="windowText" lastClr="000000"/>
                  </a:solidFill>
                </a:endParaRPr>
              </a:p>
            </xdr:txBody>
          </xdr:sp>
          <xdr:sp macro="[0]!SelectComp5" textlink="">
            <xdr:nvSpPr>
              <xdr:cNvPr id="62" name="Rounded Rectangle 49">
                <a:extLst>
                  <a:ext uri="{FF2B5EF4-FFF2-40B4-BE49-F238E27FC236}">
                    <a16:creationId xmlns:a16="http://schemas.microsoft.com/office/drawing/2014/main" id="{00000000-0008-0000-0500-00003E000000}"/>
                  </a:ext>
                </a:extLst>
              </xdr:cNvPr>
              <xdr:cNvSpPr/>
            </xdr:nvSpPr>
            <xdr:spPr>
              <a:xfrm>
                <a:off x="13275465" y="2476504"/>
                <a:ext cx="1116741"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a:t>
                </a:r>
                <a:r>
                  <a:rPr lang="en-IE" sz="1000" b="1" baseline="0">
                    <a:solidFill>
                      <a:sysClr val="windowText" lastClr="000000"/>
                    </a:solidFill>
                  </a:rPr>
                  <a:t> 5</a:t>
                </a:r>
                <a:endParaRPr lang="en-IE" sz="1000" b="1">
                  <a:solidFill>
                    <a:sysClr val="windowText" lastClr="000000"/>
                  </a:solidFill>
                </a:endParaRPr>
              </a:p>
            </xdr:txBody>
          </xdr:sp>
          <xdr:sp macro="[0]!SelectComp6" textlink="">
            <xdr:nvSpPr>
              <xdr:cNvPr id="63" name="Rounded Rectangle 50">
                <a:extLst>
                  <a:ext uri="{FF2B5EF4-FFF2-40B4-BE49-F238E27FC236}">
                    <a16:creationId xmlns:a16="http://schemas.microsoft.com/office/drawing/2014/main" id="{00000000-0008-0000-0500-00003F000000}"/>
                  </a:ext>
                </a:extLst>
              </xdr:cNvPr>
              <xdr:cNvSpPr/>
            </xdr:nvSpPr>
            <xdr:spPr>
              <a:xfrm>
                <a:off x="14466092" y="2476500"/>
                <a:ext cx="1113184"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6</a:t>
                </a:r>
              </a:p>
            </xdr:txBody>
          </xdr:sp>
        </xdr:grpSp>
        <xdr:sp macro="[0]!SelectComp12" textlink="">
          <xdr:nvSpPr>
            <xdr:cNvPr id="88" name="Rounded Rectangle 50">
              <a:extLst>
                <a:ext uri="{FF2B5EF4-FFF2-40B4-BE49-F238E27FC236}">
                  <a16:creationId xmlns:a16="http://schemas.microsoft.com/office/drawing/2014/main" id="{00000000-0008-0000-0500-000058000000}"/>
                </a:ext>
              </a:extLst>
            </xdr:cNvPr>
            <xdr:cNvSpPr/>
          </xdr:nvSpPr>
          <xdr:spPr>
            <a:xfrm>
              <a:off x="15468600" y="2603500"/>
              <a:ext cx="1114308"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Comparator 12</a:t>
              </a:r>
            </a:p>
          </xdr:txBody>
        </xdr:sp>
      </xdr:grpSp>
      <xdr:sp macro="[0]!SelectInt" textlink="">
        <xdr:nvSpPr>
          <xdr:cNvPr id="89" name="Rounded Rectangle 50">
            <a:extLst>
              <a:ext uri="{FF2B5EF4-FFF2-40B4-BE49-F238E27FC236}">
                <a16:creationId xmlns:a16="http://schemas.microsoft.com/office/drawing/2014/main" id="{00000000-0008-0000-0500-000059000000}"/>
              </a:ext>
            </a:extLst>
          </xdr:cNvPr>
          <xdr:cNvSpPr/>
        </xdr:nvSpPr>
        <xdr:spPr>
          <a:xfrm>
            <a:off x="9474200" y="1384300"/>
            <a:ext cx="1114308" cy="507089"/>
          </a:xfrm>
          <a:prstGeom prst="roundRect">
            <a:avLst/>
          </a:prstGeom>
          <a:noFill/>
          <a:ln>
            <a:solidFill>
              <a:srgbClr val="DD6E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Intervention</a:t>
            </a:r>
          </a:p>
        </xdr:txBody>
      </xdr:sp>
    </xdr:grpSp>
    <xdr:clientData/>
  </xdr:twoCellAnchor>
  <xdr:twoCellAnchor>
    <xdr:from>
      <xdr:col>0</xdr:col>
      <xdr:colOff>0</xdr:colOff>
      <xdr:row>0</xdr:row>
      <xdr:rowOff>0</xdr:rowOff>
    </xdr:from>
    <xdr:to>
      <xdr:col>8</xdr:col>
      <xdr:colOff>253827</xdr:colOff>
      <xdr:row>16</xdr:row>
      <xdr:rowOff>47624</xdr:rowOff>
    </xdr:to>
    <xdr:grpSp>
      <xdr:nvGrpSpPr>
        <xdr:cNvPr id="64" name="Group 63">
          <a:extLst>
            <a:ext uri="{FF2B5EF4-FFF2-40B4-BE49-F238E27FC236}">
              <a16:creationId xmlns:a16="http://schemas.microsoft.com/office/drawing/2014/main" id="{00000000-0008-0000-0500-000040000000}"/>
            </a:ext>
          </a:extLst>
        </xdr:cNvPr>
        <xdr:cNvGrpSpPr/>
      </xdr:nvGrpSpPr>
      <xdr:grpSpPr>
        <a:xfrm>
          <a:off x="0" y="0"/>
          <a:ext cx="9105727" cy="3095624"/>
          <a:chOff x="8534400" y="3048000"/>
          <a:chExt cx="9255125" cy="3135912"/>
        </a:xfrm>
      </xdr:grpSpPr>
      <xdr:grpSp>
        <xdr:nvGrpSpPr>
          <xdr:cNvPr id="65" name="Group 64">
            <a:extLst>
              <a:ext uri="{FF2B5EF4-FFF2-40B4-BE49-F238E27FC236}">
                <a16:creationId xmlns:a16="http://schemas.microsoft.com/office/drawing/2014/main" id="{00000000-0008-0000-0500-000041000000}"/>
              </a:ext>
            </a:extLst>
          </xdr:cNvPr>
          <xdr:cNvGrpSpPr/>
        </xdr:nvGrpSpPr>
        <xdr:grpSpPr>
          <a:xfrm>
            <a:off x="8534400" y="3048000"/>
            <a:ext cx="9255125" cy="3135912"/>
            <a:chOff x="0" y="178596"/>
            <a:chExt cx="9255125" cy="3135912"/>
          </a:xfrm>
        </xdr:grpSpPr>
        <xdr:pic>
          <xdr:nvPicPr>
            <xdr:cNvPr id="67" name="Picture 66">
              <a:extLst>
                <a:ext uri="{FF2B5EF4-FFF2-40B4-BE49-F238E27FC236}">
                  <a16:creationId xmlns:a16="http://schemas.microsoft.com/office/drawing/2014/main" id="{00000000-0008-0000-0500-000043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68" name="Picture 67">
              <a:extLst>
                <a:ext uri="{FF2B5EF4-FFF2-40B4-BE49-F238E27FC236}">
                  <a16:creationId xmlns:a16="http://schemas.microsoft.com/office/drawing/2014/main" id="{00000000-0008-0000-0500-000044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69" name="Rectangle 68">
              <a:extLst>
                <a:ext uri="{FF2B5EF4-FFF2-40B4-BE49-F238E27FC236}">
                  <a16:creationId xmlns:a16="http://schemas.microsoft.com/office/drawing/2014/main" id="{00000000-0008-0000-0500-000045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Drug Acquisition Costs</a:t>
            </a:r>
            <a:endParaRPr lang="en-IE" sz="2000">
              <a:solidFill>
                <a:schemeClr val="bg1"/>
              </a:solidFill>
              <a:latin typeface="Calibri" pitchFamily="34" charset="0"/>
              <a:cs typeface="Calibri"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50</xdr:row>
          <xdr:rowOff>28575</xdr:rowOff>
        </xdr:from>
        <xdr:to>
          <xdr:col>0</xdr:col>
          <xdr:colOff>523875</xdr:colOff>
          <xdr:row>51</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135</xdr:row>
          <xdr:rowOff>28575</xdr:rowOff>
        </xdr:from>
        <xdr:to>
          <xdr:col>0</xdr:col>
          <xdr:colOff>523875</xdr:colOff>
          <xdr:row>136</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6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6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213</xdr:row>
          <xdr:rowOff>0</xdr:rowOff>
        </xdr:from>
        <xdr:to>
          <xdr:col>0</xdr:col>
          <xdr:colOff>523875</xdr:colOff>
          <xdr:row>213</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647</xdr:row>
          <xdr:rowOff>28575</xdr:rowOff>
        </xdr:from>
        <xdr:to>
          <xdr:col>0</xdr:col>
          <xdr:colOff>523875</xdr:colOff>
          <xdr:row>648</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732</xdr:row>
          <xdr:rowOff>28575</xdr:rowOff>
        </xdr:from>
        <xdr:to>
          <xdr:col>0</xdr:col>
          <xdr:colOff>523875</xdr:colOff>
          <xdr:row>733</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6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817</xdr:row>
          <xdr:rowOff>28575</xdr:rowOff>
        </xdr:from>
        <xdr:to>
          <xdr:col>0</xdr:col>
          <xdr:colOff>523875</xdr:colOff>
          <xdr:row>818</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600-00000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902</xdr:row>
          <xdr:rowOff>28575</xdr:rowOff>
        </xdr:from>
        <xdr:to>
          <xdr:col>0</xdr:col>
          <xdr:colOff>523875</xdr:colOff>
          <xdr:row>903</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6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987</xdr:row>
          <xdr:rowOff>28575</xdr:rowOff>
        </xdr:from>
        <xdr:to>
          <xdr:col>0</xdr:col>
          <xdr:colOff>523875</xdr:colOff>
          <xdr:row>988</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600-00000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1072</xdr:row>
          <xdr:rowOff>28575</xdr:rowOff>
        </xdr:from>
        <xdr:to>
          <xdr:col>0</xdr:col>
          <xdr:colOff>523875</xdr:colOff>
          <xdr:row>1073</xdr:row>
          <xdr:rowOff>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600-00000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Ref 2</a:t>
              </a:r>
            </a:p>
          </xdr:txBody>
        </xdr:sp>
        <xdr:clientData fPrintsWithSheet="0"/>
      </xdr:twoCellAnchor>
    </mc:Choice>
    <mc:Fallback/>
  </mc:AlternateContent>
  <xdr:twoCellAnchor>
    <xdr:from>
      <xdr:col>8</xdr:col>
      <xdr:colOff>631037</xdr:colOff>
      <xdr:row>0</xdr:row>
      <xdr:rowOff>107163</xdr:rowOff>
    </xdr:from>
    <xdr:to>
      <xdr:col>14</xdr:col>
      <xdr:colOff>744094</xdr:colOff>
      <xdr:row>6</xdr:row>
      <xdr:rowOff>78474</xdr:rowOff>
    </xdr:to>
    <xdr:grpSp>
      <xdr:nvGrpSpPr>
        <xdr:cNvPr id="40" name="Group 39">
          <a:extLst>
            <a:ext uri="{FF2B5EF4-FFF2-40B4-BE49-F238E27FC236}">
              <a16:creationId xmlns:a16="http://schemas.microsoft.com/office/drawing/2014/main" id="{00000000-0008-0000-0600-000028000000}"/>
            </a:ext>
          </a:extLst>
        </xdr:cNvPr>
        <xdr:cNvGrpSpPr/>
      </xdr:nvGrpSpPr>
      <xdr:grpSpPr>
        <a:xfrm>
          <a:off x="10156037" y="107163"/>
          <a:ext cx="7085357" cy="1114311"/>
          <a:chOff x="8501063" y="2476500"/>
          <a:chExt cx="7078213" cy="1114311"/>
        </a:xfrm>
      </xdr:grpSpPr>
      <xdr:sp macro="[0]!goto_References" textlink="">
        <xdr:nvSpPr>
          <xdr:cNvPr id="41" name="Rounded Rectangle 40">
            <a:extLst>
              <a:ext uri="{FF2B5EF4-FFF2-40B4-BE49-F238E27FC236}">
                <a16:creationId xmlns:a16="http://schemas.microsoft.com/office/drawing/2014/main" id="{00000000-0008-0000-0600-000029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42" name="Rounded Rectangle 41">
            <a:extLst>
              <a:ext uri="{FF2B5EF4-FFF2-40B4-BE49-F238E27FC236}">
                <a16:creationId xmlns:a16="http://schemas.microsoft.com/office/drawing/2014/main" id="{00000000-0008-0000-0600-00002A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43" name="Rounded Rectangle 42">
            <a:extLst>
              <a:ext uri="{FF2B5EF4-FFF2-40B4-BE49-F238E27FC236}">
                <a16:creationId xmlns:a16="http://schemas.microsoft.com/office/drawing/2014/main" id="{00000000-0008-0000-0600-00002B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44" name="Rounded Rectangle 43">
            <a:extLst>
              <a:ext uri="{FF2B5EF4-FFF2-40B4-BE49-F238E27FC236}">
                <a16:creationId xmlns:a16="http://schemas.microsoft.com/office/drawing/2014/main" id="{00000000-0008-0000-0600-00002C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45" name="Rounded Rectangle 44">
            <a:extLst>
              <a:ext uri="{FF2B5EF4-FFF2-40B4-BE49-F238E27FC236}">
                <a16:creationId xmlns:a16="http://schemas.microsoft.com/office/drawing/2014/main" id="{00000000-0008-0000-0600-00002D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46" name="Rounded Rectangle 45">
            <a:extLst>
              <a:ext uri="{FF2B5EF4-FFF2-40B4-BE49-F238E27FC236}">
                <a16:creationId xmlns:a16="http://schemas.microsoft.com/office/drawing/2014/main" id="{00000000-0008-0000-0600-00002E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47" name="Rounded Rectangle 46">
            <a:extLst>
              <a:ext uri="{FF2B5EF4-FFF2-40B4-BE49-F238E27FC236}">
                <a16:creationId xmlns:a16="http://schemas.microsoft.com/office/drawing/2014/main" id="{00000000-0008-0000-0600-00002F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48" name="Rounded Rectangle 47">
            <a:extLst>
              <a:ext uri="{FF2B5EF4-FFF2-40B4-BE49-F238E27FC236}">
                <a16:creationId xmlns:a16="http://schemas.microsoft.com/office/drawing/2014/main" id="{00000000-0008-0000-0600-000030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49" name="Rounded Rectangle 48">
            <a:extLst>
              <a:ext uri="{FF2B5EF4-FFF2-40B4-BE49-F238E27FC236}">
                <a16:creationId xmlns:a16="http://schemas.microsoft.com/office/drawing/2014/main" id="{00000000-0008-0000-0600-000031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50" name="Rounded Rectangle 49">
            <a:extLst>
              <a:ext uri="{FF2B5EF4-FFF2-40B4-BE49-F238E27FC236}">
                <a16:creationId xmlns:a16="http://schemas.microsoft.com/office/drawing/2014/main" id="{00000000-0008-0000-0600-000032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51" name="Rounded Rectangle 50">
            <a:extLst>
              <a:ext uri="{FF2B5EF4-FFF2-40B4-BE49-F238E27FC236}">
                <a16:creationId xmlns:a16="http://schemas.microsoft.com/office/drawing/2014/main" id="{00000000-0008-0000-0600-000033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8</xdr:col>
      <xdr:colOff>253827</xdr:colOff>
      <xdr:row>16</xdr:row>
      <xdr:rowOff>47624</xdr:rowOff>
    </xdr:to>
    <xdr:grpSp>
      <xdr:nvGrpSpPr>
        <xdr:cNvPr id="74" name="Group 73">
          <a:extLst>
            <a:ext uri="{FF2B5EF4-FFF2-40B4-BE49-F238E27FC236}">
              <a16:creationId xmlns:a16="http://schemas.microsoft.com/office/drawing/2014/main" id="{00000000-0008-0000-0600-00004A000000}"/>
            </a:ext>
          </a:extLst>
        </xdr:cNvPr>
        <xdr:cNvGrpSpPr/>
      </xdr:nvGrpSpPr>
      <xdr:grpSpPr>
        <a:xfrm>
          <a:off x="0" y="0"/>
          <a:ext cx="9778827" cy="3095624"/>
          <a:chOff x="8534400" y="3048000"/>
          <a:chExt cx="9255125" cy="3135912"/>
        </a:xfrm>
      </xdr:grpSpPr>
      <xdr:grpSp>
        <xdr:nvGrpSpPr>
          <xdr:cNvPr id="75" name="Group 74">
            <a:extLst>
              <a:ext uri="{FF2B5EF4-FFF2-40B4-BE49-F238E27FC236}">
                <a16:creationId xmlns:a16="http://schemas.microsoft.com/office/drawing/2014/main" id="{00000000-0008-0000-0600-00004B000000}"/>
              </a:ext>
            </a:extLst>
          </xdr:cNvPr>
          <xdr:cNvGrpSpPr/>
        </xdr:nvGrpSpPr>
        <xdr:grpSpPr>
          <a:xfrm>
            <a:off x="8534400" y="3048000"/>
            <a:ext cx="9255125" cy="3135912"/>
            <a:chOff x="0" y="178596"/>
            <a:chExt cx="9255125" cy="3135912"/>
          </a:xfrm>
        </xdr:grpSpPr>
        <xdr:pic>
          <xdr:nvPicPr>
            <xdr:cNvPr id="77" name="Picture 76">
              <a:extLst>
                <a:ext uri="{FF2B5EF4-FFF2-40B4-BE49-F238E27FC236}">
                  <a16:creationId xmlns:a16="http://schemas.microsoft.com/office/drawing/2014/main" id="{00000000-0008-0000-0600-00004D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78" name="Picture 77">
              <a:extLst>
                <a:ext uri="{FF2B5EF4-FFF2-40B4-BE49-F238E27FC236}">
                  <a16:creationId xmlns:a16="http://schemas.microsoft.com/office/drawing/2014/main" id="{00000000-0008-0000-0600-00004E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79" name="Rectangle 78">
              <a:extLst>
                <a:ext uri="{FF2B5EF4-FFF2-40B4-BE49-F238E27FC236}">
                  <a16:creationId xmlns:a16="http://schemas.microsoft.com/office/drawing/2014/main" id="{00000000-0008-0000-0600-00004F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76" name="TextBox 75">
            <a:extLst>
              <a:ext uri="{FF2B5EF4-FFF2-40B4-BE49-F238E27FC236}">
                <a16:creationId xmlns:a16="http://schemas.microsoft.com/office/drawing/2014/main" id="{00000000-0008-0000-0600-00004C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Drug Acquisition Costs (PAS)</a:t>
            </a:r>
            <a:endParaRPr lang="en-IE" sz="2000">
              <a:solidFill>
                <a:schemeClr val="bg1"/>
              </a:solidFill>
              <a:latin typeface="Calibri" pitchFamily="34" charset="0"/>
              <a:cs typeface="Calibri"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214319</xdr:colOff>
      <xdr:row>0</xdr:row>
      <xdr:rowOff>107162</xdr:rowOff>
    </xdr:from>
    <xdr:to>
      <xdr:col>24</xdr:col>
      <xdr:colOff>5907</xdr:colOff>
      <xdr:row>6</xdr:row>
      <xdr:rowOff>78473</xdr:rowOff>
    </xdr:to>
    <xdr:grpSp>
      <xdr:nvGrpSpPr>
        <xdr:cNvPr id="27" name="Group 26">
          <a:extLst>
            <a:ext uri="{FF2B5EF4-FFF2-40B4-BE49-F238E27FC236}">
              <a16:creationId xmlns:a16="http://schemas.microsoft.com/office/drawing/2014/main" id="{00000000-0008-0000-0700-00001B000000}"/>
            </a:ext>
          </a:extLst>
        </xdr:cNvPr>
        <xdr:cNvGrpSpPr/>
      </xdr:nvGrpSpPr>
      <xdr:grpSpPr>
        <a:xfrm>
          <a:off x="7529519" y="107162"/>
          <a:ext cx="7106788" cy="1114311"/>
          <a:chOff x="8501063" y="2476500"/>
          <a:chExt cx="7078213" cy="1114311"/>
        </a:xfrm>
      </xdr:grpSpPr>
      <xdr:sp macro="[0]!goto_References" textlink="">
        <xdr:nvSpPr>
          <xdr:cNvPr id="28" name="Rounded Rectangle 27">
            <a:extLst>
              <a:ext uri="{FF2B5EF4-FFF2-40B4-BE49-F238E27FC236}">
                <a16:creationId xmlns:a16="http://schemas.microsoft.com/office/drawing/2014/main" id="{00000000-0008-0000-0700-00001C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29" name="Rounded Rectangle 28">
            <a:extLst>
              <a:ext uri="{FF2B5EF4-FFF2-40B4-BE49-F238E27FC236}">
                <a16:creationId xmlns:a16="http://schemas.microsoft.com/office/drawing/2014/main" id="{00000000-0008-0000-0700-00001D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0" name="Rounded Rectangle 29">
            <a:extLst>
              <a:ext uri="{FF2B5EF4-FFF2-40B4-BE49-F238E27FC236}">
                <a16:creationId xmlns:a16="http://schemas.microsoft.com/office/drawing/2014/main" id="{00000000-0008-0000-0700-00001E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1" name="Rounded Rectangle 30">
            <a:extLst>
              <a:ext uri="{FF2B5EF4-FFF2-40B4-BE49-F238E27FC236}">
                <a16:creationId xmlns:a16="http://schemas.microsoft.com/office/drawing/2014/main" id="{00000000-0008-0000-0700-00001F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2" name="Rounded Rectangle 31">
            <a:extLst>
              <a:ext uri="{FF2B5EF4-FFF2-40B4-BE49-F238E27FC236}">
                <a16:creationId xmlns:a16="http://schemas.microsoft.com/office/drawing/2014/main" id="{00000000-0008-0000-0700-000020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3" name="Rounded Rectangle 32">
            <a:extLst>
              <a:ext uri="{FF2B5EF4-FFF2-40B4-BE49-F238E27FC236}">
                <a16:creationId xmlns:a16="http://schemas.microsoft.com/office/drawing/2014/main" id="{00000000-0008-0000-0700-000021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4" name="Rounded Rectangle 33">
            <a:extLst>
              <a:ext uri="{FF2B5EF4-FFF2-40B4-BE49-F238E27FC236}">
                <a16:creationId xmlns:a16="http://schemas.microsoft.com/office/drawing/2014/main" id="{00000000-0008-0000-0700-000022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5" name="Rounded Rectangle 34">
            <a:extLst>
              <a:ext uri="{FF2B5EF4-FFF2-40B4-BE49-F238E27FC236}">
                <a16:creationId xmlns:a16="http://schemas.microsoft.com/office/drawing/2014/main" id="{00000000-0008-0000-0700-000023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46" name="Rounded Rectangle 45">
            <a:extLst>
              <a:ext uri="{FF2B5EF4-FFF2-40B4-BE49-F238E27FC236}">
                <a16:creationId xmlns:a16="http://schemas.microsoft.com/office/drawing/2014/main" id="{00000000-0008-0000-0700-00002E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47" name="Rounded Rectangle 46">
            <a:extLst>
              <a:ext uri="{FF2B5EF4-FFF2-40B4-BE49-F238E27FC236}">
                <a16:creationId xmlns:a16="http://schemas.microsoft.com/office/drawing/2014/main" id="{00000000-0008-0000-0700-00002F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48" name="Rounded Rectangle 47">
            <a:extLst>
              <a:ext uri="{FF2B5EF4-FFF2-40B4-BE49-F238E27FC236}">
                <a16:creationId xmlns:a16="http://schemas.microsoft.com/office/drawing/2014/main" id="{00000000-0008-0000-0700-000030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12</xdr:col>
      <xdr:colOff>29390</xdr:colOff>
      <xdr:row>13</xdr:row>
      <xdr:rowOff>47625</xdr:rowOff>
    </xdr:to>
    <xdr:grpSp>
      <xdr:nvGrpSpPr>
        <xdr:cNvPr id="36" name="Group 35">
          <a:extLst>
            <a:ext uri="{FF2B5EF4-FFF2-40B4-BE49-F238E27FC236}">
              <a16:creationId xmlns:a16="http://schemas.microsoft.com/office/drawing/2014/main" id="{00000000-0008-0000-0700-000024000000}"/>
            </a:ext>
          </a:extLst>
        </xdr:cNvPr>
        <xdr:cNvGrpSpPr/>
      </xdr:nvGrpSpPr>
      <xdr:grpSpPr>
        <a:xfrm>
          <a:off x="0" y="0"/>
          <a:ext cx="7344590" cy="2524125"/>
          <a:chOff x="8534400" y="3048000"/>
          <a:chExt cx="9255125" cy="3135912"/>
        </a:xfrm>
      </xdr:grpSpPr>
      <xdr:grpSp>
        <xdr:nvGrpSpPr>
          <xdr:cNvPr id="37" name="Group 36">
            <a:extLst>
              <a:ext uri="{FF2B5EF4-FFF2-40B4-BE49-F238E27FC236}">
                <a16:creationId xmlns:a16="http://schemas.microsoft.com/office/drawing/2014/main" id="{00000000-0008-0000-0700-000025000000}"/>
              </a:ext>
            </a:extLst>
          </xdr:cNvPr>
          <xdr:cNvGrpSpPr/>
        </xdr:nvGrpSpPr>
        <xdr:grpSpPr>
          <a:xfrm>
            <a:off x="8534400" y="3048000"/>
            <a:ext cx="9255125" cy="3135912"/>
            <a:chOff x="0" y="178596"/>
            <a:chExt cx="9255125" cy="3135912"/>
          </a:xfrm>
        </xdr:grpSpPr>
        <xdr:pic>
          <xdr:nvPicPr>
            <xdr:cNvPr id="39" name="Picture 38">
              <a:extLst>
                <a:ext uri="{FF2B5EF4-FFF2-40B4-BE49-F238E27FC236}">
                  <a16:creationId xmlns:a16="http://schemas.microsoft.com/office/drawing/2014/main" id="{00000000-0008-0000-0700-000027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0" name="Picture 39">
              <a:extLst>
                <a:ext uri="{FF2B5EF4-FFF2-40B4-BE49-F238E27FC236}">
                  <a16:creationId xmlns:a16="http://schemas.microsoft.com/office/drawing/2014/main" id="{00000000-0008-0000-0700-000028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1" name="Rectangle 40">
              <a:extLst>
                <a:ext uri="{FF2B5EF4-FFF2-40B4-BE49-F238E27FC236}">
                  <a16:creationId xmlns:a16="http://schemas.microsoft.com/office/drawing/2014/main" id="{00000000-0008-0000-0700-000029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400">
                <a:solidFill>
                  <a:schemeClr val="bg1"/>
                </a:solidFill>
                <a:latin typeface="Calibri" pitchFamily="34" charset="0"/>
                <a:cs typeface="Calibri" pitchFamily="34" charset="0"/>
              </a:rPr>
              <a:t>Additional Costs and Cost-offsets</a:t>
            </a:r>
            <a:endParaRPr lang="en-IE" sz="1800">
              <a:solidFill>
                <a:schemeClr val="bg1"/>
              </a:solidFill>
              <a:latin typeface="Calibri" pitchFamily="34" charset="0"/>
              <a:cs typeface="Calibri" pitchFamily="34"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571504</xdr:colOff>
      <xdr:row>0</xdr:row>
      <xdr:rowOff>107161</xdr:rowOff>
    </xdr:from>
    <xdr:to>
      <xdr:col>19</xdr:col>
      <xdr:colOff>601217</xdr:colOff>
      <xdr:row>6</xdr:row>
      <xdr:rowOff>78472</xdr:rowOff>
    </xdr:to>
    <xdr:grpSp>
      <xdr:nvGrpSpPr>
        <xdr:cNvPr id="27" name="Group 26">
          <a:extLst>
            <a:ext uri="{FF2B5EF4-FFF2-40B4-BE49-F238E27FC236}">
              <a16:creationId xmlns:a16="http://schemas.microsoft.com/office/drawing/2014/main" id="{00000000-0008-0000-0800-00001B000000}"/>
            </a:ext>
          </a:extLst>
        </xdr:cNvPr>
        <xdr:cNvGrpSpPr/>
      </xdr:nvGrpSpPr>
      <xdr:grpSpPr>
        <a:xfrm>
          <a:off x="8724904" y="107161"/>
          <a:ext cx="7065513" cy="1114311"/>
          <a:chOff x="8501063" y="2476500"/>
          <a:chExt cx="7078213" cy="1114311"/>
        </a:xfrm>
      </xdr:grpSpPr>
      <xdr:sp macro="[0]!goto_References" textlink="">
        <xdr:nvSpPr>
          <xdr:cNvPr id="28" name="Rounded Rectangle 27">
            <a:extLst>
              <a:ext uri="{FF2B5EF4-FFF2-40B4-BE49-F238E27FC236}">
                <a16:creationId xmlns:a16="http://schemas.microsoft.com/office/drawing/2014/main" id="{00000000-0008-0000-0800-00001C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29" name="Rounded Rectangle 28">
            <a:extLst>
              <a:ext uri="{FF2B5EF4-FFF2-40B4-BE49-F238E27FC236}">
                <a16:creationId xmlns:a16="http://schemas.microsoft.com/office/drawing/2014/main" id="{00000000-0008-0000-0800-00001D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0" name="Rounded Rectangle 29">
            <a:extLst>
              <a:ext uri="{FF2B5EF4-FFF2-40B4-BE49-F238E27FC236}">
                <a16:creationId xmlns:a16="http://schemas.microsoft.com/office/drawing/2014/main" id="{00000000-0008-0000-0800-00001E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1" name="Rounded Rectangle 30">
            <a:extLst>
              <a:ext uri="{FF2B5EF4-FFF2-40B4-BE49-F238E27FC236}">
                <a16:creationId xmlns:a16="http://schemas.microsoft.com/office/drawing/2014/main" id="{00000000-0008-0000-0800-00001F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2" name="Rounded Rectangle 31">
            <a:extLst>
              <a:ext uri="{FF2B5EF4-FFF2-40B4-BE49-F238E27FC236}">
                <a16:creationId xmlns:a16="http://schemas.microsoft.com/office/drawing/2014/main" id="{00000000-0008-0000-0800-000020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3" name="Rounded Rectangle 32">
            <a:extLst>
              <a:ext uri="{FF2B5EF4-FFF2-40B4-BE49-F238E27FC236}">
                <a16:creationId xmlns:a16="http://schemas.microsoft.com/office/drawing/2014/main" id="{00000000-0008-0000-0800-000021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4" name="Rounded Rectangle 33">
            <a:extLst>
              <a:ext uri="{FF2B5EF4-FFF2-40B4-BE49-F238E27FC236}">
                <a16:creationId xmlns:a16="http://schemas.microsoft.com/office/drawing/2014/main" id="{00000000-0008-0000-0800-000022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5" name="Rounded Rectangle 34">
            <a:extLst>
              <a:ext uri="{FF2B5EF4-FFF2-40B4-BE49-F238E27FC236}">
                <a16:creationId xmlns:a16="http://schemas.microsoft.com/office/drawing/2014/main" id="{00000000-0008-0000-0800-000023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61" name="Rounded Rectangle 60">
            <a:extLst>
              <a:ext uri="{FF2B5EF4-FFF2-40B4-BE49-F238E27FC236}">
                <a16:creationId xmlns:a16="http://schemas.microsoft.com/office/drawing/2014/main" id="{00000000-0008-0000-0800-00003D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62" name="Rounded Rectangle 61">
            <a:extLst>
              <a:ext uri="{FF2B5EF4-FFF2-40B4-BE49-F238E27FC236}">
                <a16:creationId xmlns:a16="http://schemas.microsoft.com/office/drawing/2014/main" id="{00000000-0008-0000-0800-00003E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63" name="Rounded Rectangle 62">
            <a:extLst>
              <a:ext uri="{FF2B5EF4-FFF2-40B4-BE49-F238E27FC236}">
                <a16:creationId xmlns:a16="http://schemas.microsoft.com/office/drawing/2014/main" id="{00000000-0008-0000-0800-00003F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10</xdr:col>
      <xdr:colOff>228440</xdr:colOff>
      <xdr:row>14</xdr:row>
      <xdr:rowOff>190499</xdr:rowOff>
    </xdr:to>
    <xdr:grpSp>
      <xdr:nvGrpSpPr>
        <xdr:cNvPr id="36" name="Group 35">
          <a:extLst>
            <a:ext uri="{FF2B5EF4-FFF2-40B4-BE49-F238E27FC236}">
              <a16:creationId xmlns:a16="http://schemas.microsoft.com/office/drawing/2014/main" id="{00000000-0008-0000-0800-000024000000}"/>
            </a:ext>
          </a:extLst>
        </xdr:cNvPr>
        <xdr:cNvGrpSpPr/>
      </xdr:nvGrpSpPr>
      <xdr:grpSpPr>
        <a:xfrm>
          <a:off x="0" y="0"/>
          <a:ext cx="8381840" cy="2857499"/>
          <a:chOff x="8534400" y="3048000"/>
          <a:chExt cx="9255125" cy="3135912"/>
        </a:xfrm>
      </xdr:grpSpPr>
      <xdr:grpSp>
        <xdr:nvGrpSpPr>
          <xdr:cNvPr id="37" name="Group 36">
            <a:extLst>
              <a:ext uri="{FF2B5EF4-FFF2-40B4-BE49-F238E27FC236}">
                <a16:creationId xmlns:a16="http://schemas.microsoft.com/office/drawing/2014/main" id="{00000000-0008-0000-0800-000025000000}"/>
              </a:ext>
            </a:extLst>
          </xdr:cNvPr>
          <xdr:cNvGrpSpPr/>
        </xdr:nvGrpSpPr>
        <xdr:grpSpPr>
          <a:xfrm>
            <a:off x="8534400" y="3048000"/>
            <a:ext cx="9255125" cy="3135912"/>
            <a:chOff x="0" y="178596"/>
            <a:chExt cx="9255125" cy="3135912"/>
          </a:xfrm>
        </xdr:grpSpPr>
        <xdr:pic>
          <xdr:nvPicPr>
            <xdr:cNvPr id="39" name="Picture 38">
              <a:extLst>
                <a:ext uri="{FF2B5EF4-FFF2-40B4-BE49-F238E27FC236}">
                  <a16:creationId xmlns:a16="http://schemas.microsoft.com/office/drawing/2014/main" id="{00000000-0008-0000-0800-000027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0" name="Picture 39">
              <a:extLst>
                <a:ext uri="{FF2B5EF4-FFF2-40B4-BE49-F238E27FC236}">
                  <a16:creationId xmlns:a16="http://schemas.microsoft.com/office/drawing/2014/main" id="{00000000-0008-0000-0800-000028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56" name="Rectangle 55">
              <a:extLst>
                <a:ext uri="{FF2B5EF4-FFF2-40B4-BE49-F238E27FC236}">
                  <a16:creationId xmlns:a16="http://schemas.microsoft.com/office/drawing/2014/main" id="{00000000-0008-0000-0800-000038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38" name="TextBox 37">
            <a:extLst>
              <a:ext uri="{FF2B5EF4-FFF2-40B4-BE49-F238E27FC236}">
                <a16:creationId xmlns:a16="http://schemas.microsoft.com/office/drawing/2014/main" id="{00000000-0008-0000-0800-000026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Results</a:t>
            </a:r>
            <a:endParaRPr lang="en-IE" sz="2000">
              <a:solidFill>
                <a:schemeClr val="bg1"/>
              </a:solidFill>
              <a:latin typeface="Calibri" pitchFamily="34" charset="0"/>
              <a:cs typeface="Calibri"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571505</xdr:colOff>
      <xdr:row>0</xdr:row>
      <xdr:rowOff>107158</xdr:rowOff>
    </xdr:from>
    <xdr:to>
      <xdr:col>19</xdr:col>
      <xdr:colOff>601218</xdr:colOff>
      <xdr:row>6</xdr:row>
      <xdr:rowOff>78469</xdr:rowOff>
    </xdr:to>
    <xdr:grpSp>
      <xdr:nvGrpSpPr>
        <xdr:cNvPr id="27" name="Group 26">
          <a:extLst>
            <a:ext uri="{FF2B5EF4-FFF2-40B4-BE49-F238E27FC236}">
              <a16:creationId xmlns:a16="http://schemas.microsoft.com/office/drawing/2014/main" id="{00000000-0008-0000-0900-00001B000000}"/>
            </a:ext>
          </a:extLst>
        </xdr:cNvPr>
        <xdr:cNvGrpSpPr/>
      </xdr:nvGrpSpPr>
      <xdr:grpSpPr>
        <a:xfrm>
          <a:off x="8724905" y="107158"/>
          <a:ext cx="7065513" cy="1114311"/>
          <a:chOff x="8501063" y="2476500"/>
          <a:chExt cx="7078213" cy="1114311"/>
        </a:xfrm>
      </xdr:grpSpPr>
      <xdr:sp macro="[0]!goto_References" textlink="">
        <xdr:nvSpPr>
          <xdr:cNvPr id="28" name="Rounded Rectangle 27">
            <a:extLst>
              <a:ext uri="{FF2B5EF4-FFF2-40B4-BE49-F238E27FC236}">
                <a16:creationId xmlns:a16="http://schemas.microsoft.com/office/drawing/2014/main" id="{00000000-0008-0000-0900-00001C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29" name="Rounded Rectangle 28">
            <a:extLst>
              <a:ext uri="{FF2B5EF4-FFF2-40B4-BE49-F238E27FC236}">
                <a16:creationId xmlns:a16="http://schemas.microsoft.com/office/drawing/2014/main" id="{00000000-0008-0000-0900-00001D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0" name="Rounded Rectangle 29">
            <a:extLst>
              <a:ext uri="{FF2B5EF4-FFF2-40B4-BE49-F238E27FC236}">
                <a16:creationId xmlns:a16="http://schemas.microsoft.com/office/drawing/2014/main" id="{00000000-0008-0000-0900-00001E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1" name="Rounded Rectangle 30">
            <a:extLst>
              <a:ext uri="{FF2B5EF4-FFF2-40B4-BE49-F238E27FC236}">
                <a16:creationId xmlns:a16="http://schemas.microsoft.com/office/drawing/2014/main" id="{00000000-0008-0000-0900-00001F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2" name="Rounded Rectangle 31">
            <a:extLst>
              <a:ext uri="{FF2B5EF4-FFF2-40B4-BE49-F238E27FC236}">
                <a16:creationId xmlns:a16="http://schemas.microsoft.com/office/drawing/2014/main" id="{00000000-0008-0000-0900-000020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3" name="Rounded Rectangle 32">
            <a:extLst>
              <a:ext uri="{FF2B5EF4-FFF2-40B4-BE49-F238E27FC236}">
                <a16:creationId xmlns:a16="http://schemas.microsoft.com/office/drawing/2014/main" id="{00000000-0008-0000-0900-000021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4" name="Rounded Rectangle 33">
            <a:extLst>
              <a:ext uri="{FF2B5EF4-FFF2-40B4-BE49-F238E27FC236}">
                <a16:creationId xmlns:a16="http://schemas.microsoft.com/office/drawing/2014/main" id="{00000000-0008-0000-0900-000022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5" name="Rounded Rectangle 34">
            <a:extLst>
              <a:ext uri="{FF2B5EF4-FFF2-40B4-BE49-F238E27FC236}">
                <a16:creationId xmlns:a16="http://schemas.microsoft.com/office/drawing/2014/main" id="{00000000-0008-0000-0900-000023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36" name="Rounded Rectangle 35">
            <a:extLst>
              <a:ext uri="{FF2B5EF4-FFF2-40B4-BE49-F238E27FC236}">
                <a16:creationId xmlns:a16="http://schemas.microsoft.com/office/drawing/2014/main" id="{00000000-0008-0000-0900-000024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37" name="Rounded Rectangle 36">
            <a:extLst>
              <a:ext uri="{FF2B5EF4-FFF2-40B4-BE49-F238E27FC236}">
                <a16:creationId xmlns:a16="http://schemas.microsoft.com/office/drawing/2014/main" id="{00000000-0008-0000-0900-000025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38" name="Rounded Rectangle 37">
            <a:extLst>
              <a:ext uri="{FF2B5EF4-FFF2-40B4-BE49-F238E27FC236}">
                <a16:creationId xmlns:a16="http://schemas.microsoft.com/office/drawing/2014/main" id="{00000000-0008-0000-0900-000026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10</xdr:col>
      <xdr:colOff>228440</xdr:colOff>
      <xdr:row>14</xdr:row>
      <xdr:rowOff>190499</xdr:rowOff>
    </xdr:to>
    <xdr:grpSp>
      <xdr:nvGrpSpPr>
        <xdr:cNvPr id="39" name="Group 38">
          <a:extLst>
            <a:ext uri="{FF2B5EF4-FFF2-40B4-BE49-F238E27FC236}">
              <a16:creationId xmlns:a16="http://schemas.microsoft.com/office/drawing/2014/main" id="{00000000-0008-0000-0900-000027000000}"/>
            </a:ext>
          </a:extLst>
        </xdr:cNvPr>
        <xdr:cNvGrpSpPr/>
      </xdr:nvGrpSpPr>
      <xdr:grpSpPr>
        <a:xfrm>
          <a:off x="0" y="0"/>
          <a:ext cx="8381840" cy="2857499"/>
          <a:chOff x="8534400" y="3048000"/>
          <a:chExt cx="9255125" cy="3135912"/>
        </a:xfrm>
      </xdr:grpSpPr>
      <xdr:grpSp>
        <xdr:nvGrpSpPr>
          <xdr:cNvPr id="40" name="Group 39">
            <a:extLst>
              <a:ext uri="{FF2B5EF4-FFF2-40B4-BE49-F238E27FC236}">
                <a16:creationId xmlns:a16="http://schemas.microsoft.com/office/drawing/2014/main" id="{00000000-0008-0000-0900-000028000000}"/>
              </a:ext>
            </a:extLst>
          </xdr:cNvPr>
          <xdr:cNvGrpSpPr/>
        </xdr:nvGrpSpPr>
        <xdr:grpSpPr>
          <a:xfrm>
            <a:off x="8534400" y="3048000"/>
            <a:ext cx="9255125" cy="3135912"/>
            <a:chOff x="0" y="178596"/>
            <a:chExt cx="9255125" cy="3135912"/>
          </a:xfrm>
        </xdr:grpSpPr>
        <xdr:pic>
          <xdr:nvPicPr>
            <xdr:cNvPr id="42" name="Picture 41">
              <a:extLst>
                <a:ext uri="{FF2B5EF4-FFF2-40B4-BE49-F238E27FC236}">
                  <a16:creationId xmlns:a16="http://schemas.microsoft.com/office/drawing/2014/main" id="{00000000-0008-0000-0900-00002A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3" name="Picture 42">
              <a:extLst>
                <a:ext uri="{FF2B5EF4-FFF2-40B4-BE49-F238E27FC236}">
                  <a16:creationId xmlns:a16="http://schemas.microsoft.com/office/drawing/2014/main" id="{00000000-0008-0000-0900-00002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4" name="Rectangle 43">
              <a:extLst>
                <a:ext uri="{FF2B5EF4-FFF2-40B4-BE49-F238E27FC236}">
                  <a16:creationId xmlns:a16="http://schemas.microsoft.com/office/drawing/2014/main" id="{00000000-0008-0000-0900-00002C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41" name="TextBox 40">
            <a:extLst>
              <a:ext uri="{FF2B5EF4-FFF2-40B4-BE49-F238E27FC236}">
                <a16:creationId xmlns:a16="http://schemas.microsoft.com/office/drawing/2014/main" id="{00000000-0008-0000-0900-000029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Results (PAS)</a:t>
            </a:r>
            <a:endParaRPr lang="en-IE" sz="2000">
              <a:solidFill>
                <a:schemeClr val="bg1"/>
              </a:solidFill>
              <a:latin typeface="Calibri" pitchFamily="34" charset="0"/>
              <a:cs typeface="Calibri" pitchFamily="34" charset="0"/>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202408</xdr:colOff>
      <xdr:row>0</xdr:row>
      <xdr:rowOff>107158</xdr:rowOff>
    </xdr:from>
    <xdr:to>
      <xdr:col>23</xdr:col>
      <xdr:colOff>601215</xdr:colOff>
      <xdr:row>6</xdr:row>
      <xdr:rowOff>78469</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7835108" y="107158"/>
          <a:ext cx="7104407" cy="1114311"/>
          <a:chOff x="8501063" y="2476500"/>
          <a:chExt cx="7078213" cy="1114311"/>
        </a:xfrm>
      </xdr:grpSpPr>
      <xdr:sp macro="[0]!goto_References" textlink="">
        <xdr:nvSpPr>
          <xdr:cNvPr id="28" name="Rounded Rectangle 27">
            <a:extLst>
              <a:ext uri="{FF2B5EF4-FFF2-40B4-BE49-F238E27FC236}">
                <a16:creationId xmlns:a16="http://schemas.microsoft.com/office/drawing/2014/main" id="{00000000-0008-0000-0A00-00001C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29" name="Rounded Rectangle 28">
            <a:extLst>
              <a:ext uri="{FF2B5EF4-FFF2-40B4-BE49-F238E27FC236}">
                <a16:creationId xmlns:a16="http://schemas.microsoft.com/office/drawing/2014/main" id="{00000000-0008-0000-0A00-00001D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0" name="Rounded Rectangle 29">
            <a:extLst>
              <a:ext uri="{FF2B5EF4-FFF2-40B4-BE49-F238E27FC236}">
                <a16:creationId xmlns:a16="http://schemas.microsoft.com/office/drawing/2014/main" id="{00000000-0008-0000-0A00-00001E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31" name="Rounded Rectangle 30">
            <a:extLst>
              <a:ext uri="{FF2B5EF4-FFF2-40B4-BE49-F238E27FC236}">
                <a16:creationId xmlns:a16="http://schemas.microsoft.com/office/drawing/2014/main" id="{00000000-0008-0000-0A00-00001F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32" name="Rounded Rectangle 31">
            <a:extLst>
              <a:ext uri="{FF2B5EF4-FFF2-40B4-BE49-F238E27FC236}">
                <a16:creationId xmlns:a16="http://schemas.microsoft.com/office/drawing/2014/main" id="{00000000-0008-0000-0A00-000020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33" name="Rounded Rectangle 32">
            <a:extLst>
              <a:ext uri="{FF2B5EF4-FFF2-40B4-BE49-F238E27FC236}">
                <a16:creationId xmlns:a16="http://schemas.microsoft.com/office/drawing/2014/main" id="{00000000-0008-0000-0A00-000021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34" name="Rounded Rectangle 33">
            <a:extLst>
              <a:ext uri="{FF2B5EF4-FFF2-40B4-BE49-F238E27FC236}">
                <a16:creationId xmlns:a16="http://schemas.microsoft.com/office/drawing/2014/main" id="{00000000-0008-0000-0A00-000022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35" name="Rounded Rectangle 34">
            <a:extLst>
              <a:ext uri="{FF2B5EF4-FFF2-40B4-BE49-F238E27FC236}">
                <a16:creationId xmlns:a16="http://schemas.microsoft.com/office/drawing/2014/main" id="{00000000-0008-0000-0A00-000023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46" name="Rounded Rectangle 45">
            <a:extLst>
              <a:ext uri="{FF2B5EF4-FFF2-40B4-BE49-F238E27FC236}">
                <a16:creationId xmlns:a16="http://schemas.microsoft.com/office/drawing/2014/main" id="{00000000-0008-0000-0A00-00002E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47" name="Rounded Rectangle 46">
            <a:extLst>
              <a:ext uri="{FF2B5EF4-FFF2-40B4-BE49-F238E27FC236}">
                <a16:creationId xmlns:a16="http://schemas.microsoft.com/office/drawing/2014/main" id="{00000000-0008-0000-0A00-00002F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48" name="Rounded Rectangle 47">
            <a:extLst>
              <a:ext uri="{FF2B5EF4-FFF2-40B4-BE49-F238E27FC236}">
                <a16:creationId xmlns:a16="http://schemas.microsoft.com/office/drawing/2014/main" id="{00000000-0008-0000-0A00-000030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11</xdr:col>
      <xdr:colOff>542925</xdr:colOff>
      <xdr:row>13</xdr:row>
      <xdr:rowOff>124076</xdr:rowOff>
    </xdr:to>
    <xdr:grpSp>
      <xdr:nvGrpSpPr>
        <xdr:cNvPr id="36" name="Group 35">
          <a:extLst>
            <a:ext uri="{FF2B5EF4-FFF2-40B4-BE49-F238E27FC236}">
              <a16:creationId xmlns:a16="http://schemas.microsoft.com/office/drawing/2014/main" id="{00000000-0008-0000-0A00-000024000000}"/>
            </a:ext>
          </a:extLst>
        </xdr:cNvPr>
        <xdr:cNvGrpSpPr/>
      </xdr:nvGrpSpPr>
      <xdr:grpSpPr>
        <a:xfrm>
          <a:off x="0" y="0"/>
          <a:ext cx="7566025" cy="2600576"/>
          <a:chOff x="8534400" y="3048000"/>
          <a:chExt cx="9255125" cy="3135912"/>
        </a:xfrm>
      </xdr:grpSpPr>
      <xdr:grpSp>
        <xdr:nvGrpSpPr>
          <xdr:cNvPr id="37" name="Group 36">
            <a:extLst>
              <a:ext uri="{FF2B5EF4-FFF2-40B4-BE49-F238E27FC236}">
                <a16:creationId xmlns:a16="http://schemas.microsoft.com/office/drawing/2014/main" id="{00000000-0008-0000-0A00-000025000000}"/>
              </a:ext>
            </a:extLst>
          </xdr:cNvPr>
          <xdr:cNvGrpSpPr/>
        </xdr:nvGrpSpPr>
        <xdr:grpSpPr>
          <a:xfrm>
            <a:off x="8534400" y="3048000"/>
            <a:ext cx="9255125" cy="3135912"/>
            <a:chOff x="0" y="178596"/>
            <a:chExt cx="9255125" cy="3135912"/>
          </a:xfrm>
        </xdr:grpSpPr>
        <xdr:pic>
          <xdr:nvPicPr>
            <xdr:cNvPr id="39" name="Picture 38">
              <a:extLst>
                <a:ext uri="{FF2B5EF4-FFF2-40B4-BE49-F238E27FC236}">
                  <a16:creationId xmlns:a16="http://schemas.microsoft.com/office/drawing/2014/main" id="{00000000-0008-0000-0A00-000027000000}"/>
                </a:ext>
              </a:extLst>
            </xdr:cNvPr>
            <xdr:cNvPicPr>
              <a:picLocks noChangeAspect="1"/>
            </xdr:cNvPicPr>
          </xdr:nvPicPr>
          <xdr:blipFill rotWithShape="1">
            <a:blip xmlns:r="http://schemas.openxmlformats.org/officeDocument/2006/relationships" r:embed="rId1"/>
            <a:srcRect l="42872" t="22160" r="2391" b="24615"/>
            <a:stretch/>
          </xdr:blipFill>
          <xdr:spPr>
            <a:xfrm>
              <a:off x="1" y="1405204"/>
              <a:ext cx="9197213" cy="1907170"/>
            </a:xfrm>
            <a:prstGeom prst="rect">
              <a:avLst/>
            </a:prstGeom>
          </xdr:spPr>
        </xdr:pic>
        <xdr:pic>
          <xdr:nvPicPr>
            <xdr:cNvPr id="40" name="Picture 39">
              <a:extLst>
                <a:ext uri="{FF2B5EF4-FFF2-40B4-BE49-F238E27FC236}">
                  <a16:creationId xmlns:a16="http://schemas.microsoft.com/office/drawing/2014/main" id="{00000000-0008-0000-0A00-000028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1" name="Rectangle 40">
              <a:extLst>
                <a:ext uri="{FF2B5EF4-FFF2-40B4-BE49-F238E27FC236}">
                  <a16:creationId xmlns:a16="http://schemas.microsoft.com/office/drawing/2014/main" id="{00000000-0008-0000-0A00-000029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38" name="TextBox 37">
            <a:extLst>
              <a:ext uri="{FF2B5EF4-FFF2-40B4-BE49-F238E27FC236}">
                <a16:creationId xmlns:a16="http://schemas.microsoft.com/office/drawing/2014/main" id="{00000000-0008-0000-0A00-000026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References</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218665</xdr:colOff>
      <xdr:row>20</xdr:row>
      <xdr:rowOff>107157</xdr:rowOff>
    </xdr:from>
    <xdr:to>
      <xdr:col>4</xdr:col>
      <xdr:colOff>244481</xdr:colOff>
      <xdr:row>23</xdr:row>
      <xdr:rowOff>0</xdr:rowOff>
    </xdr:to>
    <xdr:sp macro="[0]!BI_OWSA" textlink="">
      <xdr:nvSpPr>
        <xdr:cNvPr id="45" name="Rounded Rectangle 44">
          <a:extLst>
            <a:ext uri="{FF2B5EF4-FFF2-40B4-BE49-F238E27FC236}">
              <a16:creationId xmlns:a16="http://schemas.microsoft.com/office/drawing/2014/main" id="{00000000-0008-0000-0B00-00002D000000}"/>
            </a:ext>
          </a:extLst>
        </xdr:cNvPr>
        <xdr:cNvSpPr/>
      </xdr:nvSpPr>
      <xdr:spPr>
        <a:xfrm>
          <a:off x="2647540" y="3917157"/>
          <a:ext cx="1240254" cy="504825"/>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Run Sensitivity Analysis</a:t>
          </a:r>
        </a:p>
      </xdr:txBody>
    </xdr:sp>
    <xdr:clientData/>
  </xdr:twoCellAnchor>
  <xdr:twoCellAnchor>
    <xdr:from>
      <xdr:col>1</xdr:col>
      <xdr:colOff>172638</xdr:colOff>
      <xdr:row>53</xdr:row>
      <xdr:rowOff>9524</xdr:rowOff>
    </xdr:from>
    <xdr:to>
      <xdr:col>11</xdr:col>
      <xdr:colOff>214312</xdr:colOff>
      <xdr:row>80</xdr:row>
      <xdr:rowOff>126999</xdr:rowOff>
    </xdr:to>
    <xdr:graphicFrame macro="">
      <xdr:nvGraphicFramePr>
        <xdr:cNvPr id="2" name="GBI">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200138</xdr:colOff>
      <xdr:row>81</xdr:row>
      <xdr:rowOff>52729</xdr:rowOff>
    </xdr:from>
    <xdr:to>
      <xdr:col>11</xdr:col>
      <xdr:colOff>241812</xdr:colOff>
      <xdr:row>108</xdr:row>
      <xdr:rowOff>189480</xdr:rowOff>
    </xdr:to>
    <xdr:graphicFrame macro="">
      <xdr:nvGraphicFramePr>
        <xdr:cNvPr id="36" name="NDBI">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172357</xdr:colOff>
      <xdr:row>134</xdr:row>
      <xdr:rowOff>51254</xdr:rowOff>
    </xdr:from>
    <xdr:to>
      <xdr:col>11</xdr:col>
      <xdr:colOff>214031</xdr:colOff>
      <xdr:row>161</xdr:row>
      <xdr:rowOff>188005</xdr:rowOff>
    </xdr:to>
    <xdr:graphicFrame macro="">
      <xdr:nvGraphicFramePr>
        <xdr:cNvPr id="37" name="NBI">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571500</xdr:colOff>
      <xdr:row>20</xdr:row>
      <xdr:rowOff>111125</xdr:rowOff>
    </xdr:from>
    <xdr:to>
      <xdr:col>5</xdr:col>
      <xdr:colOff>809625</xdr:colOff>
      <xdr:row>23</xdr:row>
      <xdr:rowOff>3968</xdr:rowOff>
    </xdr:to>
    <xdr:sp macro="[0]!Reset" textlink="">
      <xdr:nvSpPr>
        <xdr:cNvPr id="31" name="Rounded Rectangle 30">
          <a:extLst>
            <a:ext uri="{FF2B5EF4-FFF2-40B4-BE49-F238E27FC236}">
              <a16:creationId xmlns:a16="http://schemas.microsoft.com/office/drawing/2014/main" id="{00000000-0008-0000-0B00-00001F000000}"/>
            </a:ext>
          </a:extLst>
        </xdr:cNvPr>
        <xdr:cNvSpPr/>
      </xdr:nvSpPr>
      <xdr:spPr>
        <a:xfrm>
          <a:off x="8556625" y="3921125"/>
          <a:ext cx="1571625" cy="464343"/>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100" b="1">
              <a:solidFill>
                <a:sysClr val="windowText" lastClr="000000"/>
              </a:solidFill>
            </a:rPr>
            <a:t>Reset</a:t>
          </a:r>
        </a:p>
      </xdr:txBody>
    </xdr:sp>
    <xdr:clientData/>
  </xdr:twoCellAnchor>
  <xdr:twoCellAnchor>
    <xdr:from>
      <xdr:col>4</xdr:col>
      <xdr:colOff>571500</xdr:colOff>
      <xdr:row>0</xdr:row>
      <xdr:rowOff>171450</xdr:rowOff>
    </xdr:from>
    <xdr:to>
      <xdr:col>13</xdr:col>
      <xdr:colOff>639313</xdr:colOff>
      <xdr:row>6</xdr:row>
      <xdr:rowOff>142761</xdr:rowOff>
    </xdr:to>
    <xdr:grpSp>
      <xdr:nvGrpSpPr>
        <xdr:cNvPr id="32" name="Group 31">
          <a:extLst>
            <a:ext uri="{FF2B5EF4-FFF2-40B4-BE49-F238E27FC236}">
              <a16:creationId xmlns:a16="http://schemas.microsoft.com/office/drawing/2014/main" id="{00000000-0008-0000-0B00-000020000000}"/>
            </a:ext>
          </a:extLst>
        </xdr:cNvPr>
        <xdr:cNvGrpSpPr/>
      </xdr:nvGrpSpPr>
      <xdr:grpSpPr>
        <a:xfrm>
          <a:off x="7556500" y="171450"/>
          <a:ext cx="7052813" cy="1114311"/>
          <a:chOff x="8501063" y="2476500"/>
          <a:chExt cx="7078213" cy="1114311"/>
        </a:xfrm>
      </xdr:grpSpPr>
      <xdr:sp macro="[0]!goto_References" textlink="">
        <xdr:nvSpPr>
          <xdr:cNvPr id="33" name="Rounded Rectangle 32">
            <a:extLst>
              <a:ext uri="{FF2B5EF4-FFF2-40B4-BE49-F238E27FC236}">
                <a16:creationId xmlns:a16="http://schemas.microsoft.com/office/drawing/2014/main" id="{00000000-0008-0000-0B00-000021000000}"/>
              </a:ext>
            </a:extLst>
          </xdr:cNvPr>
          <xdr:cNvSpPr/>
        </xdr:nvSpPr>
        <xdr:spPr>
          <a:xfrm>
            <a:off x="13275467" y="3083722"/>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References</a:t>
            </a:r>
          </a:p>
        </xdr:txBody>
      </xdr:sp>
      <xdr:sp macro="[0]!goto_Title" textlink="">
        <xdr:nvSpPr>
          <xdr:cNvPr id="34" name="Rounded Rectangle 33">
            <a:extLst>
              <a:ext uri="{FF2B5EF4-FFF2-40B4-BE49-F238E27FC236}">
                <a16:creationId xmlns:a16="http://schemas.microsoft.com/office/drawing/2014/main" id="{00000000-0008-0000-0B00-000022000000}"/>
              </a:ext>
            </a:extLst>
          </xdr:cNvPr>
          <xdr:cNvSpPr/>
        </xdr:nvSpPr>
        <xdr:spPr>
          <a:xfrm>
            <a:off x="8501063"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Title Page</a:t>
            </a:r>
          </a:p>
        </xdr:txBody>
      </xdr:sp>
      <xdr:sp macro="[0]!goto_Instructions" textlink="">
        <xdr:nvSpPr>
          <xdr:cNvPr id="35" name="Rounded Rectangle 34">
            <a:extLst>
              <a:ext uri="{FF2B5EF4-FFF2-40B4-BE49-F238E27FC236}">
                <a16:creationId xmlns:a16="http://schemas.microsoft.com/office/drawing/2014/main" id="{00000000-0008-0000-0B00-000023000000}"/>
              </a:ext>
            </a:extLst>
          </xdr:cNvPr>
          <xdr:cNvSpPr/>
        </xdr:nvSpPr>
        <xdr:spPr>
          <a:xfrm>
            <a:off x="8501063"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Instructions</a:t>
            </a:r>
          </a:p>
        </xdr:txBody>
      </xdr:sp>
      <xdr:sp macro="[0]!goto_Irish_Pop" textlink="">
        <xdr:nvSpPr>
          <xdr:cNvPr id="46" name="Rounded Rectangle 45">
            <a:extLst>
              <a:ext uri="{FF2B5EF4-FFF2-40B4-BE49-F238E27FC236}">
                <a16:creationId xmlns:a16="http://schemas.microsoft.com/office/drawing/2014/main" id="{00000000-0008-0000-0B00-00002E000000}"/>
              </a:ext>
            </a:extLst>
          </xdr:cNvPr>
          <xdr:cNvSpPr/>
        </xdr:nvSpPr>
        <xdr:spPr>
          <a:xfrm>
            <a:off x="9691683" y="2476503"/>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E" sz="1000" b="1">
                <a:solidFill>
                  <a:sysClr val="windowText" lastClr="000000"/>
                </a:solidFill>
              </a:rPr>
              <a:t>Irish Population Estimates</a:t>
            </a:r>
          </a:p>
        </xdr:txBody>
      </xdr:sp>
      <xdr:sp macro="[0]!goto_Patient_Pop" textlink="">
        <xdr:nvSpPr>
          <xdr:cNvPr id="47" name="Rounded Rectangle 46">
            <a:extLst>
              <a:ext uri="{FF2B5EF4-FFF2-40B4-BE49-F238E27FC236}">
                <a16:creationId xmlns:a16="http://schemas.microsoft.com/office/drawing/2014/main" id="{00000000-0008-0000-0B00-00002F000000}"/>
              </a:ext>
            </a:extLst>
          </xdr:cNvPr>
          <xdr:cNvSpPr/>
        </xdr:nvSpPr>
        <xdr:spPr>
          <a:xfrm>
            <a:off x="9691688" y="3083710"/>
            <a:ext cx="1113183"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Patient Population</a:t>
            </a:r>
          </a:p>
        </xdr:txBody>
      </xdr:sp>
      <xdr:sp macro="[0]!goto_Drug_Costs" textlink="">
        <xdr:nvSpPr>
          <xdr:cNvPr id="48" name="Rounded Rectangle 47">
            <a:extLst>
              <a:ext uri="{FF2B5EF4-FFF2-40B4-BE49-F238E27FC236}">
                <a16:creationId xmlns:a16="http://schemas.microsoft.com/office/drawing/2014/main" id="{00000000-0008-0000-0B00-000030000000}"/>
              </a:ext>
            </a:extLst>
          </xdr:cNvPr>
          <xdr:cNvSpPr/>
        </xdr:nvSpPr>
        <xdr:spPr>
          <a:xfrm>
            <a:off x="10882310" y="2476504"/>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a:t>
            </a:r>
          </a:p>
        </xdr:txBody>
      </xdr:sp>
      <xdr:sp macro="[0]!goto_Drug_Costs_PAS" textlink="">
        <xdr:nvSpPr>
          <xdr:cNvPr id="49" name="Rounded Rectangle 48">
            <a:extLst>
              <a:ext uri="{FF2B5EF4-FFF2-40B4-BE49-F238E27FC236}">
                <a16:creationId xmlns:a16="http://schemas.microsoft.com/office/drawing/2014/main" id="{00000000-0008-0000-0B00-000031000000}"/>
              </a:ext>
            </a:extLst>
          </xdr:cNvPr>
          <xdr:cNvSpPr/>
        </xdr:nvSpPr>
        <xdr:spPr>
          <a:xfrm>
            <a:off x="10882314" y="3083717"/>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Drug Acquisition Costs (PAS)</a:t>
            </a:r>
          </a:p>
        </xdr:txBody>
      </xdr:sp>
      <xdr:sp macro="[0]!goto_Additional_Cost" textlink="">
        <xdr:nvSpPr>
          <xdr:cNvPr id="50" name="Rounded Rectangle 49">
            <a:extLst>
              <a:ext uri="{FF2B5EF4-FFF2-40B4-BE49-F238E27FC236}">
                <a16:creationId xmlns:a16="http://schemas.microsoft.com/office/drawing/2014/main" id="{00000000-0008-0000-0B00-000032000000}"/>
              </a:ext>
            </a:extLst>
          </xdr:cNvPr>
          <xdr:cNvSpPr/>
        </xdr:nvSpPr>
        <xdr:spPr>
          <a:xfrm>
            <a:off x="12072934"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Additional Costs and</a:t>
            </a:r>
            <a:r>
              <a:rPr lang="en-IE" sz="1000" b="1" baseline="0">
                <a:solidFill>
                  <a:sysClr val="windowText" lastClr="000000"/>
                </a:solidFill>
              </a:rPr>
              <a:t> Cost-Offsets</a:t>
            </a:r>
            <a:endParaRPr lang="en-IE" sz="1000" b="1">
              <a:solidFill>
                <a:sysClr val="windowText" lastClr="000000"/>
              </a:solidFill>
            </a:endParaRPr>
          </a:p>
        </xdr:txBody>
      </xdr:sp>
      <xdr:sp macro="[0]!goto_Results" textlink="">
        <xdr:nvSpPr>
          <xdr:cNvPr id="51" name="Rounded Rectangle 50">
            <a:extLst>
              <a:ext uri="{FF2B5EF4-FFF2-40B4-BE49-F238E27FC236}">
                <a16:creationId xmlns:a16="http://schemas.microsoft.com/office/drawing/2014/main" id="{00000000-0008-0000-0B00-000033000000}"/>
              </a:ext>
            </a:extLst>
          </xdr:cNvPr>
          <xdr:cNvSpPr/>
        </xdr:nvSpPr>
        <xdr:spPr>
          <a:xfrm>
            <a:off x="12072932" y="3083720"/>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a:t>
            </a:r>
          </a:p>
        </xdr:txBody>
      </xdr:sp>
      <xdr:sp macro="[0]!goto_Results_PAS" textlink="">
        <xdr:nvSpPr>
          <xdr:cNvPr id="52" name="Rounded Rectangle 51">
            <a:extLst>
              <a:ext uri="{FF2B5EF4-FFF2-40B4-BE49-F238E27FC236}">
                <a16:creationId xmlns:a16="http://schemas.microsoft.com/office/drawing/2014/main" id="{00000000-0008-0000-0B00-000034000000}"/>
              </a:ext>
            </a:extLst>
          </xdr:cNvPr>
          <xdr:cNvSpPr/>
        </xdr:nvSpPr>
        <xdr:spPr>
          <a:xfrm>
            <a:off x="13275465" y="2476504"/>
            <a:ext cx="1116741"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Results (PAS)</a:t>
            </a:r>
          </a:p>
        </xdr:txBody>
      </xdr:sp>
      <xdr:sp macro="[0]!goto_Uncertainty" textlink="">
        <xdr:nvSpPr>
          <xdr:cNvPr id="53" name="Rounded Rectangle 52">
            <a:extLst>
              <a:ext uri="{FF2B5EF4-FFF2-40B4-BE49-F238E27FC236}">
                <a16:creationId xmlns:a16="http://schemas.microsoft.com/office/drawing/2014/main" id="{00000000-0008-0000-0B00-000035000000}"/>
              </a:ext>
            </a:extLst>
          </xdr:cNvPr>
          <xdr:cNvSpPr/>
        </xdr:nvSpPr>
        <xdr:spPr>
          <a:xfrm>
            <a:off x="14466092" y="2476500"/>
            <a:ext cx="1113184" cy="507089"/>
          </a:xfrm>
          <a:prstGeom prst="roundRect">
            <a:avLst/>
          </a:prstGeom>
          <a:noFill/>
          <a:ln>
            <a:solidFill>
              <a:srgbClr val="2A31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E" sz="1000" b="1">
                <a:solidFill>
                  <a:sysClr val="windowText" lastClr="000000"/>
                </a:solidFill>
              </a:rPr>
              <a:t>Analysis of Uncertainty</a:t>
            </a:r>
          </a:p>
        </xdr:txBody>
      </xdr:sp>
    </xdr:grpSp>
    <xdr:clientData/>
  </xdr:twoCellAnchor>
  <xdr:twoCellAnchor>
    <xdr:from>
      <xdr:col>0</xdr:col>
      <xdr:colOff>0</xdr:colOff>
      <xdr:row>0</xdr:row>
      <xdr:rowOff>0</xdr:rowOff>
    </xdr:from>
    <xdr:to>
      <xdr:col>4</xdr:col>
      <xdr:colOff>376695</xdr:colOff>
      <xdr:row>13</xdr:row>
      <xdr:rowOff>34925</xdr:rowOff>
    </xdr:to>
    <xdr:grpSp>
      <xdr:nvGrpSpPr>
        <xdr:cNvPr id="38" name="Group 37">
          <a:extLst>
            <a:ext uri="{FF2B5EF4-FFF2-40B4-BE49-F238E27FC236}">
              <a16:creationId xmlns:a16="http://schemas.microsoft.com/office/drawing/2014/main" id="{00000000-0008-0000-0B00-000026000000}"/>
            </a:ext>
          </a:extLst>
        </xdr:cNvPr>
        <xdr:cNvGrpSpPr/>
      </xdr:nvGrpSpPr>
      <xdr:grpSpPr>
        <a:xfrm>
          <a:off x="0" y="0"/>
          <a:ext cx="7361695" cy="2511425"/>
          <a:chOff x="8534400" y="3048000"/>
          <a:chExt cx="9255125" cy="3135912"/>
        </a:xfrm>
      </xdr:grpSpPr>
      <xdr:grpSp>
        <xdr:nvGrpSpPr>
          <xdr:cNvPr id="39" name="Group 38">
            <a:extLst>
              <a:ext uri="{FF2B5EF4-FFF2-40B4-BE49-F238E27FC236}">
                <a16:creationId xmlns:a16="http://schemas.microsoft.com/office/drawing/2014/main" id="{00000000-0008-0000-0B00-000027000000}"/>
              </a:ext>
            </a:extLst>
          </xdr:cNvPr>
          <xdr:cNvGrpSpPr/>
        </xdr:nvGrpSpPr>
        <xdr:grpSpPr>
          <a:xfrm>
            <a:off x="8534400" y="3048000"/>
            <a:ext cx="9255125" cy="3135912"/>
            <a:chOff x="0" y="178596"/>
            <a:chExt cx="9255125" cy="3135912"/>
          </a:xfrm>
        </xdr:grpSpPr>
        <xdr:pic>
          <xdr:nvPicPr>
            <xdr:cNvPr id="41" name="Picture 40">
              <a:extLst>
                <a:ext uri="{FF2B5EF4-FFF2-40B4-BE49-F238E27FC236}">
                  <a16:creationId xmlns:a16="http://schemas.microsoft.com/office/drawing/2014/main" id="{00000000-0008-0000-0B00-000029000000}"/>
                </a:ext>
              </a:extLst>
            </xdr:cNvPr>
            <xdr:cNvPicPr>
              <a:picLocks noChangeAspect="1"/>
            </xdr:cNvPicPr>
          </xdr:nvPicPr>
          <xdr:blipFill rotWithShape="1">
            <a:blip xmlns:r="http://schemas.openxmlformats.org/officeDocument/2006/relationships" r:embed="rId4"/>
            <a:srcRect l="42872" t="22160" r="2391" b="24615"/>
            <a:stretch/>
          </xdr:blipFill>
          <xdr:spPr>
            <a:xfrm>
              <a:off x="1" y="1405204"/>
              <a:ext cx="9197213" cy="1907170"/>
            </a:xfrm>
            <a:prstGeom prst="rect">
              <a:avLst/>
            </a:prstGeom>
          </xdr:spPr>
        </xdr:pic>
        <xdr:pic>
          <xdr:nvPicPr>
            <xdr:cNvPr id="42" name="Picture 41">
              <a:extLst>
                <a:ext uri="{FF2B5EF4-FFF2-40B4-BE49-F238E27FC236}">
                  <a16:creationId xmlns:a16="http://schemas.microsoft.com/office/drawing/2014/main" id="{00000000-0008-0000-0B00-00002A000000}"/>
                </a:ext>
              </a:extLst>
            </xdr:cNvPr>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8438" t="13255" r="14909" b="10162"/>
            <a:stretch/>
          </xdr:blipFill>
          <xdr:spPr>
            <a:xfrm>
              <a:off x="6626488" y="178596"/>
              <a:ext cx="2628637" cy="1240895"/>
            </a:xfrm>
            <a:prstGeom prst="rect">
              <a:avLst/>
            </a:prstGeom>
          </xdr:spPr>
        </xdr:pic>
        <xdr:sp macro="" textlink="">
          <xdr:nvSpPr>
            <xdr:cNvPr id="43" name="Rectangle 42">
              <a:extLst>
                <a:ext uri="{FF2B5EF4-FFF2-40B4-BE49-F238E27FC236}">
                  <a16:creationId xmlns:a16="http://schemas.microsoft.com/office/drawing/2014/main" id="{00000000-0008-0000-0B00-00002B000000}"/>
                </a:ext>
              </a:extLst>
            </xdr:cNvPr>
            <xdr:cNvSpPr/>
          </xdr:nvSpPr>
          <xdr:spPr>
            <a:xfrm>
              <a:off x="0" y="3137861"/>
              <a:ext cx="9191144" cy="176647"/>
            </a:xfrm>
            <a:prstGeom prst="rect">
              <a:avLst/>
            </a:prstGeom>
            <a:solidFill>
              <a:srgbClr val="DD6E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grpSp>
      <xdr:sp macro="" textlink="">
        <xdr:nvSpPr>
          <xdr:cNvPr id="40" name="TextBox 39">
            <a:extLst>
              <a:ext uri="{FF2B5EF4-FFF2-40B4-BE49-F238E27FC236}">
                <a16:creationId xmlns:a16="http://schemas.microsoft.com/office/drawing/2014/main" id="{00000000-0008-0000-0B00-000028000000}"/>
              </a:ext>
            </a:extLst>
          </xdr:cNvPr>
          <xdr:cNvSpPr txBox="1"/>
        </xdr:nvSpPr>
        <xdr:spPr>
          <a:xfrm>
            <a:off x="8715374" y="4781550"/>
            <a:ext cx="62674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E" sz="2800">
                <a:solidFill>
                  <a:schemeClr val="bg1"/>
                </a:solidFill>
                <a:latin typeface="Calibri" pitchFamily="34" charset="0"/>
                <a:cs typeface="Calibri" pitchFamily="34" charset="0"/>
              </a:rPr>
              <a:t>Analysis of Uncertainty</a:t>
            </a:r>
            <a:endParaRPr lang="en-IE" sz="2000">
              <a:solidFill>
                <a:schemeClr val="bg1"/>
              </a:solidFill>
              <a:latin typeface="Calibri" pitchFamily="34" charset="0"/>
              <a:cs typeface="Calibri" pitchFamily="34" charset="0"/>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Felicity Lamrock" id="{31B9C4E8-07BC-F148-A44D-EA1D1CAB706B}" userId="Felicity Lamrock"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R26" dT="2019-08-28T13:28:45.69" personId="{31B9C4E8-07BC-F148-A44D-EA1D1CAB706B}" id="{A3E54CF8-90F3-6244-B230-5B1BB49AA109}">
    <text>On this page and patient drug costs info@ncpe.ie used but Lesley said maybe a different one shoudl be used?</text>
  </threadedComment>
</ThreadedComments>
</file>

<file path=xl/threadedComments/threadedComment2.xml><?xml version="1.0" encoding="utf-8"?>
<ThreadedComments xmlns="http://schemas.microsoft.com/office/spreadsheetml/2018/threadedcomments" xmlns:x="http://schemas.openxmlformats.org/spreadsheetml/2006/main">
  <threadedComment ref="N41" dT="2019-08-28T13:34:12.64" personId="{31B9C4E8-07BC-F148-A44D-EA1D1CAB706B}" id="{C6CE5714-1139-8540-9747-E98C2D8CE16F}">
    <text>Again, info@ncpe.ie might not be best….I’d ask Lesley what to change it to. I think it was going to be me!!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5.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6.bin"/><Relationship Id="rId16" Type="http://schemas.openxmlformats.org/officeDocument/2006/relationships/ctrlProp" Target="../ctrlProps/ctrlProp14.xml"/><Relationship Id="rId1" Type="http://schemas.openxmlformats.org/officeDocument/2006/relationships/hyperlink" Target="https://ncpe.ie/wp-content/uploads/2022/01/Guidelines-for-Inclusion-of-Drug-Costs-in-Pharmacoeconomic-Evaluations-v3.1.pdf" TargetMode="Externa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ctrlProp" Target="../ctrlProps/ctrlProp25.xml"/><Relationship Id="rId3" Type="http://schemas.openxmlformats.org/officeDocument/2006/relationships/vmlDrawing" Target="../drawings/vmlDrawing4.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6.xml"/><Relationship Id="rId16" Type="http://schemas.openxmlformats.org/officeDocument/2006/relationships/ctrlProp" Target="../ctrlProps/ctrlProp28.xml"/><Relationship Id="rId1" Type="http://schemas.openxmlformats.org/officeDocument/2006/relationships/hyperlink" Target="https://ncpe.ie/wp-content/uploads/2022/01/Guidelines-for-Inclusion-of-Drug-Costs-in-Pharmacoeconomic-Evaluations-v3.1.pdf" TargetMode="External"/><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5" Type="http://schemas.openxmlformats.org/officeDocument/2006/relationships/ctrlProp" Target="../ctrlProps/ctrlProp2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7.bin"/><Relationship Id="rId1" Type="http://schemas.openxmlformats.org/officeDocument/2006/relationships/hyperlink" Target="http://www.ncpe.ie/wp-content/uploads/2016/09/Final-Guidelines-for-Inclusion-of-Drug-Costs-in-Pharmacoeconomic-Evaluation-v1.16.pdf"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AA66"/>
  <sheetViews>
    <sheetView tabSelected="1" zoomScale="80" zoomScaleNormal="80" workbookViewId="0">
      <selection activeCell="R32" sqref="R32"/>
    </sheetView>
  </sheetViews>
  <sheetFormatPr defaultColWidth="9.140625" defaultRowHeight="15" x14ac:dyDescent="0.25"/>
  <cols>
    <col min="1" max="16" width="9.140625" style="1"/>
    <col min="17" max="17" width="9.140625" style="1" customWidth="1"/>
    <col min="18" max="16384" width="9.140625" style="1"/>
  </cols>
  <sheetData>
    <row r="6" spans="17:18" ht="21" customHeight="1" x14ac:dyDescent="0.25"/>
    <row r="9" spans="17:18" ht="15.95" customHeight="1" x14ac:dyDescent="0.25">
      <c r="Q9" s="25"/>
    </row>
    <row r="10" spans="17:18" ht="15" customHeight="1" x14ac:dyDescent="0.25"/>
    <row r="11" spans="17:18" ht="15" customHeight="1" x14ac:dyDescent="0.25">
      <c r="Q11" s="24"/>
    </row>
    <row r="12" spans="17:18" ht="15" customHeight="1" x14ac:dyDescent="0.25"/>
    <row r="13" spans="17:18" ht="15" customHeight="1" x14ac:dyDescent="0.25"/>
    <row r="14" spans="17:18" ht="15" customHeight="1" x14ac:dyDescent="0.25"/>
    <row r="15" spans="17:18" ht="15" customHeight="1" x14ac:dyDescent="0.25">
      <c r="R15" s="103"/>
    </row>
    <row r="16" spans="17:18" ht="15" customHeight="1" x14ac:dyDescent="0.25"/>
    <row r="17" spans="1:27" ht="15" customHeight="1" x14ac:dyDescent="0.25">
      <c r="AA17" s="2"/>
    </row>
    <row r="18" spans="1:27" ht="10.5" customHeight="1" x14ac:dyDescent="0.25"/>
    <row r="19" spans="1:27" ht="15" customHeight="1" x14ac:dyDescent="0.25">
      <c r="A19" s="388" t="s">
        <v>250</v>
      </c>
      <c r="B19" s="388"/>
      <c r="C19" s="388"/>
      <c r="D19" s="388"/>
      <c r="E19" s="388"/>
      <c r="F19" s="388"/>
      <c r="G19" s="388"/>
      <c r="H19" s="388"/>
      <c r="I19" s="388"/>
      <c r="J19" s="388"/>
      <c r="K19" s="388"/>
      <c r="L19" s="388"/>
      <c r="M19" s="388"/>
      <c r="N19" s="388"/>
      <c r="O19" s="388"/>
      <c r="Q19" s="24"/>
    </row>
    <row r="20" spans="1:27" ht="15" customHeight="1" x14ac:dyDescent="0.25">
      <c r="A20" s="388"/>
      <c r="B20" s="388"/>
      <c r="C20" s="388"/>
      <c r="D20" s="388"/>
      <c r="E20" s="388"/>
      <c r="F20" s="388"/>
      <c r="G20" s="388"/>
      <c r="H20" s="388"/>
      <c r="I20" s="388"/>
      <c r="J20" s="388"/>
      <c r="K20" s="388"/>
      <c r="L20" s="388"/>
      <c r="M20" s="388"/>
      <c r="N20" s="388"/>
      <c r="O20" s="388"/>
    </row>
    <row r="21" spans="1:27" ht="15" customHeight="1" x14ac:dyDescent="0.25">
      <c r="A21" s="388"/>
      <c r="B21" s="388"/>
      <c r="C21" s="388"/>
      <c r="D21" s="388"/>
      <c r="E21" s="388"/>
      <c r="F21" s="388"/>
      <c r="G21" s="388"/>
      <c r="H21" s="388"/>
      <c r="I21" s="388"/>
      <c r="J21" s="388"/>
      <c r="K21" s="388"/>
      <c r="L21" s="388"/>
      <c r="M21" s="388"/>
      <c r="N21" s="388"/>
      <c r="O21" s="388"/>
    </row>
    <row r="22" spans="1:27" ht="12" customHeight="1" x14ac:dyDescent="0.25"/>
    <row r="23" spans="1:27" ht="18" customHeight="1" x14ac:dyDescent="0.25">
      <c r="A23" s="389" t="s">
        <v>208</v>
      </c>
      <c r="B23" s="389"/>
      <c r="C23" s="389"/>
      <c r="D23" s="389"/>
      <c r="E23" s="389"/>
      <c r="F23" s="389"/>
      <c r="G23" s="389"/>
      <c r="H23" s="389"/>
      <c r="I23" s="389"/>
      <c r="J23" s="389"/>
      <c r="K23" s="389"/>
      <c r="L23" s="389"/>
      <c r="M23" s="389"/>
      <c r="N23" s="389"/>
      <c r="O23" s="389"/>
    </row>
    <row r="24" spans="1:27" ht="18" customHeight="1" x14ac:dyDescent="0.25">
      <c r="A24" s="389"/>
      <c r="B24" s="389"/>
      <c r="C24" s="389"/>
      <c r="D24" s="389"/>
      <c r="E24" s="389"/>
      <c r="F24" s="389"/>
      <c r="G24" s="389"/>
      <c r="H24" s="389"/>
      <c r="I24" s="389"/>
      <c r="J24" s="389"/>
      <c r="K24" s="389"/>
      <c r="L24" s="389"/>
      <c r="M24" s="389"/>
      <c r="N24" s="389"/>
      <c r="O24" s="389"/>
      <c r="Q24" s="24"/>
    </row>
    <row r="25" spans="1:27" ht="18" customHeight="1" x14ac:dyDescent="0.25">
      <c r="A25" s="389"/>
      <c r="B25" s="389"/>
      <c r="C25" s="389"/>
      <c r="D25" s="389"/>
      <c r="E25" s="389"/>
      <c r="F25" s="389"/>
      <c r="G25" s="389"/>
      <c r="H25" s="389"/>
      <c r="I25" s="389"/>
      <c r="J25" s="389"/>
      <c r="K25" s="389"/>
      <c r="L25" s="389"/>
      <c r="M25" s="389"/>
      <c r="N25" s="389"/>
      <c r="O25" s="389"/>
    </row>
    <row r="26" spans="1:27" ht="18" customHeight="1" x14ac:dyDescent="0.25">
      <c r="A26" s="389"/>
      <c r="B26" s="389"/>
      <c r="C26" s="389"/>
      <c r="D26" s="389"/>
      <c r="E26" s="389"/>
      <c r="F26" s="389"/>
      <c r="G26" s="389"/>
      <c r="H26" s="389"/>
      <c r="I26" s="389"/>
      <c r="J26" s="389"/>
      <c r="K26" s="389"/>
      <c r="L26" s="389"/>
      <c r="M26" s="389"/>
      <c r="N26" s="389"/>
      <c r="O26" s="389"/>
    </row>
    <row r="27" spans="1:27" ht="18" customHeight="1" x14ac:dyDescent="0.25">
      <c r="A27" s="389"/>
      <c r="B27" s="389"/>
      <c r="C27" s="389"/>
      <c r="D27" s="389"/>
      <c r="E27" s="389"/>
      <c r="F27" s="389"/>
      <c r="G27" s="389"/>
      <c r="H27" s="389"/>
      <c r="I27" s="389"/>
      <c r="J27" s="389"/>
      <c r="K27" s="389"/>
      <c r="L27" s="389"/>
      <c r="M27" s="389"/>
      <c r="N27" s="389"/>
      <c r="O27" s="389"/>
      <c r="Q27" s="24"/>
    </row>
    <row r="28" spans="1:27" ht="18" customHeight="1" x14ac:dyDescent="0.25">
      <c r="A28" s="389"/>
      <c r="B28" s="389"/>
      <c r="C28" s="389"/>
      <c r="D28" s="389"/>
      <c r="E28" s="389"/>
      <c r="F28" s="389"/>
      <c r="G28" s="389"/>
      <c r="H28" s="389"/>
      <c r="I28" s="389"/>
      <c r="J28" s="389"/>
      <c r="K28" s="389"/>
      <c r="L28" s="389"/>
      <c r="M28" s="389"/>
      <c r="N28" s="389"/>
      <c r="O28" s="389"/>
    </row>
    <row r="29" spans="1:27" ht="11.25" customHeight="1" x14ac:dyDescent="0.25"/>
    <row r="30" spans="1:27" x14ac:dyDescent="0.25">
      <c r="A30" s="390" t="s">
        <v>97</v>
      </c>
      <c r="B30" s="390"/>
      <c r="C30" s="391"/>
      <c r="D30" s="392"/>
      <c r="E30" s="392"/>
      <c r="F30" s="392"/>
      <c r="G30" s="392"/>
      <c r="H30" s="392"/>
      <c r="I30" s="392"/>
      <c r="J30" s="392"/>
      <c r="K30" s="392"/>
      <c r="L30" s="392"/>
      <c r="M30" s="392"/>
      <c r="N30" s="392"/>
      <c r="O30" s="392"/>
    </row>
    <row r="31" spans="1:27" x14ac:dyDescent="0.25">
      <c r="A31" s="390" t="s">
        <v>5</v>
      </c>
      <c r="B31" s="390"/>
      <c r="C31" s="391"/>
      <c r="D31" s="392"/>
      <c r="E31" s="392"/>
      <c r="F31" s="392"/>
      <c r="G31" s="392"/>
      <c r="H31" s="392"/>
      <c r="I31" s="392"/>
      <c r="J31" s="392"/>
      <c r="K31" s="392"/>
      <c r="L31" s="392"/>
      <c r="M31" s="392"/>
      <c r="N31" s="392"/>
      <c r="O31" s="392"/>
      <c r="Q31" s="24"/>
    </row>
    <row r="32" spans="1:27" x14ac:dyDescent="0.25">
      <c r="A32" s="390" t="s">
        <v>96</v>
      </c>
      <c r="B32" s="390"/>
      <c r="C32" s="391"/>
      <c r="D32" s="393"/>
      <c r="E32" s="393"/>
      <c r="F32" s="393"/>
      <c r="G32" s="393"/>
      <c r="H32" s="393"/>
      <c r="I32" s="393"/>
      <c r="J32" s="393"/>
      <c r="K32" s="393"/>
      <c r="L32" s="393"/>
      <c r="M32" s="393"/>
      <c r="N32" s="393"/>
      <c r="O32" s="393"/>
    </row>
    <row r="33" spans="1:17" x14ac:dyDescent="0.25">
      <c r="C33" s="105"/>
      <c r="D33" s="393"/>
      <c r="E33" s="393"/>
      <c r="F33" s="393"/>
      <c r="G33" s="393"/>
      <c r="H33" s="393"/>
      <c r="I33" s="393"/>
      <c r="J33" s="393"/>
      <c r="K33" s="393"/>
      <c r="L33" s="393"/>
      <c r="M33" s="393"/>
      <c r="N33" s="393"/>
      <c r="O33" s="393"/>
      <c r="Q33" s="26"/>
    </row>
    <row r="34" spans="1:17" x14ac:dyDescent="0.25">
      <c r="C34" s="105"/>
      <c r="D34" s="393"/>
      <c r="E34" s="393"/>
      <c r="F34" s="393"/>
      <c r="G34" s="393"/>
      <c r="H34" s="393"/>
      <c r="I34" s="393"/>
      <c r="J34" s="393"/>
      <c r="K34" s="393"/>
      <c r="L34" s="393"/>
      <c r="M34" s="393"/>
      <c r="N34" s="393"/>
      <c r="O34" s="393"/>
    </row>
    <row r="36" spans="1:17" ht="15" customHeight="1" x14ac:dyDescent="0.25">
      <c r="A36" s="397" t="s">
        <v>274</v>
      </c>
      <c r="B36" s="397"/>
      <c r="C36" s="397"/>
      <c r="D36" s="397"/>
      <c r="E36" s="397"/>
      <c r="F36" s="397"/>
      <c r="G36" s="397"/>
      <c r="H36" s="397"/>
      <c r="I36" s="397"/>
      <c r="J36" s="397"/>
      <c r="K36" s="397"/>
      <c r="L36" s="397"/>
      <c r="M36" s="397"/>
      <c r="N36" s="397"/>
      <c r="O36" s="397"/>
    </row>
    <row r="37" spans="1:17" ht="28.5" customHeight="1" x14ac:dyDescent="0.25">
      <c r="A37" s="397"/>
      <c r="B37" s="397"/>
      <c r="C37" s="397"/>
      <c r="D37" s="397"/>
      <c r="E37" s="397"/>
      <c r="F37" s="397"/>
      <c r="G37" s="397"/>
      <c r="H37" s="397"/>
      <c r="I37" s="397"/>
      <c r="J37" s="397"/>
      <c r="K37" s="397"/>
      <c r="L37" s="397"/>
      <c r="M37" s="397"/>
      <c r="N37" s="397"/>
      <c r="O37" s="397"/>
    </row>
    <row r="38" spans="1:17" ht="11.25" customHeight="1" thickBot="1" x14ac:dyDescent="0.3"/>
    <row r="39" spans="1:17" ht="15.75" thickBot="1" x14ac:dyDescent="0.3">
      <c r="D39" s="394" t="s">
        <v>93</v>
      </c>
      <c r="E39" s="395"/>
      <c r="F39" s="395"/>
      <c r="G39" s="395"/>
      <c r="H39" s="395"/>
      <c r="I39" s="396"/>
      <c r="K39" s="90"/>
    </row>
    <row r="40" spans="1:17" ht="7.5" customHeight="1" x14ac:dyDescent="0.25"/>
    <row r="41" spans="1:17" x14ac:dyDescent="0.25">
      <c r="D41" s="398" t="s">
        <v>200</v>
      </c>
      <c r="E41" s="398"/>
      <c r="F41" s="398"/>
      <c r="G41" s="398" t="s">
        <v>201</v>
      </c>
      <c r="H41" s="398"/>
      <c r="I41" s="398"/>
      <c r="J41" s="398"/>
      <c r="K41" s="398"/>
      <c r="L41" s="398"/>
      <c r="M41" s="398"/>
      <c r="N41" s="398"/>
      <c r="O41" s="398"/>
    </row>
    <row r="42" spans="1:17" ht="25.5" customHeight="1" x14ac:dyDescent="0.25">
      <c r="A42" s="390" t="s">
        <v>199</v>
      </c>
      <c r="B42" s="390"/>
      <c r="C42" s="391"/>
      <c r="D42" s="385"/>
      <c r="E42" s="386"/>
      <c r="F42" s="387"/>
      <c r="G42" s="385"/>
      <c r="H42" s="386"/>
      <c r="I42" s="386"/>
      <c r="J42" s="386"/>
      <c r="K42" s="386"/>
      <c r="L42" s="386"/>
      <c r="M42" s="386"/>
      <c r="N42" s="386"/>
      <c r="O42" s="387"/>
    </row>
    <row r="43" spans="1:17" ht="25.5" customHeight="1" x14ac:dyDescent="0.25">
      <c r="A43" s="390" t="s">
        <v>202</v>
      </c>
      <c r="B43" s="390"/>
      <c r="C43" s="391"/>
      <c r="D43" s="385"/>
      <c r="E43" s="386"/>
      <c r="F43" s="387"/>
      <c r="G43" s="385"/>
      <c r="H43" s="386"/>
      <c r="I43" s="386"/>
      <c r="J43" s="386"/>
      <c r="K43" s="386"/>
      <c r="L43" s="386"/>
      <c r="M43" s="386"/>
      <c r="N43" s="386"/>
      <c r="O43" s="387"/>
    </row>
    <row r="44" spans="1:17" ht="25.5" customHeight="1" x14ac:dyDescent="0.25">
      <c r="A44" s="390" t="s">
        <v>203</v>
      </c>
      <c r="B44" s="390"/>
      <c r="C44" s="391"/>
      <c r="D44" s="385"/>
      <c r="E44" s="386"/>
      <c r="F44" s="387"/>
      <c r="G44" s="385"/>
      <c r="H44" s="386"/>
      <c r="I44" s="386"/>
      <c r="J44" s="386"/>
      <c r="K44" s="386"/>
      <c r="L44" s="386"/>
      <c r="M44" s="386"/>
      <c r="N44" s="386"/>
      <c r="O44" s="387"/>
    </row>
    <row r="45" spans="1:17" ht="25.5" customHeight="1" x14ac:dyDescent="0.25">
      <c r="A45" s="390" t="s">
        <v>204</v>
      </c>
      <c r="B45" s="390"/>
      <c r="C45" s="391"/>
      <c r="D45" s="385"/>
      <c r="E45" s="386"/>
      <c r="F45" s="387"/>
      <c r="G45" s="385"/>
      <c r="H45" s="386"/>
      <c r="I45" s="386"/>
      <c r="J45" s="386"/>
      <c r="K45" s="386"/>
      <c r="L45" s="386"/>
      <c r="M45" s="386"/>
      <c r="N45" s="386"/>
      <c r="O45" s="387"/>
    </row>
    <row r="46" spans="1:17" ht="25.5" customHeight="1" x14ac:dyDescent="0.25">
      <c r="A46" s="390" t="s">
        <v>205</v>
      </c>
      <c r="B46" s="390"/>
      <c r="C46" s="391"/>
      <c r="D46" s="385"/>
      <c r="E46" s="386"/>
      <c r="F46" s="387"/>
      <c r="G46" s="385"/>
      <c r="H46" s="386"/>
      <c r="I46" s="386"/>
      <c r="J46" s="386"/>
      <c r="K46" s="386"/>
      <c r="L46" s="386"/>
      <c r="M46" s="386"/>
      <c r="N46" s="386"/>
      <c r="O46" s="387"/>
    </row>
    <row r="47" spans="1:17" ht="25.5" customHeight="1" x14ac:dyDescent="0.25">
      <c r="A47" s="390" t="s">
        <v>206</v>
      </c>
      <c r="B47" s="390"/>
      <c r="C47" s="391"/>
      <c r="D47" s="385"/>
      <c r="E47" s="386"/>
      <c r="F47" s="387"/>
      <c r="G47" s="385"/>
      <c r="H47" s="386"/>
      <c r="I47" s="386"/>
      <c r="J47" s="386"/>
      <c r="K47" s="386"/>
      <c r="L47" s="386"/>
      <c r="M47" s="386"/>
      <c r="N47" s="386"/>
      <c r="O47" s="387"/>
    </row>
    <row r="48" spans="1:17" ht="25.5" customHeight="1" x14ac:dyDescent="0.25">
      <c r="A48" s="272"/>
      <c r="B48" s="272" t="s">
        <v>222</v>
      </c>
      <c r="C48" s="287"/>
      <c r="D48" s="385"/>
      <c r="E48" s="386"/>
      <c r="F48" s="387"/>
      <c r="G48" s="385"/>
      <c r="H48" s="386"/>
      <c r="I48" s="386"/>
      <c r="J48" s="386"/>
      <c r="K48" s="386"/>
      <c r="L48" s="386"/>
      <c r="M48" s="386"/>
      <c r="N48" s="386"/>
      <c r="O48" s="387"/>
    </row>
    <row r="49" spans="1:15" ht="25.5" customHeight="1" x14ac:dyDescent="0.25">
      <c r="A49" s="272"/>
      <c r="B49" s="272" t="s">
        <v>223</v>
      </c>
      <c r="C49" s="287"/>
      <c r="D49" s="385"/>
      <c r="E49" s="386"/>
      <c r="F49" s="387"/>
      <c r="G49" s="385"/>
      <c r="H49" s="386"/>
      <c r="I49" s="386"/>
      <c r="J49" s="386"/>
      <c r="K49" s="386"/>
      <c r="L49" s="386"/>
      <c r="M49" s="386"/>
      <c r="N49" s="386"/>
      <c r="O49" s="387"/>
    </row>
    <row r="50" spans="1:15" ht="25.5" customHeight="1" x14ac:dyDescent="0.25">
      <c r="A50" s="272"/>
      <c r="B50" s="272" t="s">
        <v>224</v>
      </c>
      <c r="C50" s="287"/>
      <c r="D50" s="385"/>
      <c r="E50" s="386"/>
      <c r="F50" s="387"/>
      <c r="G50" s="385"/>
      <c r="H50" s="386"/>
      <c r="I50" s="386"/>
      <c r="J50" s="386"/>
      <c r="K50" s="386"/>
      <c r="L50" s="386"/>
      <c r="M50" s="386"/>
      <c r="N50" s="386"/>
      <c r="O50" s="387"/>
    </row>
    <row r="51" spans="1:15" ht="25.5" customHeight="1" x14ac:dyDescent="0.25">
      <c r="A51" s="272"/>
      <c r="B51" s="272" t="s">
        <v>225</v>
      </c>
      <c r="C51" s="287"/>
      <c r="D51" s="385"/>
      <c r="E51" s="386"/>
      <c r="F51" s="387"/>
      <c r="G51" s="385"/>
      <c r="H51" s="386"/>
      <c r="I51" s="386"/>
      <c r="J51" s="386"/>
      <c r="K51" s="386"/>
      <c r="L51" s="386"/>
      <c r="M51" s="386"/>
      <c r="N51" s="386"/>
      <c r="O51" s="387"/>
    </row>
    <row r="52" spans="1:15" ht="25.5" customHeight="1" x14ac:dyDescent="0.25">
      <c r="A52" s="272"/>
      <c r="B52" s="272" t="s">
        <v>226</v>
      </c>
      <c r="C52" s="287"/>
      <c r="D52" s="385"/>
      <c r="E52" s="386"/>
      <c r="F52" s="387"/>
      <c r="G52" s="385"/>
      <c r="H52" s="386"/>
      <c r="I52" s="386"/>
      <c r="J52" s="386"/>
      <c r="K52" s="386"/>
      <c r="L52" s="386"/>
      <c r="M52" s="386"/>
      <c r="N52" s="386"/>
      <c r="O52" s="387"/>
    </row>
    <row r="53" spans="1:15" ht="25.5" customHeight="1" x14ac:dyDescent="0.25">
      <c r="A53" s="272"/>
      <c r="B53" s="272" t="s">
        <v>227</v>
      </c>
      <c r="C53" s="287"/>
      <c r="D53" s="385"/>
      <c r="E53" s="386"/>
      <c r="F53" s="387"/>
      <c r="G53" s="385"/>
      <c r="H53" s="386"/>
      <c r="I53" s="386"/>
      <c r="J53" s="386"/>
      <c r="K53" s="386"/>
      <c r="L53" s="386"/>
      <c r="M53" s="386"/>
      <c r="N53" s="386"/>
      <c r="O53" s="387"/>
    </row>
    <row r="54" spans="1:15" ht="8.25" customHeight="1" x14ac:dyDescent="0.25"/>
    <row r="63" spans="1:15" x14ac:dyDescent="0.25">
      <c r="A63" s="260" t="s">
        <v>221</v>
      </c>
    </row>
    <row r="66" spans="1:1" x14ac:dyDescent="0.25">
      <c r="A66" s="133"/>
    </row>
  </sheetData>
  <mergeCells count="42">
    <mergeCell ref="D39:I39"/>
    <mergeCell ref="A36:O37"/>
    <mergeCell ref="A47:C47"/>
    <mergeCell ref="D41:F41"/>
    <mergeCell ref="G41:O41"/>
    <mergeCell ref="D42:F42"/>
    <mergeCell ref="D43:F43"/>
    <mergeCell ref="D44:F44"/>
    <mergeCell ref="D45:F45"/>
    <mergeCell ref="D46:F46"/>
    <mergeCell ref="D47:F47"/>
    <mergeCell ref="G42:O42"/>
    <mergeCell ref="G43:O43"/>
    <mergeCell ref="G44:O44"/>
    <mergeCell ref="G45:O45"/>
    <mergeCell ref="G46:O46"/>
    <mergeCell ref="G47:O47"/>
    <mergeCell ref="A42:C42"/>
    <mergeCell ref="A43:C43"/>
    <mergeCell ref="A44:C44"/>
    <mergeCell ref="A45:C45"/>
    <mergeCell ref="A46:C46"/>
    <mergeCell ref="A19:O21"/>
    <mergeCell ref="A23:O28"/>
    <mergeCell ref="A30:C30"/>
    <mergeCell ref="A31:C31"/>
    <mergeCell ref="A32:C32"/>
    <mergeCell ref="D30:O30"/>
    <mergeCell ref="D31:O31"/>
    <mergeCell ref="D32:O34"/>
    <mergeCell ref="D48:F48"/>
    <mergeCell ref="G48:O48"/>
    <mergeCell ref="D49:F49"/>
    <mergeCell ref="G49:O49"/>
    <mergeCell ref="D50:F50"/>
    <mergeCell ref="G50:O50"/>
    <mergeCell ref="D51:F51"/>
    <mergeCell ref="G51:O51"/>
    <mergeCell ref="D52:F52"/>
    <mergeCell ref="G52:O52"/>
    <mergeCell ref="D53:F53"/>
    <mergeCell ref="G53:O53"/>
  </mergeCells>
  <dataValidations count="1">
    <dataValidation type="list" allowBlank="1" showInputMessage="1" showErrorMessage="1" sqref="K39" xr:uid="{00000000-0002-0000-0000-000000000000}">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7"/>
  <sheetViews>
    <sheetView topLeftCell="B1" workbookViewId="0">
      <selection activeCell="B2" sqref="B2"/>
    </sheetView>
  </sheetViews>
  <sheetFormatPr defaultRowHeight="15" x14ac:dyDescent="0.25"/>
  <cols>
    <col min="1" max="1" width="9.85546875" customWidth="1"/>
    <col min="2" max="2" width="15" customWidth="1"/>
    <col min="3" max="3" width="40.140625" customWidth="1"/>
    <col min="4" max="4" width="119.7109375" customWidth="1"/>
  </cols>
  <sheetData>
    <row r="1" spans="1:4" ht="15.75" thickBot="1" x14ac:dyDescent="0.3">
      <c r="A1" s="368" t="s">
        <v>252</v>
      </c>
      <c r="B1" s="369" t="s">
        <v>253</v>
      </c>
      <c r="C1" s="369" t="s">
        <v>255</v>
      </c>
      <c r="D1" s="369" t="s">
        <v>254</v>
      </c>
    </row>
    <row r="2" spans="1:4" x14ac:dyDescent="0.25">
      <c r="A2" s="370">
        <v>1.8</v>
      </c>
      <c r="B2" s="371">
        <v>45054</v>
      </c>
      <c r="C2" s="381" t="s">
        <v>256</v>
      </c>
      <c r="D2" s="373" t="s">
        <v>257</v>
      </c>
    </row>
    <row r="3" spans="1:4" x14ac:dyDescent="0.25">
      <c r="A3" s="370"/>
      <c r="B3" s="375"/>
      <c r="C3" s="382" t="s">
        <v>258</v>
      </c>
      <c r="D3" s="379" t="s">
        <v>259</v>
      </c>
    </row>
    <row r="4" spans="1:4" ht="33.75" customHeight="1" x14ac:dyDescent="0.25">
      <c r="A4" s="372"/>
      <c r="B4" s="375"/>
      <c r="C4" s="382" t="s">
        <v>260</v>
      </c>
      <c r="D4" s="380" t="s">
        <v>261</v>
      </c>
    </row>
    <row r="5" spans="1:4" x14ac:dyDescent="0.25">
      <c r="A5" s="374"/>
      <c r="B5" s="376"/>
      <c r="C5" s="376" t="s">
        <v>262</v>
      </c>
      <c r="D5" s="376" t="s">
        <v>265</v>
      </c>
    </row>
    <row r="6" spans="1:4" ht="15.75" thickBot="1" x14ac:dyDescent="0.3">
      <c r="A6" s="377"/>
      <c r="B6" s="378"/>
      <c r="C6" s="378" t="s">
        <v>263</v>
      </c>
      <c r="D6" s="378" t="s">
        <v>264</v>
      </c>
    </row>
    <row r="7" spans="1:4" x14ac:dyDescent="0.25">
      <c r="B7" s="384" t="s">
        <v>275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17:V98"/>
  <sheetViews>
    <sheetView topLeftCell="A25" zoomScale="75" zoomScaleNormal="75" workbookViewId="0">
      <selection activeCell="E41" sqref="E41:N44"/>
    </sheetView>
  </sheetViews>
  <sheetFormatPr defaultColWidth="9.140625" defaultRowHeight="15" x14ac:dyDescent="0.25"/>
  <cols>
    <col min="1" max="1" width="9.140625" style="5" customWidth="1"/>
    <col min="2" max="16384" width="9.140625" style="5"/>
  </cols>
  <sheetData>
    <row r="17" spans="3:22" x14ac:dyDescent="0.25">
      <c r="C17" s="19"/>
      <c r="E17" s="23" t="s">
        <v>163</v>
      </c>
      <c r="P17" s="104"/>
    </row>
    <row r="18" spans="3:22" x14ac:dyDescent="0.25">
      <c r="C18" s="190"/>
      <c r="E18" s="23" t="s">
        <v>164</v>
      </c>
      <c r="P18" s="104"/>
    </row>
    <row r="19" spans="3:22" x14ac:dyDescent="0.25">
      <c r="C19" s="96"/>
      <c r="E19" s="23" t="s">
        <v>165</v>
      </c>
    </row>
    <row r="20" spans="3:22" x14ac:dyDescent="0.25">
      <c r="E20" s="23"/>
    </row>
    <row r="22" spans="3:22" ht="15" customHeight="1" x14ac:dyDescent="0.25">
      <c r="E22" s="399" t="s">
        <v>166</v>
      </c>
      <c r="F22" s="399"/>
      <c r="G22" s="399"/>
      <c r="H22" s="399"/>
      <c r="I22" s="399"/>
      <c r="J22" s="399"/>
      <c r="K22" s="399"/>
      <c r="L22" s="399"/>
      <c r="M22" s="399"/>
      <c r="N22" s="399"/>
    </row>
    <row r="23" spans="3:22" x14ac:dyDescent="0.25">
      <c r="E23" s="399"/>
      <c r="F23" s="399"/>
      <c r="G23" s="399"/>
      <c r="H23" s="399"/>
      <c r="I23" s="399"/>
      <c r="J23" s="399"/>
      <c r="K23" s="399"/>
      <c r="L23" s="399"/>
      <c r="M23" s="399"/>
      <c r="N23" s="399"/>
      <c r="Q23" s="104"/>
    </row>
    <row r="24" spans="3:22" x14ac:dyDescent="0.25">
      <c r="E24" s="399"/>
      <c r="F24" s="399"/>
      <c r="G24" s="399"/>
      <c r="H24" s="399"/>
      <c r="I24" s="399"/>
      <c r="J24" s="399"/>
      <c r="K24" s="399"/>
      <c r="L24" s="399"/>
      <c r="M24" s="399"/>
      <c r="N24" s="399"/>
    </row>
    <row r="25" spans="3:22" x14ac:dyDescent="0.25">
      <c r="E25" s="399"/>
      <c r="F25" s="399"/>
      <c r="G25" s="399"/>
      <c r="H25" s="399"/>
      <c r="I25" s="399"/>
      <c r="J25" s="399"/>
      <c r="K25" s="399"/>
      <c r="L25" s="399"/>
      <c r="M25" s="399"/>
      <c r="N25" s="399"/>
      <c r="Q25" s="104"/>
    </row>
    <row r="26" spans="3:22" x14ac:dyDescent="0.25">
      <c r="Q26" s="104"/>
      <c r="R26" s="104"/>
      <c r="S26" s="104"/>
      <c r="T26" s="104"/>
      <c r="U26" s="104"/>
      <c r="V26" s="104"/>
    </row>
    <row r="29" spans="3:22" x14ac:dyDescent="0.25">
      <c r="I29" s="104"/>
    </row>
    <row r="30" spans="3:22" x14ac:dyDescent="0.25">
      <c r="E30" s="9" t="s">
        <v>114</v>
      </c>
    </row>
    <row r="33" spans="5:14" ht="15" customHeight="1" x14ac:dyDescent="0.25">
      <c r="E33" s="399" t="s">
        <v>116</v>
      </c>
      <c r="F33" s="399"/>
      <c r="G33" s="399"/>
      <c r="H33" s="399"/>
      <c r="I33" s="399"/>
      <c r="J33" s="399"/>
      <c r="K33" s="399"/>
      <c r="L33" s="399"/>
      <c r="M33" s="399"/>
      <c r="N33" s="399"/>
    </row>
    <row r="34" spans="5:14" x14ac:dyDescent="0.25">
      <c r="E34" s="399"/>
      <c r="F34" s="399"/>
      <c r="G34" s="399"/>
      <c r="H34" s="399"/>
      <c r="I34" s="399"/>
      <c r="J34" s="399"/>
      <c r="K34" s="399"/>
      <c r="L34" s="399"/>
      <c r="M34" s="399"/>
      <c r="N34" s="399"/>
    </row>
    <row r="35" spans="5:14" x14ac:dyDescent="0.25">
      <c r="E35" s="399"/>
      <c r="F35" s="399"/>
      <c r="G35" s="399"/>
      <c r="H35" s="399"/>
      <c r="I35" s="399"/>
      <c r="J35" s="399"/>
      <c r="K35" s="399"/>
      <c r="L35" s="399"/>
      <c r="M35" s="399"/>
      <c r="N35" s="399"/>
    </row>
    <row r="36" spans="5:14" x14ac:dyDescent="0.25">
      <c r="E36" s="399"/>
      <c r="F36" s="399"/>
      <c r="G36" s="399"/>
      <c r="H36" s="399"/>
      <c r="I36" s="399"/>
      <c r="J36" s="399"/>
      <c r="K36" s="399"/>
      <c r="L36" s="399"/>
      <c r="M36" s="399"/>
      <c r="N36" s="399"/>
    </row>
    <row r="37" spans="5:14" x14ac:dyDescent="0.25">
      <c r="E37" s="399"/>
      <c r="F37" s="399"/>
      <c r="G37" s="399"/>
      <c r="H37" s="399"/>
      <c r="I37" s="399"/>
      <c r="J37" s="399"/>
      <c r="K37" s="399"/>
      <c r="L37" s="399"/>
      <c r="M37" s="399"/>
      <c r="N37" s="399"/>
    </row>
    <row r="41" spans="5:14" ht="15" customHeight="1" x14ac:dyDescent="0.25">
      <c r="E41" s="401" t="s">
        <v>273</v>
      </c>
      <c r="F41" s="401"/>
      <c r="G41" s="401"/>
      <c r="H41" s="401"/>
      <c r="I41" s="401"/>
      <c r="J41" s="401"/>
      <c r="K41" s="401"/>
      <c r="L41" s="401"/>
      <c r="M41" s="401"/>
      <c r="N41" s="401"/>
    </row>
    <row r="42" spans="5:14" x14ac:dyDescent="0.25">
      <c r="E42" s="401"/>
      <c r="F42" s="401"/>
      <c r="G42" s="401"/>
      <c r="H42" s="401"/>
      <c r="I42" s="401"/>
      <c r="J42" s="401"/>
      <c r="K42" s="401"/>
      <c r="L42" s="401"/>
      <c r="M42" s="401"/>
      <c r="N42" s="401"/>
    </row>
    <row r="43" spans="5:14" x14ac:dyDescent="0.25">
      <c r="E43" s="401"/>
      <c r="F43" s="401"/>
      <c r="G43" s="401"/>
      <c r="H43" s="401"/>
      <c r="I43" s="401"/>
      <c r="J43" s="401"/>
      <c r="K43" s="401"/>
      <c r="L43" s="401"/>
      <c r="M43" s="401"/>
      <c r="N43" s="401"/>
    </row>
    <row r="44" spans="5:14" x14ac:dyDescent="0.25">
      <c r="E44" s="401"/>
      <c r="F44" s="401"/>
      <c r="G44" s="401"/>
      <c r="H44" s="401"/>
      <c r="I44" s="401"/>
      <c r="J44" s="401"/>
      <c r="K44" s="401"/>
      <c r="L44" s="401"/>
      <c r="M44" s="401"/>
      <c r="N44" s="401"/>
    </row>
    <row r="49" spans="3:14" ht="15" customHeight="1" x14ac:dyDescent="0.25">
      <c r="E49" s="400" t="s">
        <v>241</v>
      </c>
      <c r="F49" s="400"/>
      <c r="G49" s="400"/>
      <c r="H49" s="400"/>
      <c r="I49" s="400"/>
      <c r="J49" s="400"/>
      <c r="K49" s="400"/>
      <c r="L49" s="400"/>
      <c r="M49" s="400"/>
      <c r="N49" s="400"/>
    </row>
    <row r="50" spans="3:14" x14ac:dyDescent="0.25">
      <c r="E50" s="400"/>
      <c r="F50" s="400"/>
      <c r="G50" s="400"/>
      <c r="H50" s="400"/>
      <c r="I50" s="400"/>
      <c r="J50" s="400"/>
      <c r="K50" s="400"/>
      <c r="L50" s="400"/>
      <c r="M50" s="400"/>
      <c r="N50" s="400"/>
    </row>
    <row r="51" spans="3:14" x14ac:dyDescent="0.25">
      <c r="E51" s="400"/>
      <c r="F51" s="400"/>
      <c r="G51" s="400"/>
      <c r="H51" s="400"/>
      <c r="I51" s="400"/>
      <c r="J51" s="400"/>
      <c r="K51" s="400"/>
      <c r="L51" s="400"/>
      <c r="M51" s="400"/>
      <c r="N51" s="400"/>
    </row>
    <row r="52" spans="3:14" x14ac:dyDescent="0.25">
      <c r="E52" s="400"/>
      <c r="F52" s="400"/>
      <c r="G52" s="400"/>
      <c r="H52" s="400"/>
      <c r="I52" s="400"/>
      <c r="J52" s="400"/>
      <c r="K52" s="400"/>
      <c r="L52" s="400"/>
      <c r="M52" s="400"/>
      <c r="N52" s="400"/>
    </row>
    <row r="58" spans="3:14" x14ac:dyDescent="0.25">
      <c r="C58" s="332"/>
      <c r="E58" s="402" t="s">
        <v>242</v>
      </c>
      <c r="F58" s="402"/>
      <c r="G58" s="402"/>
      <c r="H58" s="402"/>
      <c r="I58" s="402"/>
      <c r="J58" s="402"/>
      <c r="K58" s="402"/>
      <c r="L58" s="402"/>
      <c r="M58" s="402"/>
      <c r="N58" s="402"/>
    </row>
    <row r="59" spans="3:14" x14ac:dyDescent="0.25">
      <c r="E59" s="402"/>
      <c r="F59" s="402"/>
      <c r="G59" s="402"/>
      <c r="H59" s="402"/>
      <c r="I59" s="402"/>
      <c r="J59" s="402"/>
      <c r="K59" s="402"/>
      <c r="L59" s="402"/>
      <c r="M59" s="402"/>
      <c r="N59" s="402"/>
    </row>
    <row r="60" spans="3:14" x14ac:dyDescent="0.25">
      <c r="E60" s="402"/>
      <c r="F60" s="402"/>
      <c r="G60" s="402"/>
      <c r="H60" s="402"/>
      <c r="I60" s="402"/>
      <c r="J60" s="402"/>
      <c r="K60" s="402"/>
      <c r="L60" s="402"/>
      <c r="M60" s="402"/>
      <c r="N60" s="402"/>
    </row>
    <row r="61" spans="3:14" x14ac:dyDescent="0.25">
      <c r="E61" s="333"/>
      <c r="F61" s="333"/>
      <c r="G61" s="333"/>
      <c r="H61" s="333"/>
      <c r="I61" s="333"/>
      <c r="J61" s="333"/>
      <c r="K61" s="333"/>
      <c r="L61" s="333"/>
      <c r="M61" s="333"/>
      <c r="N61" s="333"/>
    </row>
    <row r="62" spans="3:14" x14ac:dyDescent="0.25">
      <c r="E62" s="333"/>
      <c r="F62" s="333"/>
      <c r="G62" s="333"/>
      <c r="H62" s="333"/>
      <c r="I62" s="333"/>
      <c r="J62" s="333"/>
      <c r="K62" s="333"/>
      <c r="L62" s="333"/>
      <c r="M62" s="333"/>
      <c r="N62" s="333"/>
    </row>
    <row r="63" spans="3:14" x14ac:dyDescent="0.25">
      <c r="E63" s="333"/>
      <c r="F63" s="333"/>
      <c r="G63" s="333"/>
      <c r="H63" s="333"/>
      <c r="I63" s="333"/>
      <c r="J63" s="333"/>
      <c r="K63" s="333"/>
      <c r="L63" s="333"/>
      <c r="M63" s="333"/>
      <c r="N63" s="333"/>
    </row>
    <row r="64" spans="3:14" x14ac:dyDescent="0.25">
      <c r="E64" s="333"/>
      <c r="F64" s="333"/>
      <c r="G64" s="333"/>
      <c r="H64" s="333"/>
      <c r="I64" s="333"/>
      <c r="J64" s="333"/>
      <c r="K64" s="333"/>
      <c r="L64" s="333"/>
      <c r="M64" s="333"/>
      <c r="N64" s="333"/>
    </row>
    <row r="66" spans="5:14" ht="15" customHeight="1" x14ac:dyDescent="0.25">
      <c r="E66" s="399" t="s">
        <v>40</v>
      </c>
      <c r="F66" s="399"/>
      <c r="G66" s="399"/>
      <c r="H66" s="399"/>
      <c r="I66" s="399"/>
      <c r="J66" s="399"/>
      <c r="K66" s="399"/>
      <c r="L66" s="399"/>
      <c r="M66" s="399"/>
      <c r="N66" s="399"/>
    </row>
    <row r="67" spans="5:14" x14ac:dyDescent="0.25">
      <c r="E67" s="399"/>
      <c r="F67" s="399"/>
      <c r="G67" s="399"/>
      <c r="H67" s="399"/>
      <c r="I67" s="399"/>
      <c r="J67" s="399"/>
      <c r="K67" s="399"/>
      <c r="L67" s="399"/>
      <c r="M67" s="399"/>
      <c r="N67" s="399"/>
    </row>
    <row r="68" spans="5:14" x14ac:dyDescent="0.25">
      <c r="E68" s="399"/>
      <c r="F68" s="399"/>
      <c r="G68" s="399"/>
      <c r="H68" s="399"/>
      <c r="I68" s="399"/>
      <c r="J68" s="399"/>
      <c r="K68" s="399"/>
      <c r="L68" s="399"/>
      <c r="M68" s="399"/>
      <c r="N68" s="399"/>
    </row>
    <row r="74" spans="5:14" ht="15" customHeight="1" x14ac:dyDescent="0.25">
      <c r="E74" s="399" t="s">
        <v>243</v>
      </c>
      <c r="F74" s="399"/>
      <c r="G74" s="399"/>
      <c r="H74" s="399"/>
      <c r="I74" s="399"/>
      <c r="J74" s="399"/>
      <c r="K74" s="399"/>
      <c r="L74" s="399"/>
      <c r="M74" s="399"/>
      <c r="N74" s="399"/>
    </row>
    <row r="75" spans="5:14" x14ac:dyDescent="0.25">
      <c r="E75" s="399"/>
      <c r="F75" s="399"/>
      <c r="G75" s="399"/>
      <c r="H75" s="399"/>
      <c r="I75" s="399"/>
      <c r="J75" s="399"/>
      <c r="K75" s="399"/>
      <c r="L75" s="399"/>
      <c r="M75" s="399"/>
      <c r="N75" s="399"/>
    </row>
    <row r="76" spans="5:14" x14ac:dyDescent="0.25">
      <c r="E76" s="399"/>
      <c r="F76" s="399"/>
      <c r="G76" s="399"/>
      <c r="H76" s="399"/>
      <c r="I76" s="399"/>
      <c r="J76" s="399"/>
      <c r="K76" s="399"/>
      <c r="L76" s="399"/>
      <c r="M76" s="399"/>
      <c r="N76" s="399"/>
    </row>
    <row r="77" spans="5:14" x14ac:dyDescent="0.25">
      <c r="E77" s="399"/>
      <c r="F77" s="399"/>
      <c r="G77" s="399"/>
      <c r="H77" s="399"/>
      <c r="I77" s="399"/>
      <c r="J77" s="399"/>
      <c r="K77" s="399"/>
      <c r="L77" s="399"/>
      <c r="M77" s="399"/>
      <c r="N77" s="399"/>
    </row>
    <row r="78" spans="5:14" x14ac:dyDescent="0.25">
      <c r="E78" s="399"/>
      <c r="F78" s="399"/>
      <c r="G78" s="399"/>
      <c r="H78" s="399"/>
      <c r="I78" s="399"/>
      <c r="J78" s="399"/>
      <c r="K78" s="399"/>
      <c r="L78" s="399"/>
      <c r="M78" s="399"/>
      <c r="N78" s="399"/>
    </row>
    <row r="79" spans="5:14" x14ac:dyDescent="0.25">
      <c r="E79" s="399"/>
      <c r="F79" s="399"/>
      <c r="G79" s="399"/>
      <c r="H79" s="399"/>
      <c r="I79" s="399"/>
      <c r="J79" s="399"/>
      <c r="K79" s="399"/>
      <c r="L79" s="399"/>
      <c r="M79" s="399"/>
      <c r="N79" s="399"/>
    </row>
    <row r="80" spans="5:14" ht="62.25" customHeight="1" x14ac:dyDescent="0.25">
      <c r="E80" s="399"/>
      <c r="F80" s="399"/>
      <c r="G80" s="399"/>
      <c r="H80" s="399"/>
      <c r="I80" s="399"/>
      <c r="J80" s="399"/>
      <c r="K80" s="399"/>
      <c r="L80" s="399"/>
      <c r="M80" s="399"/>
      <c r="N80" s="399"/>
    </row>
    <row r="84" spans="5:14" x14ac:dyDescent="0.25">
      <c r="E84" s="402" t="s">
        <v>244</v>
      </c>
      <c r="F84" s="402"/>
      <c r="G84" s="402"/>
      <c r="H84" s="402"/>
      <c r="I84" s="402"/>
      <c r="J84" s="402"/>
      <c r="K84" s="402"/>
      <c r="L84" s="402"/>
      <c r="M84" s="402"/>
      <c r="N84" s="402"/>
    </row>
    <row r="85" spans="5:14" x14ac:dyDescent="0.25">
      <c r="E85" s="402"/>
      <c r="F85" s="402"/>
      <c r="G85" s="402"/>
      <c r="H85" s="402"/>
      <c r="I85" s="402"/>
      <c r="J85" s="402"/>
      <c r="K85" s="402"/>
      <c r="L85" s="402"/>
      <c r="M85" s="402"/>
      <c r="N85" s="402"/>
    </row>
    <row r="86" spans="5:14" x14ac:dyDescent="0.25">
      <c r="E86" s="402"/>
      <c r="F86" s="402"/>
      <c r="G86" s="402"/>
      <c r="H86" s="402"/>
      <c r="I86" s="402"/>
      <c r="J86" s="402"/>
      <c r="K86" s="402"/>
      <c r="L86" s="402"/>
      <c r="M86" s="402"/>
      <c r="N86" s="402"/>
    </row>
    <row r="90" spans="5:14" ht="15" customHeight="1" x14ac:dyDescent="0.25">
      <c r="E90" s="399" t="s">
        <v>115</v>
      </c>
      <c r="F90" s="399"/>
      <c r="G90" s="399"/>
      <c r="H90" s="399"/>
      <c r="I90" s="399"/>
      <c r="J90" s="399"/>
      <c r="K90" s="399"/>
      <c r="L90" s="399"/>
      <c r="M90" s="399"/>
      <c r="N90" s="399"/>
    </row>
    <row r="91" spans="5:14" x14ac:dyDescent="0.25">
      <c r="E91" s="399"/>
      <c r="F91" s="399"/>
      <c r="G91" s="399"/>
      <c r="H91" s="399"/>
      <c r="I91" s="399"/>
      <c r="J91" s="399"/>
      <c r="K91" s="399"/>
      <c r="L91" s="399"/>
      <c r="M91" s="399"/>
      <c r="N91" s="399"/>
    </row>
    <row r="92" spans="5:14" x14ac:dyDescent="0.25">
      <c r="E92" s="399"/>
      <c r="F92" s="399"/>
      <c r="G92" s="399"/>
      <c r="H92" s="399"/>
      <c r="I92" s="399"/>
      <c r="J92" s="399"/>
      <c r="K92" s="399"/>
      <c r="L92" s="399"/>
      <c r="M92" s="399"/>
      <c r="N92" s="399"/>
    </row>
    <row r="96" spans="5:14" x14ac:dyDescent="0.25">
      <c r="E96" s="399" t="s">
        <v>167</v>
      </c>
      <c r="F96" s="399"/>
      <c r="G96" s="399"/>
      <c r="H96" s="399"/>
      <c r="I96" s="399"/>
      <c r="J96" s="399"/>
      <c r="K96" s="399"/>
      <c r="L96" s="399"/>
      <c r="M96" s="399"/>
      <c r="N96" s="399"/>
    </row>
    <row r="97" spans="5:14" x14ac:dyDescent="0.25">
      <c r="E97" s="399"/>
      <c r="F97" s="399"/>
      <c r="G97" s="399"/>
      <c r="H97" s="399"/>
      <c r="I97" s="399"/>
      <c r="J97" s="399"/>
      <c r="K97" s="399"/>
      <c r="L97" s="399"/>
      <c r="M97" s="399"/>
      <c r="N97" s="399"/>
    </row>
    <row r="98" spans="5:14" x14ac:dyDescent="0.25">
      <c r="E98" s="399"/>
      <c r="F98" s="399"/>
      <c r="G98" s="399"/>
      <c r="H98" s="399"/>
      <c r="I98" s="399"/>
      <c r="J98" s="399"/>
      <c r="K98" s="399"/>
      <c r="L98" s="399"/>
      <c r="M98" s="399"/>
      <c r="N98" s="399"/>
    </row>
  </sheetData>
  <mergeCells count="10">
    <mergeCell ref="E22:N25"/>
    <mergeCell ref="E49:N52"/>
    <mergeCell ref="E66:N68"/>
    <mergeCell ref="E96:N98"/>
    <mergeCell ref="E90:N92"/>
    <mergeCell ref="E74:N80"/>
    <mergeCell ref="E41:N44"/>
    <mergeCell ref="E33:N37"/>
    <mergeCell ref="E58:N60"/>
    <mergeCell ref="E84:N86"/>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5:Y128"/>
  <sheetViews>
    <sheetView zoomScale="75" zoomScaleNormal="75" workbookViewId="0">
      <selection activeCell="A16" sqref="A16"/>
    </sheetView>
  </sheetViews>
  <sheetFormatPr defaultColWidth="9.140625" defaultRowHeight="15" x14ac:dyDescent="0.25"/>
  <cols>
    <col min="1" max="1" width="9.140625" style="3"/>
    <col min="2" max="8" width="9.140625" style="4"/>
    <col min="9" max="9" width="3.140625" style="1" customWidth="1"/>
    <col min="10" max="16" width="9.140625" style="4"/>
    <col min="17" max="17" width="3.7109375" style="1" customWidth="1"/>
    <col min="18" max="25" width="9.140625" style="4"/>
    <col min="26" max="16384" width="9.140625" style="1"/>
  </cols>
  <sheetData>
    <row r="15" spans="1:8" x14ac:dyDescent="0.25">
      <c r="B15" s="1"/>
      <c r="H15" s="3"/>
    </row>
    <row r="16" spans="1:8" x14ac:dyDescent="0.25">
      <c r="A16" s="27"/>
      <c r="B16" s="1"/>
      <c r="H16" s="27"/>
    </row>
    <row r="17" spans="1:25" ht="15" customHeight="1" x14ac:dyDescent="0.25">
      <c r="A17" s="15"/>
      <c r="B17" s="403" t="s">
        <v>116</v>
      </c>
      <c r="C17" s="403"/>
      <c r="D17" s="403"/>
      <c r="E17" s="403"/>
      <c r="F17" s="403"/>
      <c r="G17" s="403"/>
      <c r="H17" s="403"/>
      <c r="I17" s="403"/>
      <c r="J17" s="403"/>
      <c r="K17" s="403"/>
    </row>
    <row r="18" spans="1:25" x14ac:dyDescent="0.25">
      <c r="A18" s="27"/>
      <c r="B18" s="403"/>
      <c r="C18" s="403"/>
      <c r="D18" s="403"/>
      <c r="E18" s="403"/>
      <c r="F18" s="403"/>
      <c r="G18" s="403"/>
      <c r="H18" s="403"/>
      <c r="I18" s="403"/>
      <c r="J18" s="403"/>
      <c r="K18" s="403"/>
      <c r="M18" s="140"/>
    </row>
    <row r="19" spans="1:25" x14ac:dyDescent="0.25">
      <c r="B19" s="403"/>
      <c r="C19" s="403"/>
      <c r="D19" s="403"/>
      <c r="E19" s="403"/>
      <c r="F19" s="403"/>
      <c r="G19" s="403"/>
      <c r="H19" s="403"/>
      <c r="I19" s="403"/>
      <c r="J19" s="403"/>
      <c r="K19" s="403"/>
    </row>
    <row r="20" spans="1:25" x14ac:dyDescent="0.25">
      <c r="A20" s="1"/>
      <c r="B20" s="403"/>
      <c r="C20" s="403"/>
      <c r="D20" s="403"/>
      <c r="E20" s="403"/>
      <c r="F20" s="403"/>
      <c r="G20" s="403"/>
      <c r="H20" s="403"/>
      <c r="I20" s="403"/>
      <c r="J20" s="403"/>
      <c r="K20" s="403"/>
    </row>
    <row r="21" spans="1:25" s="26" customFormat="1" x14ac:dyDescent="0.25">
      <c r="B21" s="403"/>
      <c r="C21" s="403"/>
      <c r="D21" s="403"/>
      <c r="E21" s="403"/>
      <c r="F21" s="403"/>
      <c r="G21" s="403"/>
      <c r="H21" s="403"/>
      <c r="I21" s="403"/>
      <c r="J21" s="403"/>
      <c r="K21" s="403"/>
      <c r="L21" s="66"/>
      <c r="M21" s="66"/>
      <c r="N21" s="66"/>
      <c r="O21" s="66"/>
      <c r="P21" s="66"/>
      <c r="R21" s="66"/>
      <c r="S21" s="66"/>
      <c r="T21" s="66"/>
      <c r="U21" s="66"/>
      <c r="V21" s="66"/>
      <c r="W21" s="66"/>
      <c r="X21" s="66"/>
      <c r="Y21" s="66"/>
    </row>
    <row r="22" spans="1:25" s="26" customFormat="1" x14ac:dyDescent="0.25">
      <c r="B22" s="65"/>
      <c r="C22" s="66"/>
      <c r="D22" s="66"/>
      <c r="E22" s="66"/>
      <c r="F22" s="66"/>
      <c r="G22" s="66"/>
      <c r="H22" s="66"/>
      <c r="J22" s="66"/>
      <c r="K22" s="66"/>
      <c r="L22" s="66"/>
      <c r="M22" s="66"/>
      <c r="N22" s="66"/>
      <c r="O22" s="66"/>
      <c r="P22" s="66"/>
      <c r="R22" s="66"/>
      <c r="S22" s="66"/>
      <c r="T22" s="66"/>
      <c r="U22" s="66"/>
      <c r="V22" s="66"/>
      <c r="W22" s="66"/>
      <c r="X22" s="66"/>
      <c r="Y22" s="66"/>
    </row>
    <row r="23" spans="1:25" s="26" customFormat="1" x14ac:dyDescent="0.25">
      <c r="A23" s="64"/>
      <c r="B23" s="64" t="s">
        <v>1</v>
      </c>
      <c r="C23" s="66"/>
      <c r="D23" s="66"/>
      <c r="E23" s="66"/>
      <c r="F23" s="66"/>
      <c r="G23" s="66"/>
      <c r="H23" s="66"/>
      <c r="J23" s="64" t="s">
        <v>0</v>
      </c>
      <c r="K23" s="66"/>
      <c r="L23" s="66"/>
      <c r="M23" s="66"/>
      <c r="N23" s="66"/>
      <c r="O23" s="66"/>
      <c r="P23" s="66"/>
      <c r="R23" s="64" t="s">
        <v>4</v>
      </c>
      <c r="S23" s="66"/>
      <c r="T23" s="66"/>
      <c r="U23" s="66"/>
      <c r="V23" s="66"/>
      <c r="W23" s="66"/>
      <c r="X23" s="66"/>
      <c r="Y23" s="66"/>
    </row>
    <row r="24" spans="1:25" s="26" customFormat="1" x14ac:dyDescent="0.25">
      <c r="A24" s="217" t="s">
        <v>2</v>
      </c>
      <c r="B24" s="335">
        <v>2024</v>
      </c>
      <c r="C24" s="335">
        <v>2025</v>
      </c>
      <c r="D24" s="335">
        <v>2026</v>
      </c>
      <c r="E24" s="335">
        <v>2027</v>
      </c>
      <c r="F24" s="335">
        <v>2028</v>
      </c>
      <c r="G24" s="198"/>
      <c r="H24" s="261"/>
      <c r="I24" s="198"/>
      <c r="J24" s="335">
        <v>2024</v>
      </c>
      <c r="K24" s="335">
        <v>2025</v>
      </c>
      <c r="L24" s="335">
        <v>2026</v>
      </c>
      <c r="M24" s="335">
        <v>2027</v>
      </c>
      <c r="N24" s="335">
        <v>2028</v>
      </c>
      <c r="O24" s="198"/>
      <c r="P24" s="261"/>
      <c r="Q24" s="198"/>
      <c r="R24" s="335">
        <v>2024</v>
      </c>
      <c r="S24" s="335">
        <v>2025</v>
      </c>
      <c r="T24" s="335">
        <v>2026</v>
      </c>
      <c r="U24" s="335">
        <v>2027</v>
      </c>
      <c r="V24" s="335">
        <v>2028</v>
      </c>
      <c r="W24" s="198"/>
      <c r="X24" s="66"/>
    </row>
    <row r="25" spans="1:25" s="26" customFormat="1" x14ac:dyDescent="0.25">
      <c r="A25" s="67">
        <v>0</v>
      </c>
      <c r="B25">
        <v>29791</v>
      </c>
      <c r="C25">
        <v>29572</v>
      </c>
      <c r="D25">
        <v>29432</v>
      </c>
      <c r="E25">
        <v>29313</v>
      </c>
      <c r="F25">
        <v>29327</v>
      </c>
      <c r="G25" s="262"/>
      <c r="H25" s="263"/>
      <c r="I25" s="262"/>
      <c r="J25">
        <v>28299</v>
      </c>
      <c r="K25">
        <v>28091</v>
      </c>
      <c r="L25">
        <v>27961</v>
      </c>
      <c r="M25">
        <v>27849</v>
      </c>
      <c r="N25">
        <v>27858</v>
      </c>
      <c r="O25" s="262"/>
      <c r="P25" s="264"/>
      <c r="Q25" s="262"/>
      <c r="R25">
        <v>58090</v>
      </c>
      <c r="S25">
        <v>57663</v>
      </c>
      <c r="T25">
        <v>57393</v>
      </c>
      <c r="U25">
        <v>57162</v>
      </c>
      <c r="V25">
        <v>57185</v>
      </c>
      <c r="W25" s="198"/>
      <c r="X25" s="66"/>
    </row>
    <row r="26" spans="1:25" s="26" customFormat="1" x14ac:dyDescent="0.25">
      <c r="A26" s="67">
        <v>1</v>
      </c>
      <c r="B26">
        <v>29997</v>
      </c>
      <c r="C26">
        <v>29716</v>
      </c>
      <c r="D26">
        <v>29497</v>
      </c>
      <c r="E26">
        <v>29358</v>
      </c>
      <c r="F26">
        <v>29239</v>
      </c>
      <c r="G26" s="262"/>
      <c r="H26" s="263"/>
      <c r="I26" s="262"/>
      <c r="J26">
        <v>28542</v>
      </c>
      <c r="K26">
        <v>28271</v>
      </c>
      <c r="L26">
        <v>28063</v>
      </c>
      <c r="M26">
        <v>27933</v>
      </c>
      <c r="N26">
        <v>27822</v>
      </c>
      <c r="O26" s="262"/>
      <c r="P26" s="264"/>
      <c r="Q26" s="262"/>
      <c r="R26">
        <v>58539</v>
      </c>
      <c r="S26">
        <v>57987</v>
      </c>
      <c r="T26">
        <v>57560</v>
      </c>
      <c r="U26">
        <v>57291</v>
      </c>
      <c r="V26">
        <v>57061</v>
      </c>
      <c r="W26" s="198"/>
      <c r="X26" s="66"/>
    </row>
    <row r="27" spans="1:25" s="26" customFormat="1" x14ac:dyDescent="0.25">
      <c r="A27" s="67">
        <v>2</v>
      </c>
      <c r="B27">
        <v>30411</v>
      </c>
      <c r="C27">
        <v>30045</v>
      </c>
      <c r="D27">
        <v>29764</v>
      </c>
      <c r="E27">
        <v>29545</v>
      </c>
      <c r="F27">
        <v>29407</v>
      </c>
      <c r="G27" s="262"/>
      <c r="H27" s="263"/>
      <c r="I27" s="262"/>
      <c r="J27">
        <v>29024</v>
      </c>
      <c r="K27">
        <v>28680</v>
      </c>
      <c r="L27">
        <v>28409</v>
      </c>
      <c r="M27">
        <v>28201</v>
      </c>
      <c r="N27">
        <v>28071</v>
      </c>
      <c r="O27" s="262"/>
      <c r="P27" s="264"/>
      <c r="Q27" s="262"/>
      <c r="R27">
        <v>59435</v>
      </c>
      <c r="S27">
        <v>58725</v>
      </c>
      <c r="T27">
        <v>58173</v>
      </c>
      <c r="U27">
        <v>57746</v>
      </c>
      <c r="V27">
        <v>57478</v>
      </c>
      <c r="W27" s="198"/>
      <c r="X27" s="66"/>
    </row>
    <row r="28" spans="1:25" s="26" customFormat="1" x14ac:dyDescent="0.25">
      <c r="A28" s="67">
        <v>3</v>
      </c>
      <c r="B28">
        <v>30895</v>
      </c>
      <c r="C28">
        <v>30432</v>
      </c>
      <c r="D28">
        <v>30066</v>
      </c>
      <c r="E28">
        <v>29785</v>
      </c>
      <c r="F28">
        <v>29566</v>
      </c>
      <c r="G28" s="262"/>
      <c r="H28" s="263"/>
      <c r="I28" s="262"/>
      <c r="J28">
        <v>29563</v>
      </c>
      <c r="K28">
        <v>29124</v>
      </c>
      <c r="L28">
        <v>28780</v>
      </c>
      <c r="M28">
        <v>28509</v>
      </c>
      <c r="N28">
        <v>28301</v>
      </c>
      <c r="O28" s="262"/>
      <c r="P28" s="264"/>
      <c r="Q28" s="262"/>
      <c r="R28">
        <v>60458</v>
      </c>
      <c r="S28">
        <v>59556</v>
      </c>
      <c r="T28">
        <v>58846</v>
      </c>
      <c r="U28">
        <v>58294</v>
      </c>
      <c r="V28">
        <v>57867</v>
      </c>
      <c r="W28" s="198"/>
      <c r="X28" s="66"/>
    </row>
    <row r="29" spans="1:25" s="26" customFormat="1" x14ac:dyDescent="0.25">
      <c r="A29" s="67">
        <v>4</v>
      </c>
      <c r="B29">
        <v>31406</v>
      </c>
      <c r="C29">
        <v>30914</v>
      </c>
      <c r="D29">
        <v>30451</v>
      </c>
      <c r="E29">
        <v>30085</v>
      </c>
      <c r="F29">
        <v>29804</v>
      </c>
      <c r="G29" s="262"/>
      <c r="H29" s="263"/>
      <c r="I29" s="262"/>
      <c r="J29">
        <v>30100</v>
      </c>
      <c r="K29">
        <v>29626</v>
      </c>
      <c r="L29">
        <v>29187</v>
      </c>
      <c r="M29">
        <v>28843</v>
      </c>
      <c r="N29">
        <v>28572</v>
      </c>
      <c r="O29" s="262"/>
      <c r="P29" s="264"/>
      <c r="Q29" s="262"/>
      <c r="R29">
        <v>61506</v>
      </c>
      <c r="S29">
        <v>60540</v>
      </c>
      <c r="T29">
        <v>59638</v>
      </c>
      <c r="U29">
        <v>58928</v>
      </c>
      <c r="V29">
        <v>58376</v>
      </c>
      <c r="W29" s="198"/>
      <c r="X29" s="66"/>
    </row>
    <row r="30" spans="1:25" s="26" customFormat="1" x14ac:dyDescent="0.25">
      <c r="A30" s="67">
        <v>5</v>
      </c>
      <c r="B30">
        <v>32102</v>
      </c>
      <c r="C30">
        <v>31720</v>
      </c>
      <c r="D30">
        <v>31229</v>
      </c>
      <c r="E30">
        <v>30766</v>
      </c>
      <c r="F30">
        <v>30400</v>
      </c>
      <c r="G30" s="262"/>
      <c r="H30" s="263"/>
      <c r="I30" s="262"/>
      <c r="J30">
        <v>30726</v>
      </c>
      <c r="K30">
        <v>30364</v>
      </c>
      <c r="L30">
        <v>29890</v>
      </c>
      <c r="M30">
        <v>29451</v>
      </c>
      <c r="N30">
        <v>29107</v>
      </c>
      <c r="O30" s="262"/>
      <c r="P30" s="264"/>
      <c r="Q30" s="262"/>
      <c r="R30">
        <v>62828</v>
      </c>
      <c r="S30">
        <v>62084</v>
      </c>
      <c r="T30">
        <v>61119</v>
      </c>
      <c r="U30">
        <v>60217</v>
      </c>
      <c r="V30">
        <v>59507</v>
      </c>
      <c r="W30" s="198"/>
      <c r="X30" s="66"/>
    </row>
    <row r="31" spans="1:25" s="26" customFormat="1" x14ac:dyDescent="0.25">
      <c r="A31" s="67">
        <v>6</v>
      </c>
      <c r="B31">
        <v>32749</v>
      </c>
      <c r="C31">
        <v>32378</v>
      </c>
      <c r="D31">
        <v>31997</v>
      </c>
      <c r="E31">
        <v>31506</v>
      </c>
      <c r="F31">
        <v>31043</v>
      </c>
      <c r="G31" s="262"/>
      <c r="H31" s="263"/>
      <c r="I31" s="262"/>
      <c r="J31">
        <v>31335</v>
      </c>
      <c r="K31">
        <v>30974</v>
      </c>
      <c r="L31">
        <v>30612</v>
      </c>
      <c r="M31">
        <v>30138</v>
      </c>
      <c r="N31">
        <v>29699</v>
      </c>
      <c r="O31" s="262"/>
      <c r="P31" s="264"/>
      <c r="Q31" s="262"/>
      <c r="R31">
        <v>64084</v>
      </c>
      <c r="S31">
        <v>63352</v>
      </c>
      <c r="T31">
        <v>62609</v>
      </c>
      <c r="U31">
        <v>61644</v>
      </c>
      <c r="V31">
        <v>60742</v>
      </c>
      <c r="W31" s="198"/>
      <c r="X31" s="66"/>
    </row>
    <row r="32" spans="1:25" s="26" customFormat="1" x14ac:dyDescent="0.25">
      <c r="A32" s="67">
        <v>7</v>
      </c>
      <c r="B32">
        <v>33361</v>
      </c>
      <c r="C32">
        <v>32966</v>
      </c>
      <c r="D32">
        <v>32595</v>
      </c>
      <c r="E32">
        <v>32214</v>
      </c>
      <c r="F32">
        <v>31724</v>
      </c>
      <c r="G32" s="262"/>
      <c r="H32" s="263"/>
      <c r="I32" s="262"/>
      <c r="J32">
        <v>31906</v>
      </c>
      <c r="K32">
        <v>31527</v>
      </c>
      <c r="L32">
        <v>31166</v>
      </c>
      <c r="M32">
        <v>30804</v>
      </c>
      <c r="N32">
        <v>30330</v>
      </c>
      <c r="O32" s="262"/>
      <c r="P32" s="264"/>
      <c r="Q32" s="262"/>
      <c r="R32">
        <v>65267</v>
      </c>
      <c r="S32">
        <v>64493</v>
      </c>
      <c r="T32">
        <v>63761</v>
      </c>
      <c r="U32">
        <v>63018</v>
      </c>
      <c r="V32">
        <v>62054</v>
      </c>
      <c r="W32" s="198"/>
      <c r="X32" s="66"/>
    </row>
    <row r="33" spans="1:24" s="26" customFormat="1" x14ac:dyDescent="0.25">
      <c r="A33" s="67">
        <v>8</v>
      </c>
      <c r="B33">
        <v>32851</v>
      </c>
      <c r="C33">
        <v>33587</v>
      </c>
      <c r="D33">
        <v>33192</v>
      </c>
      <c r="E33">
        <v>32821</v>
      </c>
      <c r="F33">
        <v>32440</v>
      </c>
      <c r="G33" s="262"/>
      <c r="H33" s="263"/>
      <c r="I33" s="262"/>
      <c r="J33">
        <v>31495</v>
      </c>
      <c r="K33">
        <v>32096</v>
      </c>
      <c r="L33">
        <v>31717</v>
      </c>
      <c r="M33">
        <v>31356</v>
      </c>
      <c r="N33">
        <v>30994</v>
      </c>
      <c r="O33" s="262"/>
      <c r="P33" s="264"/>
      <c r="Q33" s="262"/>
      <c r="R33">
        <v>64346</v>
      </c>
      <c r="S33">
        <v>65683</v>
      </c>
      <c r="T33">
        <v>64909</v>
      </c>
      <c r="U33">
        <v>64177</v>
      </c>
      <c r="V33">
        <v>63434</v>
      </c>
      <c r="W33" s="198"/>
      <c r="X33" s="66"/>
    </row>
    <row r="34" spans="1:24" s="26" customFormat="1" x14ac:dyDescent="0.25">
      <c r="A34" s="67">
        <v>9</v>
      </c>
      <c r="B34">
        <v>34075</v>
      </c>
      <c r="C34">
        <v>33040</v>
      </c>
      <c r="D34">
        <v>33776</v>
      </c>
      <c r="E34">
        <v>33381</v>
      </c>
      <c r="F34">
        <v>33010</v>
      </c>
      <c r="G34" s="262"/>
      <c r="H34" s="263"/>
      <c r="I34" s="262"/>
      <c r="J34">
        <v>32500</v>
      </c>
      <c r="K34">
        <v>31647</v>
      </c>
      <c r="L34">
        <v>32248</v>
      </c>
      <c r="M34">
        <v>31869</v>
      </c>
      <c r="N34">
        <v>31508</v>
      </c>
      <c r="O34" s="262"/>
      <c r="P34" s="264"/>
      <c r="Q34" s="262"/>
      <c r="R34">
        <v>66575</v>
      </c>
      <c r="S34">
        <v>64687</v>
      </c>
      <c r="T34">
        <v>66024</v>
      </c>
      <c r="U34">
        <v>65250</v>
      </c>
      <c r="V34">
        <v>64518</v>
      </c>
      <c r="W34" s="198"/>
      <c r="X34" s="66"/>
    </row>
    <row r="35" spans="1:24" s="26" customFormat="1" x14ac:dyDescent="0.25">
      <c r="A35" s="67">
        <v>10</v>
      </c>
      <c r="B35">
        <v>35406</v>
      </c>
      <c r="C35">
        <v>34235</v>
      </c>
      <c r="D35">
        <v>33200</v>
      </c>
      <c r="E35">
        <v>33936</v>
      </c>
      <c r="F35">
        <v>33541</v>
      </c>
      <c r="G35" s="262"/>
      <c r="H35" s="263"/>
      <c r="I35" s="262"/>
      <c r="J35">
        <v>33593</v>
      </c>
      <c r="K35">
        <v>32626</v>
      </c>
      <c r="L35">
        <v>31773</v>
      </c>
      <c r="M35">
        <v>32374</v>
      </c>
      <c r="N35">
        <v>31995</v>
      </c>
      <c r="O35" s="262"/>
      <c r="P35" s="264"/>
      <c r="Q35" s="262"/>
      <c r="R35">
        <v>68999</v>
      </c>
      <c r="S35">
        <v>66861</v>
      </c>
      <c r="T35">
        <v>64973</v>
      </c>
      <c r="U35">
        <v>66310</v>
      </c>
      <c r="V35">
        <v>65536</v>
      </c>
      <c r="W35" s="198"/>
      <c r="X35" s="66"/>
    </row>
    <row r="36" spans="1:24" s="26" customFormat="1" x14ac:dyDescent="0.25">
      <c r="A36" s="67">
        <v>11</v>
      </c>
      <c r="B36">
        <v>36403</v>
      </c>
      <c r="C36">
        <v>35571</v>
      </c>
      <c r="D36">
        <v>34400</v>
      </c>
      <c r="E36">
        <v>33365</v>
      </c>
      <c r="F36">
        <v>34101</v>
      </c>
      <c r="G36" s="262"/>
      <c r="H36" s="263"/>
      <c r="I36" s="262"/>
      <c r="J36">
        <v>34664</v>
      </c>
      <c r="K36">
        <v>33717</v>
      </c>
      <c r="L36">
        <v>32750</v>
      </c>
      <c r="M36">
        <v>31897</v>
      </c>
      <c r="N36">
        <v>32498</v>
      </c>
      <c r="O36" s="262"/>
      <c r="P36" s="264"/>
      <c r="Q36" s="262"/>
      <c r="R36">
        <v>71067</v>
      </c>
      <c r="S36">
        <v>69288</v>
      </c>
      <c r="T36">
        <v>67150</v>
      </c>
      <c r="U36">
        <v>65262</v>
      </c>
      <c r="V36">
        <v>66599</v>
      </c>
      <c r="W36" s="198"/>
      <c r="X36" s="66"/>
    </row>
    <row r="37" spans="1:24" s="26" customFormat="1" x14ac:dyDescent="0.25">
      <c r="A37" s="67">
        <v>12</v>
      </c>
      <c r="B37">
        <v>37926</v>
      </c>
      <c r="C37">
        <v>36514</v>
      </c>
      <c r="D37">
        <v>35682</v>
      </c>
      <c r="E37">
        <v>34511</v>
      </c>
      <c r="F37">
        <v>33476</v>
      </c>
      <c r="G37" s="262"/>
      <c r="H37" s="263"/>
      <c r="I37" s="262"/>
      <c r="J37">
        <v>36027</v>
      </c>
      <c r="K37">
        <v>34757</v>
      </c>
      <c r="L37">
        <v>33810</v>
      </c>
      <c r="M37">
        <v>32843</v>
      </c>
      <c r="N37">
        <v>31990</v>
      </c>
      <c r="O37" s="262"/>
      <c r="P37" s="264"/>
      <c r="Q37" s="262"/>
      <c r="R37">
        <v>73953</v>
      </c>
      <c r="S37">
        <v>71271</v>
      </c>
      <c r="T37">
        <v>69492</v>
      </c>
      <c r="U37">
        <v>67354</v>
      </c>
      <c r="V37">
        <v>65466</v>
      </c>
      <c r="W37" s="198"/>
      <c r="X37" s="66"/>
    </row>
    <row r="38" spans="1:24" s="26" customFormat="1" x14ac:dyDescent="0.25">
      <c r="A38" s="67">
        <v>13</v>
      </c>
      <c r="B38">
        <v>38325</v>
      </c>
      <c r="C38">
        <v>38056</v>
      </c>
      <c r="D38">
        <v>36644</v>
      </c>
      <c r="E38">
        <v>35812</v>
      </c>
      <c r="F38">
        <v>34641</v>
      </c>
      <c r="G38" s="262"/>
      <c r="H38" s="263"/>
      <c r="I38" s="262"/>
      <c r="J38">
        <v>36809</v>
      </c>
      <c r="K38">
        <v>36140</v>
      </c>
      <c r="L38">
        <v>34870</v>
      </c>
      <c r="M38">
        <v>33923</v>
      </c>
      <c r="N38">
        <v>32956</v>
      </c>
      <c r="O38" s="262"/>
      <c r="P38" s="264"/>
      <c r="Q38" s="262"/>
      <c r="R38">
        <v>75134</v>
      </c>
      <c r="S38">
        <v>74196</v>
      </c>
      <c r="T38">
        <v>71514</v>
      </c>
      <c r="U38">
        <v>69735</v>
      </c>
      <c r="V38">
        <v>67597</v>
      </c>
      <c r="W38" s="198"/>
      <c r="X38" s="66"/>
    </row>
    <row r="39" spans="1:24" s="26" customFormat="1" x14ac:dyDescent="0.25">
      <c r="A39" s="67">
        <v>14</v>
      </c>
      <c r="B39">
        <v>38423</v>
      </c>
      <c r="C39">
        <v>38484</v>
      </c>
      <c r="D39">
        <v>38215</v>
      </c>
      <c r="E39">
        <v>36803</v>
      </c>
      <c r="F39">
        <v>35971</v>
      </c>
      <c r="G39" s="262"/>
      <c r="H39" s="263"/>
      <c r="I39" s="262"/>
      <c r="J39">
        <v>36581</v>
      </c>
      <c r="K39">
        <v>36952</v>
      </c>
      <c r="L39">
        <v>36283</v>
      </c>
      <c r="M39">
        <v>35013</v>
      </c>
      <c r="N39">
        <v>34066</v>
      </c>
      <c r="O39" s="262"/>
      <c r="P39" s="264"/>
      <c r="Q39" s="262"/>
      <c r="R39">
        <v>75004</v>
      </c>
      <c r="S39">
        <v>75436</v>
      </c>
      <c r="T39">
        <v>74498</v>
      </c>
      <c r="U39">
        <v>71816</v>
      </c>
      <c r="V39">
        <v>70037</v>
      </c>
      <c r="W39" s="198"/>
      <c r="X39" s="66"/>
    </row>
    <row r="40" spans="1:24" s="26" customFormat="1" x14ac:dyDescent="0.25">
      <c r="A40" s="67">
        <v>15</v>
      </c>
      <c r="B40">
        <v>38049</v>
      </c>
      <c r="C40">
        <v>38504</v>
      </c>
      <c r="D40">
        <v>38565</v>
      </c>
      <c r="E40">
        <v>38296</v>
      </c>
      <c r="F40">
        <v>36885</v>
      </c>
      <c r="G40" s="262"/>
      <c r="H40" s="263"/>
      <c r="I40" s="262"/>
      <c r="J40">
        <v>36293</v>
      </c>
      <c r="K40">
        <v>36654</v>
      </c>
      <c r="L40">
        <v>37025</v>
      </c>
      <c r="M40">
        <v>36356</v>
      </c>
      <c r="N40">
        <v>35086</v>
      </c>
      <c r="O40" s="262"/>
      <c r="P40" s="264"/>
      <c r="Q40" s="262"/>
      <c r="R40">
        <v>74342</v>
      </c>
      <c r="S40">
        <v>75158</v>
      </c>
      <c r="T40">
        <v>75590</v>
      </c>
      <c r="U40">
        <v>74652</v>
      </c>
      <c r="V40">
        <v>71971</v>
      </c>
      <c r="W40" s="198"/>
      <c r="X40" s="66"/>
    </row>
    <row r="41" spans="1:24" s="26" customFormat="1" x14ac:dyDescent="0.25">
      <c r="A41" s="67">
        <v>16</v>
      </c>
      <c r="B41">
        <v>37503</v>
      </c>
      <c r="C41">
        <v>38114</v>
      </c>
      <c r="D41">
        <v>38569</v>
      </c>
      <c r="E41">
        <v>38630</v>
      </c>
      <c r="F41">
        <v>38361</v>
      </c>
      <c r="G41" s="262"/>
      <c r="H41" s="263"/>
      <c r="I41" s="262"/>
      <c r="J41">
        <v>35942</v>
      </c>
      <c r="K41">
        <v>36366</v>
      </c>
      <c r="L41">
        <v>36727</v>
      </c>
      <c r="M41">
        <v>37098</v>
      </c>
      <c r="N41">
        <v>36429</v>
      </c>
      <c r="O41" s="262"/>
      <c r="P41" s="264"/>
      <c r="Q41" s="262"/>
      <c r="R41">
        <v>73445</v>
      </c>
      <c r="S41">
        <v>74480</v>
      </c>
      <c r="T41">
        <v>75296</v>
      </c>
      <c r="U41">
        <v>75728</v>
      </c>
      <c r="V41">
        <v>74790</v>
      </c>
      <c r="W41" s="198"/>
      <c r="X41" s="66"/>
    </row>
    <row r="42" spans="1:24" s="26" customFormat="1" x14ac:dyDescent="0.25">
      <c r="A42" s="67">
        <v>17</v>
      </c>
      <c r="B42">
        <v>35244</v>
      </c>
      <c r="C42">
        <v>37569</v>
      </c>
      <c r="D42">
        <v>38180</v>
      </c>
      <c r="E42">
        <v>38635</v>
      </c>
      <c r="F42">
        <v>38696</v>
      </c>
      <c r="G42" s="262"/>
      <c r="H42" s="263"/>
      <c r="I42" s="262"/>
      <c r="J42">
        <v>33453</v>
      </c>
      <c r="K42">
        <v>36025</v>
      </c>
      <c r="L42">
        <v>36449</v>
      </c>
      <c r="M42">
        <v>36810</v>
      </c>
      <c r="N42">
        <v>37181</v>
      </c>
      <c r="O42" s="262"/>
      <c r="P42" s="264"/>
      <c r="Q42" s="262"/>
      <c r="R42">
        <v>68697</v>
      </c>
      <c r="S42">
        <v>73594</v>
      </c>
      <c r="T42">
        <v>74629</v>
      </c>
      <c r="U42">
        <v>75445</v>
      </c>
      <c r="V42">
        <v>75877</v>
      </c>
      <c r="W42" s="198"/>
      <c r="X42" s="66"/>
    </row>
    <row r="43" spans="1:24" s="26" customFormat="1" x14ac:dyDescent="0.25">
      <c r="A43" s="67">
        <v>18</v>
      </c>
      <c r="B43">
        <v>34155</v>
      </c>
      <c r="C43">
        <v>35484</v>
      </c>
      <c r="D43">
        <v>37808</v>
      </c>
      <c r="E43">
        <v>38419</v>
      </c>
      <c r="F43">
        <v>38874</v>
      </c>
      <c r="G43" s="262"/>
      <c r="H43" s="263"/>
      <c r="I43" s="262"/>
      <c r="J43">
        <v>32559</v>
      </c>
      <c r="K43">
        <v>33725</v>
      </c>
      <c r="L43">
        <v>36297</v>
      </c>
      <c r="M43">
        <v>36721</v>
      </c>
      <c r="N43">
        <v>37082</v>
      </c>
      <c r="O43" s="262"/>
      <c r="P43" s="264"/>
      <c r="Q43" s="262"/>
      <c r="R43">
        <v>66714</v>
      </c>
      <c r="S43">
        <v>69209</v>
      </c>
      <c r="T43">
        <v>74105</v>
      </c>
      <c r="U43">
        <v>75140</v>
      </c>
      <c r="V43">
        <v>75956</v>
      </c>
      <c r="W43" s="198"/>
      <c r="X43" s="66"/>
    </row>
    <row r="44" spans="1:24" s="26" customFormat="1" x14ac:dyDescent="0.25">
      <c r="A44" s="67">
        <v>19</v>
      </c>
      <c r="B44">
        <v>34235</v>
      </c>
      <c r="C44">
        <v>34497</v>
      </c>
      <c r="D44">
        <v>35826</v>
      </c>
      <c r="E44">
        <v>38150</v>
      </c>
      <c r="F44">
        <v>38761</v>
      </c>
      <c r="G44" s="262"/>
      <c r="H44" s="263"/>
      <c r="I44" s="262"/>
      <c r="J44">
        <v>32190</v>
      </c>
      <c r="K44">
        <v>32955</v>
      </c>
      <c r="L44">
        <v>34122</v>
      </c>
      <c r="M44">
        <v>36693</v>
      </c>
      <c r="N44">
        <v>37117</v>
      </c>
      <c r="O44" s="262"/>
      <c r="P44" s="264"/>
      <c r="Q44" s="262"/>
      <c r="R44">
        <v>66425</v>
      </c>
      <c r="S44">
        <v>67452</v>
      </c>
      <c r="T44">
        <v>69948</v>
      </c>
      <c r="U44">
        <v>74843</v>
      </c>
      <c r="V44">
        <v>75878</v>
      </c>
      <c r="W44" s="198"/>
      <c r="X44" s="66"/>
    </row>
    <row r="45" spans="1:24" s="26" customFormat="1" x14ac:dyDescent="0.25">
      <c r="A45" s="67">
        <v>20</v>
      </c>
      <c r="B45">
        <v>33942</v>
      </c>
      <c r="C45">
        <v>34263</v>
      </c>
      <c r="D45">
        <v>34525</v>
      </c>
      <c r="E45">
        <v>35854</v>
      </c>
      <c r="F45">
        <v>38177</v>
      </c>
      <c r="G45" s="262"/>
      <c r="H45" s="263"/>
      <c r="I45" s="262"/>
      <c r="J45">
        <v>32690</v>
      </c>
      <c r="K45">
        <v>32343</v>
      </c>
      <c r="L45">
        <v>33108</v>
      </c>
      <c r="M45">
        <v>34275</v>
      </c>
      <c r="N45">
        <v>36846</v>
      </c>
      <c r="O45" s="262"/>
      <c r="P45" s="264"/>
      <c r="Q45" s="262"/>
      <c r="R45">
        <v>66632</v>
      </c>
      <c r="S45">
        <v>66606</v>
      </c>
      <c r="T45">
        <v>67633</v>
      </c>
      <c r="U45">
        <v>70129</v>
      </c>
      <c r="V45">
        <v>75023</v>
      </c>
      <c r="W45" s="198"/>
      <c r="X45" s="66"/>
    </row>
    <row r="46" spans="1:24" s="26" customFormat="1" x14ac:dyDescent="0.25">
      <c r="A46" s="67">
        <v>21</v>
      </c>
      <c r="B46">
        <v>33503</v>
      </c>
      <c r="C46">
        <v>34208</v>
      </c>
      <c r="D46">
        <v>34529</v>
      </c>
      <c r="E46">
        <v>34792</v>
      </c>
      <c r="F46">
        <v>36120</v>
      </c>
      <c r="G46" s="262"/>
      <c r="H46" s="263"/>
      <c r="I46" s="262"/>
      <c r="J46">
        <v>32692</v>
      </c>
      <c r="K46">
        <v>33084</v>
      </c>
      <c r="L46">
        <v>32738</v>
      </c>
      <c r="M46">
        <v>33502</v>
      </c>
      <c r="N46">
        <v>34669</v>
      </c>
      <c r="O46" s="262"/>
      <c r="P46" s="264"/>
      <c r="Q46" s="262"/>
      <c r="R46">
        <v>66195</v>
      </c>
      <c r="S46">
        <v>67292</v>
      </c>
      <c r="T46">
        <v>67267</v>
      </c>
      <c r="U46">
        <v>68294</v>
      </c>
      <c r="V46">
        <v>70789</v>
      </c>
      <c r="W46" s="198"/>
      <c r="X46" s="66"/>
    </row>
    <row r="47" spans="1:24" s="26" customFormat="1" x14ac:dyDescent="0.25">
      <c r="A47" s="67">
        <v>22</v>
      </c>
      <c r="B47">
        <v>33558</v>
      </c>
      <c r="C47">
        <v>34100</v>
      </c>
      <c r="D47">
        <v>34805</v>
      </c>
      <c r="E47">
        <v>35126</v>
      </c>
      <c r="F47">
        <v>35389</v>
      </c>
      <c r="G47" s="262"/>
      <c r="H47" s="263"/>
      <c r="I47" s="262"/>
      <c r="J47">
        <v>32957</v>
      </c>
      <c r="K47">
        <v>33487</v>
      </c>
      <c r="L47">
        <v>33879</v>
      </c>
      <c r="M47">
        <v>33533</v>
      </c>
      <c r="N47">
        <v>34297</v>
      </c>
      <c r="O47" s="262"/>
      <c r="P47" s="264"/>
      <c r="Q47" s="262"/>
      <c r="R47">
        <v>66515</v>
      </c>
      <c r="S47">
        <v>67587</v>
      </c>
      <c r="T47">
        <v>68684</v>
      </c>
      <c r="U47">
        <v>68659</v>
      </c>
      <c r="V47">
        <v>69686</v>
      </c>
      <c r="W47" s="198"/>
      <c r="X47" s="66"/>
    </row>
    <row r="48" spans="1:24" s="26" customFormat="1" x14ac:dyDescent="0.25">
      <c r="A48" s="67">
        <v>23</v>
      </c>
      <c r="B48">
        <v>33530</v>
      </c>
      <c r="C48">
        <v>34218</v>
      </c>
      <c r="D48">
        <v>34760</v>
      </c>
      <c r="E48">
        <v>35465</v>
      </c>
      <c r="F48">
        <v>35786</v>
      </c>
      <c r="G48" s="262"/>
      <c r="H48" s="263"/>
      <c r="I48" s="262"/>
      <c r="J48">
        <v>32827</v>
      </c>
      <c r="K48">
        <v>33751</v>
      </c>
      <c r="L48">
        <v>34281</v>
      </c>
      <c r="M48">
        <v>34673</v>
      </c>
      <c r="N48">
        <v>34327</v>
      </c>
      <c r="O48" s="262"/>
      <c r="P48" s="264"/>
      <c r="Q48" s="262"/>
      <c r="R48">
        <v>66357</v>
      </c>
      <c r="S48">
        <v>67969</v>
      </c>
      <c r="T48">
        <v>69041</v>
      </c>
      <c r="U48">
        <v>70138</v>
      </c>
      <c r="V48">
        <v>70113</v>
      </c>
      <c r="W48" s="198"/>
      <c r="X48" s="66"/>
    </row>
    <row r="49" spans="1:24" s="26" customFormat="1" x14ac:dyDescent="0.25">
      <c r="A49" s="67">
        <v>24</v>
      </c>
      <c r="B49">
        <v>34241</v>
      </c>
      <c r="C49">
        <v>34402</v>
      </c>
      <c r="D49">
        <v>35090</v>
      </c>
      <c r="E49">
        <v>35632</v>
      </c>
      <c r="F49">
        <v>36337</v>
      </c>
      <c r="G49" s="262"/>
      <c r="H49" s="263"/>
      <c r="I49" s="262"/>
      <c r="J49">
        <v>33620</v>
      </c>
      <c r="K49">
        <v>33807</v>
      </c>
      <c r="L49">
        <v>34731</v>
      </c>
      <c r="M49">
        <v>35261</v>
      </c>
      <c r="N49">
        <v>35653</v>
      </c>
      <c r="O49" s="262"/>
      <c r="P49" s="264"/>
      <c r="Q49" s="262"/>
      <c r="R49">
        <v>67861</v>
      </c>
      <c r="S49">
        <v>68209</v>
      </c>
      <c r="T49">
        <v>69821</v>
      </c>
      <c r="U49">
        <v>70893</v>
      </c>
      <c r="V49">
        <v>71990</v>
      </c>
      <c r="W49" s="198"/>
      <c r="X49" s="66"/>
    </row>
    <row r="50" spans="1:24" s="26" customFormat="1" x14ac:dyDescent="0.25">
      <c r="A50" s="67">
        <v>25</v>
      </c>
      <c r="B50">
        <v>35090</v>
      </c>
      <c r="C50">
        <v>34957</v>
      </c>
      <c r="D50">
        <v>35118</v>
      </c>
      <c r="E50">
        <v>35806</v>
      </c>
      <c r="F50">
        <v>36348</v>
      </c>
      <c r="G50" s="262"/>
      <c r="H50" s="263"/>
      <c r="I50" s="262"/>
      <c r="J50">
        <v>34274</v>
      </c>
      <c r="K50">
        <v>34531</v>
      </c>
      <c r="L50">
        <v>34718</v>
      </c>
      <c r="M50">
        <v>35642</v>
      </c>
      <c r="N50">
        <v>36172</v>
      </c>
      <c r="O50" s="262"/>
      <c r="P50" s="264"/>
      <c r="Q50" s="262"/>
      <c r="R50">
        <v>69364</v>
      </c>
      <c r="S50">
        <v>69488</v>
      </c>
      <c r="T50">
        <v>69836</v>
      </c>
      <c r="U50">
        <v>71448</v>
      </c>
      <c r="V50">
        <v>72520</v>
      </c>
      <c r="W50" s="198"/>
      <c r="X50" s="66"/>
    </row>
    <row r="51" spans="1:24" s="26" customFormat="1" x14ac:dyDescent="0.25">
      <c r="A51" s="67">
        <v>26</v>
      </c>
      <c r="B51">
        <v>35485</v>
      </c>
      <c r="C51">
        <v>35858</v>
      </c>
      <c r="D51">
        <v>35725</v>
      </c>
      <c r="E51">
        <v>35886</v>
      </c>
      <c r="F51">
        <v>36574</v>
      </c>
      <c r="G51" s="262"/>
      <c r="H51" s="263"/>
      <c r="I51" s="262"/>
      <c r="J51">
        <v>34916</v>
      </c>
      <c r="K51">
        <v>35112</v>
      </c>
      <c r="L51">
        <v>35370</v>
      </c>
      <c r="M51">
        <v>35557</v>
      </c>
      <c r="N51">
        <v>36481</v>
      </c>
      <c r="O51" s="262"/>
      <c r="P51" s="264"/>
      <c r="Q51" s="262"/>
      <c r="R51">
        <v>70401</v>
      </c>
      <c r="S51">
        <v>70970</v>
      </c>
      <c r="T51">
        <v>71095</v>
      </c>
      <c r="U51">
        <v>71443</v>
      </c>
      <c r="V51">
        <v>73055</v>
      </c>
      <c r="W51" s="198"/>
      <c r="X51" s="66"/>
    </row>
    <row r="52" spans="1:24" s="26" customFormat="1" x14ac:dyDescent="0.25">
      <c r="A52" s="67">
        <v>27</v>
      </c>
      <c r="B52">
        <v>33662</v>
      </c>
      <c r="C52">
        <v>36053</v>
      </c>
      <c r="D52">
        <v>36427</v>
      </c>
      <c r="E52">
        <v>36294</v>
      </c>
      <c r="F52">
        <v>36455</v>
      </c>
      <c r="G52" s="262"/>
      <c r="H52" s="263"/>
      <c r="I52" s="262"/>
      <c r="J52">
        <v>33499</v>
      </c>
      <c r="K52">
        <v>35609</v>
      </c>
      <c r="L52">
        <v>35805</v>
      </c>
      <c r="M52">
        <v>36063</v>
      </c>
      <c r="N52">
        <v>36250</v>
      </c>
      <c r="O52" s="262"/>
      <c r="P52" s="264"/>
      <c r="Q52" s="262"/>
      <c r="R52">
        <v>67161</v>
      </c>
      <c r="S52">
        <v>71662</v>
      </c>
      <c r="T52">
        <v>72232</v>
      </c>
      <c r="U52">
        <v>72357</v>
      </c>
      <c r="V52">
        <v>72705</v>
      </c>
      <c r="W52" s="198"/>
      <c r="X52" s="66"/>
    </row>
    <row r="53" spans="1:24" s="26" customFormat="1" x14ac:dyDescent="0.25">
      <c r="A53" s="67">
        <v>28</v>
      </c>
      <c r="B53">
        <v>33435</v>
      </c>
      <c r="C53">
        <v>34199</v>
      </c>
      <c r="D53">
        <v>36590</v>
      </c>
      <c r="E53">
        <v>36964</v>
      </c>
      <c r="F53">
        <v>36832</v>
      </c>
      <c r="G53" s="262"/>
      <c r="H53" s="263"/>
      <c r="I53" s="262"/>
      <c r="J53">
        <v>33413</v>
      </c>
      <c r="K53">
        <v>34105</v>
      </c>
      <c r="L53">
        <v>36214</v>
      </c>
      <c r="M53">
        <v>36410</v>
      </c>
      <c r="N53">
        <v>36668</v>
      </c>
      <c r="O53" s="262"/>
      <c r="P53" s="264"/>
      <c r="Q53" s="262"/>
      <c r="R53">
        <v>66848</v>
      </c>
      <c r="S53">
        <v>68304</v>
      </c>
      <c r="T53">
        <v>72804</v>
      </c>
      <c r="U53">
        <v>73374</v>
      </c>
      <c r="V53">
        <v>73500</v>
      </c>
      <c r="W53" s="198"/>
      <c r="X53" s="66"/>
    </row>
    <row r="54" spans="1:24" s="26" customFormat="1" x14ac:dyDescent="0.25">
      <c r="A54" s="67">
        <v>29</v>
      </c>
      <c r="B54">
        <v>32682</v>
      </c>
      <c r="C54">
        <v>33768</v>
      </c>
      <c r="D54">
        <v>34532</v>
      </c>
      <c r="E54">
        <v>36920</v>
      </c>
      <c r="F54">
        <v>37296</v>
      </c>
      <c r="G54" s="262"/>
      <c r="H54" s="263"/>
      <c r="I54" s="262"/>
      <c r="J54">
        <v>32907</v>
      </c>
      <c r="K54">
        <v>33852</v>
      </c>
      <c r="L54">
        <v>34544</v>
      </c>
      <c r="M54">
        <v>36652</v>
      </c>
      <c r="N54">
        <v>36848</v>
      </c>
      <c r="O54" s="262"/>
      <c r="P54" s="264"/>
      <c r="Q54" s="262"/>
      <c r="R54">
        <v>65589</v>
      </c>
      <c r="S54">
        <v>67620</v>
      </c>
      <c r="T54">
        <v>69076</v>
      </c>
      <c r="U54">
        <v>73572</v>
      </c>
      <c r="V54">
        <v>74144</v>
      </c>
      <c r="W54" s="198"/>
      <c r="X54" s="66"/>
    </row>
    <row r="55" spans="1:24" s="26" customFormat="1" x14ac:dyDescent="0.25">
      <c r="A55" s="67">
        <v>30</v>
      </c>
      <c r="B55">
        <v>32501</v>
      </c>
      <c r="C55">
        <v>33285</v>
      </c>
      <c r="D55">
        <v>34371</v>
      </c>
      <c r="E55">
        <v>35136</v>
      </c>
      <c r="F55">
        <v>37523</v>
      </c>
      <c r="G55" s="262"/>
      <c r="H55" s="263"/>
      <c r="I55" s="262"/>
      <c r="J55">
        <v>32509</v>
      </c>
      <c r="K55">
        <v>33368</v>
      </c>
      <c r="L55">
        <v>34313</v>
      </c>
      <c r="M55">
        <v>35005</v>
      </c>
      <c r="N55">
        <v>37112</v>
      </c>
      <c r="O55" s="262"/>
      <c r="P55" s="264"/>
      <c r="Q55" s="262"/>
      <c r="R55">
        <v>65010</v>
      </c>
      <c r="S55">
        <v>66653</v>
      </c>
      <c r="T55">
        <v>68684</v>
      </c>
      <c r="U55">
        <v>70141</v>
      </c>
      <c r="V55">
        <v>74635</v>
      </c>
      <c r="W55" s="198"/>
      <c r="X55" s="66"/>
    </row>
    <row r="56" spans="1:24" s="26" customFormat="1" x14ac:dyDescent="0.25">
      <c r="A56" s="67">
        <v>31</v>
      </c>
      <c r="B56">
        <v>32349</v>
      </c>
      <c r="C56">
        <v>32924</v>
      </c>
      <c r="D56">
        <v>33708</v>
      </c>
      <c r="E56">
        <v>34794</v>
      </c>
      <c r="F56">
        <v>35559</v>
      </c>
      <c r="G56" s="262"/>
      <c r="H56" s="263"/>
      <c r="I56" s="262"/>
      <c r="J56">
        <v>31958</v>
      </c>
      <c r="K56">
        <v>32878</v>
      </c>
      <c r="L56">
        <v>33737</v>
      </c>
      <c r="M56">
        <v>34682</v>
      </c>
      <c r="N56">
        <v>35375</v>
      </c>
      <c r="O56" s="262"/>
      <c r="P56" s="264"/>
      <c r="Q56" s="262"/>
      <c r="R56">
        <v>64307</v>
      </c>
      <c r="S56">
        <v>65802</v>
      </c>
      <c r="T56">
        <v>67445</v>
      </c>
      <c r="U56">
        <v>69476</v>
      </c>
      <c r="V56">
        <v>70934</v>
      </c>
      <c r="W56" s="198"/>
      <c r="X56" s="66"/>
    </row>
    <row r="57" spans="1:24" s="26" customFormat="1" x14ac:dyDescent="0.25">
      <c r="A57" s="67">
        <v>32</v>
      </c>
      <c r="B57">
        <v>31617</v>
      </c>
      <c r="C57">
        <v>32683</v>
      </c>
      <c r="D57">
        <v>33258</v>
      </c>
      <c r="E57">
        <v>34043</v>
      </c>
      <c r="F57">
        <v>35129</v>
      </c>
      <c r="G57" s="262"/>
      <c r="H57" s="263"/>
      <c r="I57" s="262"/>
      <c r="J57">
        <v>32068</v>
      </c>
      <c r="K57">
        <v>32192</v>
      </c>
      <c r="L57">
        <v>33112</v>
      </c>
      <c r="M57">
        <v>33971</v>
      </c>
      <c r="N57">
        <v>34916</v>
      </c>
      <c r="O57" s="262"/>
      <c r="P57" s="264"/>
      <c r="Q57" s="262"/>
      <c r="R57">
        <v>63685</v>
      </c>
      <c r="S57">
        <v>64875</v>
      </c>
      <c r="T57">
        <v>66370</v>
      </c>
      <c r="U57">
        <v>68014</v>
      </c>
      <c r="V57">
        <v>70045</v>
      </c>
      <c r="W57" s="198"/>
      <c r="X57" s="66"/>
    </row>
    <row r="58" spans="1:24" s="26" customFormat="1" x14ac:dyDescent="0.25">
      <c r="A58" s="67">
        <v>33</v>
      </c>
      <c r="B58">
        <v>32691</v>
      </c>
      <c r="C58">
        <v>31864</v>
      </c>
      <c r="D58">
        <v>32931</v>
      </c>
      <c r="E58">
        <v>33506</v>
      </c>
      <c r="F58">
        <v>34291</v>
      </c>
      <c r="G58" s="262"/>
      <c r="H58" s="263"/>
      <c r="I58" s="262"/>
      <c r="J58">
        <v>32207</v>
      </c>
      <c r="K58">
        <v>32253</v>
      </c>
      <c r="L58">
        <v>32377</v>
      </c>
      <c r="M58">
        <v>33297</v>
      </c>
      <c r="N58">
        <v>34156</v>
      </c>
      <c r="O58" s="262"/>
      <c r="P58" s="264"/>
      <c r="Q58" s="262"/>
      <c r="R58">
        <v>64898</v>
      </c>
      <c r="S58">
        <v>64117</v>
      </c>
      <c r="T58">
        <v>65308</v>
      </c>
      <c r="U58">
        <v>66803</v>
      </c>
      <c r="V58">
        <v>68447</v>
      </c>
      <c r="W58" s="198"/>
      <c r="X58" s="66"/>
    </row>
    <row r="59" spans="1:24" s="26" customFormat="1" x14ac:dyDescent="0.25">
      <c r="A59" s="67">
        <v>34</v>
      </c>
      <c r="B59">
        <v>31164</v>
      </c>
      <c r="C59">
        <v>33085</v>
      </c>
      <c r="D59">
        <v>32259</v>
      </c>
      <c r="E59">
        <v>33326</v>
      </c>
      <c r="F59">
        <v>33901</v>
      </c>
      <c r="G59" s="262"/>
      <c r="H59" s="263"/>
      <c r="I59" s="262"/>
      <c r="J59">
        <v>31793</v>
      </c>
      <c r="K59">
        <v>32545</v>
      </c>
      <c r="L59">
        <v>32591</v>
      </c>
      <c r="M59">
        <v>32715</v>
      </c>
      <c r="N59">
        <v>33635</v>
      </c>
      <c r="O59" s="262"/>
      <c r="P59" s="264"/>
      <c r="Q59" s="262"/>
      <c r="R59">
        <v>62957</v>
      </c>
      <c r="S59">
        <v>65630</v>
      </c>
      <c r="T59">
        <v>64850</v>
      </c>
      <c r="U59">
        <v>66041</v>
      </c>
      <c r="V59">
        <v>67536</v>
      </c>
      <c r="W59" s="198"/>
      <c r="X59" s="66"/>
    </row>
    <row r="60" spans="1:24" s="26" customFormat="1" x14ac:dyDescent="0.25">
      <c r="A60" s="67">
        <v>35</v>
      </c>
      <c r="B60">
        <v>33435</v>
      </c>
      <c r="C60">
        <v>31508</v>
      </c>
      <c r="D60">
        <v>33428</v>
      </c>
      <c r="E60">
        <v>32603</v>
      </c>
      <c r="F60">
        <v>33670</v>
      </c>
      <c r="G60" s="262"/>
      <c r="H60" s="263"/>
      <c r="I60" s="262"/>
      <c r="J60">
        <v>34219</v>
      </c>
      <c r="K60">
        <v>32118</v>
      </c>
      <c r="L60">
        <v>32870</v>
      </c>
      <c r="M60">
        <v>32916</v>
      </c>
      <c r="N60">
        <v>33040</v>
      </c>
      <c r="O60" s="262"/>
      <c r="P60" s="264"/>
      <c r="Q60" s="262"/>
      <c r="R60">
        <v>67654</v>
      </c>
      <c r="S60">
        <v>63626</v>
      </c>
      <c r="T60">
        <v>66298</v>
      </c>
      <c r="U60">
        <v>65519</v>
      </c>
      <c r="V60">
        <v>66710</v>
      </c>
      <c r="W60" s="198"/>
      <c r="X60" s="66"/>
    </row>
    <row r="61" spans="1:24" s="26" customFormat="1" x14ac:dyDescent="0.25">
      <c r="A61" s="67">
        <v>36</v>
      </c>
      <c r="B61">
        <v>31436</v>
      </c>
      <c r="C61">
        <v>33835</v>
      </c>
      <c r="D61">
        <v>31910</v>
      </c>
      <c r="E61">
        <v>33829</v>
      </c>
      <c r="F61">
        <v>33005</v>
      </c>
      <c r="G61" s="262"/>
      <c r="H61" s="263"/>
      <c r="I61" s="262"/>
      <c r="J61">
        <v>33511</v>
      </c>
      <c r="K61">
        <v>34580</v>
      </c>
      <c r="L61">
        <v>32479</v>
      </c>
      <c r="M61">
        <v>33232</v>
      </c>
      <c r="N61">
        <v>33278</v>
      </c>
      <c r="O61" s="262"/>
      <c r="P61" s="264"/>
      <c r="Q61" s="262"/>
      <c r="R61">
        <v>64947</v>
      </c>
      <c r="S61">
        <v>68415</v>
      </c>
      <c r="T61">
        <v>64389</v>
      </c>
      <c r="U61">
        <v>67061</v>
      </c>
      <c r="V61">
        <v>66283</v>
      </c>
      <c r="W61" s="198"/>
      <c r="X61" s="66"/>
    </row>
    <row r="62" spans="1:24" s="26" customFormat="1" x14ac:dyDescent="0.25">
      <c r="A62" s="67">
        <v>37</v>
      </c>
      <c r="B62">
        <v>33018</v>
      </c>
      <c r="C62">
        <v>31785</v>
      </c>
      <c r="D62">
        <v>34182</v>
      </c>
      <c r="E62">
        <v>32261</v>
      </c>
      <c r="F62">
        <v>34179</v>
      </c>
      <c r="G62" s="262"/>
      <c r="H62" s="263"/>
      <c r="I62" s="262"/>
      <c r="J62">
        <v>35138</v>
      </c>
      <c r="K62">
        <v>33805</v>
      </c>
      <c r="L62">
        <v>34875</v>
      </c>
      <c r="M62">
        <v>32774</v>
      </c>
      <c r="N62">
        <v>33528</v>
      </c>
      <c r="O62" s="262"/>
      <c r="P62" s="264"/>
      <c r="Q62" s="262"/>
      <c r="R62">
        <v>68156</v>
      </c>
      <c r="S62">
        <v>65590</v>
      </c>
      <c r="T62">
        <v>69057</v>
      </c>
      <c r="U62">
        <v>65035</v>
      </c>
      <c r="V62">
        <v>67707</v>
      </c>
      <c r="W62" s="198"/>
      <c r="X62" s="66"/>
    </row>
    <row r="63" spans="1:24" s="26" customFormat="1" x14ac:dyDescent="0.25">
      <c r="A63" s="67">
        <v>38</v>
      </c>
      <c r="B63">
        <v>35300</v>
      </c>
      <c r="C63">
        <v>33267</v>
      </c>
      <c r="D63">
        <v>32035</v>
      </c>
      <c r="E63">
        <v>34431</v>
      </c>
      <c r="F63">
        <v>32512</v>
      </c>
      <c r="G63" s="262"/>
      <c r="H63" s="263"/>
      <c r="I63" s="262"/>
      <c r="J63">
        <v>37693</v>
      </c>
      <c r="K63">
        <v>35395</v>
      </c>
      <c r="L63">
        <v>34063</v>
      </c>
      <c r="M63">
        <v>35132</v>
      </c>
      <c r="N63">
        <v>33034</v>
      </c>
      <c r="O63" s="262"/>
      <c r="P63" s="264"/>
      <c r="Q63" s="262"/>
      <c r="R63">
        <v>72993</v>
      </c>
      <c r="S63">
        <v>68662</v>
      </c>
      <c r="T63">
        <v>66098</v>
      </c>
      <c r="U63">
        <v>69563</v>
      </c>
      <c r="V63">
        <v>65546</v>
      </c>
      <c r="W63" s="198"/>
      <c r="X63" s="66"/>
    </row>
    <row r="64" spans="1:24" s="26" customFormat="1" x14ac:dyDescent="0.25">
      <c r="A64" s="67">
        <v>39</v>
      </c>
      <c r="B64">
        <v>35123</v>
      </c>
      <c r="C64">
        <v>35457</v>
      </c>
      <c r="D64">
        <v>33427</v>
      </c>
      <c r="E64">
        <v>32196</v>
      </c>
      <c r="F64">
        <v>34591</v>
      </c>
      <c r="G64" s="262"/>
      <c r="H64" s="263"/>
      <c r="I64" s="262"/>
      <c r="J64">
        <v>37493</v>
      </c>
      <c r="K64">
        <v>37877</v>
      </c>
      <c r="L64">
        <v>35580</v>
      </c>
      <c r="M64">
        <v>34249</v>
      </c>
      <c r="N64">
        <v>35318</v>
      </c>
      <c r="O64" s="262"/>
      <c r="P64" s="264"/>
      <c r="Q64" s="262"/>
      <c r="R64">
        <v>72616</v>
      </c>
      <c r="S64">
        <v>73334</v>
      </c>
      <c r="T64">
        <v>69007</v>
      </c>
      <c r="U64">
        <v>66445</v>
      </c>
      <c r="V64">
        <v>69909</v>
      </c>
      <c r="W64" s="198"/>
      <c r="X64" s="66"/>
    </row>
    <row r="65" spans="1:24" s="26" customFormat="1" x14ac:dyDescent="0.25">
      <c r="A65" s="67">
        <v>40</v>
      </c>
      <c r="B65">
        <v>36458</v>
      </c>
      <c r="C65">
        <v>35327</v>
      </c>
      <c r="D65">
        <v>35661</v>
      </c>
      <c r="E65">
        <v>33632</v>
      </c>
      <c r="F65">
        <v>32404</v>
      </c>
      <c r="G65" s="262"/>
      <c r="H65" s="263"/>
      <c r="I65" s="262"/>
      <c r="J65">
        <v>39512</v>
      </c>
      <c r="K65">
        <v>37724</v>
      </c>
      <c r="L65">
        <v>38108</v>
      </c>
      <c r="M65">
        <v>35813</v>
      </c>
      <c r="N65">
        <v>34483</v>
      </c>
      <c r="O65" s="262"/>
      <c r="P65" s="264"/>
      <c r="Q65" s="262"/>
      <c r="R65">
        <v>75970</v>
      </c>
      <c r="S65">
        <v>73051</v>
      </c>
      <c r="T65">
        <v>73769</v>
      </c>
      <c r="U65">
        <v>69445</v>
      </c>
      <c r="V65">
        <v>66887</v>
      </c>
      <c r="W65" s="198"/>
      <c r="X65" s="66"/>
    </row>
    <row r="66" spans="1:24" s="26" customFormat="1" x14ac:dyDescent="0.25">
      <c r="A66" s="67">
        <v>41</v>
      </c>
      <c r="B66">
        <v>38064</v>
      </c>
      <c r="C66">
        <v>36617</v>
      </c>
      <c r="D66">
        <v>35488</v>
      </c>
      <c r="E66">
        <v>35822</v>
      </c>
      <c r="F66">
        <v>33796</v>
      </c>
      <c r="G66" s="262"/>
      <c r="H66" s="263"/>
      <c r="I66" s="262"/>
      <c r="J66">
        <v>41636</v>
      </c>
      <c r="K66">
        <v>39640</v>
      </c>
      <c r="L66">
        <v>37853</v>
      </c>
      <c r="M66">
        <v>38237</v>
      </c>
      <c r="N66">
        <v>35945</v>
      </c>
      <c r="O66" s="262"/>
      <c r="P66" s="264"/>
      <c r="Q66" s="262"/>
      <c r="R66">
        <v>79700</v>
      </c>
      <c r="S66">
        <v>76257</v>
      </c>
      <c r="T66">
        <v>73341</v>
      </c>
      <c r="U66">
        <v>74059</v>
      </c>
      <c r="V66">
        <v>69741</v>
      </c>
      <c r="W66" s="198"/>
      <c r="X66" s="66"/>
    </row>
    <row r="67" spans="1:24" s="26" customFormat="1" x14ac:dyDescent="0.25">
      <c r="A67" s="67">
        <v>42</v>
      </c>
      <c r="B67">
        <v>39180</v>
      </c>
      <c r="C67">
        <v>38134</v>
      </c>
      <c r="D67">
        <v>36687</v>
      </c>
      <c r="E67">
        <v>35564</v>
      </c>
      <c r="F67">
        <v>35898</v>
      </c>
      <c r="G67" s="262"/>
      <c r="H67" s="263"/>
      <c r="I67" s="262"/>
      <c r="J67">
        <v>42116</v>
      </c>
      <c r="K67">
        <v>41745</v>
      </c>
      <c r="L67">
        <v>39749</v>
      </c>
      <c r="M67">
        <v>37964</v>
      </c>
      <c r="N67">
        <v>38348</v>
      </c>
      <c r="O67" s="262"/>
      <c r="P67" s="264"/>
      <c r="Q67" s="262"/>
      <c r="R67">
        <v>81296</v>
      </c>
      <c r="S67">
        <v>79879</v>
      </c>
      <c r="T67">
        <v>76436</v>
      </c>
      <c r="U67">
        <v>73528</v>
      </c>
      <c r="V67">
        <v>74246</v>
      </c>
      <c r="W67" s="198"/>
      <c r="X67" s="66"/>
    </row>
    <row r="68" spans="1:24" s="26" customFormat="1" x14ac:dyDescent="0.25">
      <c r="A68" s="67">
        <v>43</v>
      </c>
      <c r="B68">
        <v>41322</v>
      </c>
      <c r="C68">
        <v>39212</v>
      </c>
      <c r="D68">
        <v>38169</v>
      </c>
      <c r="E68">
        <v>36724</v>
      </c>
      <c r="F68">
        <v>35602</v>
      </c>
      <c r="G68" s="262"/>
      <c r="H68" s="263"/>
      <c r="I68" s="262"/>
      <c r="J68">
        <v>43115</v>
      </c>
      <c r="K68">
        <v>42174</v>
      </c>
      <c r="L68">
        <v>41805</v>
      </c>
      <c r="M68">
        <v>39811</v>
      </c>
      <c r="N68">
        <v>38027</v>
      </c>
      <c r="O68" s="262"/>
      <c r="P68" s="264"/>
      <c r="Q68" s="262"/>
      <c r="R68">
        <v>84437</v>
      </c>
      <c r="S68">
        <v>81386</v>
      </c>
      <c r="T68">
        <v>79974</v>
      </c>
      <c r="U68">
        <v>76535</v>
      </c>
      <c r="V68">
        <v>73629</v>
      </c>
      <c r="W68" s="198"/>
      <c r="X68" s="66"/>
    </row>
    <row r="69" spans="1:24" s="26" customFormat="1" x14ac:dyDescent="0.25">
      <c r="A69" s="67">
        <v>44</v>
      </c>
      <c r="B69">
        <v>41998</v>
      </c>
      <c r="C69">
        <v>41337</v>
      </c>
      <c r="D69">
        <v>39232</v>
      </c>
      <c r="E69">
        <v>38190</v>
      </c>
      <c r="F69">
        <v>36747</v>
      </c>
      <c r="G69" s="262"/>
      <c r="H69" s="263"/>
      <c r="I69" s="262"/>
      <c r="J69">
        <v>43403</v>
      </c>
      <c r="K69">
        <v>43153</v>
      </c>
      <c r="L69">
        <v>42212</v>
      </c>
      <c r="M69">
        <v>41844</v>
      </c>
      <c r="N69">
        <v>39851</v>
      </c>
      <c r="O69" s="262"/>
      <c r="P69" s="264"/>
      <c r="Q69" s="262"/>
      <c r="R69">
        <v>85401</v>
      </c>
      <c r="S69">
        <v>84490</v>
      </c>
      <c r="T69">
        <v>81444</v>
      </c>
      <c r="U69">
        <v>80034</v>
      </c>
      <c r="V69">
        <v>76598</v>
      </c>
      <c r="W69" s="198"/>
      <c r="X69" s="66"/>
    </row>
    <row r="70" spans="1:24" s="26" customFormat="1" x14ac:dyDescent="0.25">
      <c r="A70" s="67">
        <v>45</v>
      </c>
      <c r="B70">
        <v>38289</v>
      </c>
      <c r="C70">
        <v>42045</v>
      </c>
      <c r="D70">
        <v>41384</v>
      </c>
      <c r="E70">
        <v>39283</v>
      </c>
      <c r="F70">
        <v>38243</v>
      </c>
      <c r="G70" s="262"/>
      <c r="H70" s="263"/>
      <c r="I70" s="262"/>
      <c r="J70">
        <v>40580</v>
      </c>
      <c r="K70">
        <v>43486</v>
      </c>
      <c r="L70">
        <v>43237</v>
      </c>
      <c r="M70">
        <v>42297</v>
      </c>
      <c r="N70">
        <v>41931</v>
      </c>
      <c r="O70" s="262"/>
      <c r="P70" s="264"/>
      <c r="Q70" s="262"/>
      <c r="R70">
        <v>78869</v>
      </c>
      <c r="S70">
        <v>85531</v>
      </c>
      <c r="T70">
        <v>84621</v>
      </c>
      <c r="U70">
        <v>81580</v>
      </c>
      <c r="V70">
        <v>80174</v>
      </c>
      <c r="W70" s="198"/>
      <c r="X70" s="66"/>
    </row>
    <row r="71" spans="1:24" s="26" customFormat="1" x14ac:dyDescent="0.25">
      <c r="A71" s="67">
        <v>46</v>
      </c>
      <c r="B71">
        <v>37384</v>
      </c>
      <c r="C71">
        <v>38337</v>
      </c>
      <c r="D71">
        <v>42091</v>
      </c>
      <c r="E71">
        <v>41430</v>
      </c>
      <c r="F71">
        <v>39334</v>
      </c>
      <c r="G71" s="262"/>
      <c r="H71" s="263"/>
      <c r="I71" s="262"/>
      <c r="J71">
        <v>38570</v>
      </c>
      <c r="K71">
        <v>40648</v>
      </c>
      <c r="L71">
        <v>43553</v>
      </c>
      <c r="M71">
        <v>43304</v>
      </c>
      <c r="N71">
        <v>42364</v>
      </c>
      <c r="O71" s="262"/>
      <c r="P71" s="264"/>
      <c r="Q71" s="262"/>
      <c r="R71">
        <v>75954</v>
      </c>
      <c r="S71">
        <v>78985</v>
      </c>
      <c r="T71">
        <v>85644</v>
      </c>
      <c r="U71">
        <v>84734</v>
      </c>
      <c r="V71">
        <v>81698</v>
      </c>
      <c r="W71" s="198"/>
      <c r="X71" s="66"/>
    </row>
    <row r="72" spans="1:24" s="26" customFormat="1" x14ac:dyDescent="0.25">
      <c r="A72" s="67">
        <v>47</v>
      </c>
      <c r="B72">
        <v>36424</v>
      </c>
      <c r="C72">
        <v>37397</v>
      </c>
      <c r="D72">
        <v>38351</v>
      </c>
      <c r="E72">
        <v>42101</v>
      </c>
      <c r="F72">
        <v>41441</v>
      </c>
      <c r="G72" s="262"/>
      <c r="H72" s="263"/>
      <c r="I72" s="262"/>
      <c r="J72">
        <v>37448</v>
      </c>
      <c r="K72">
        <v>38612</v>
      </c>
      <c r="L72">
        <v>40687</v>
      </c>
      <c r="M72">
        <v>43590</v>
      </c>
      <c r="N72">
        <v>43343</v>
      </c>
      <c r="O72" s="262"/>
      <c r="P72" s="264"/>
      <c r="Q72" s="262"/>
      <c r="R72">
        <v>73872</v>
      </c>
      <c r="S72">
        <v>76009</v>
      </c>
      <c r="T72">
        <v>79038</v>
      </c>
      <c r="U72">
        <v>85691</v>
      </c>
      <c r="V72">
        <v>84784</v>
      </c>
      <c r="W72" s="198"/>
      <c r="X72" s="66"/>
    </row>
    <row r="73" spans="1:24" s="26" customFormat="1" x14ac:dyDescent="0.25">
      <c r="A73" s="67">
        <v>48</v>
      </c>
      <c r="B73">
        <v>36805</v>
      </c>
      <c r="C73">
        <v>36438</v>
      </c>
      <c r="D73">
        <v>37411</v>
      </c>
      <c r="E73">
        <v>38364</v>
      </c>
      <c r="F73">
        <v>42109</v>
      </c>
      <c r="G73" s="262"/>
      <c r="H73" s="263"/>
      <c r="I73" s="262"/>
      <c r="J73">
        <v>37304</v>
      </c>
      <c r="K73">
        <v>37476</v>
      </c>
      <c r="L73">
        <v>38639</v>
      </c>
      <c r="M73">
        <v>40712</v>
      </c>
      <c r="N73">
        <v>43614</v>
      </c>
      <c r="O73" s="262"/>
      <c r="P73" s="264"/>
      <c r="Q73" s="262"/>
      <c r="R73">
        <v>74109</v>
      </c>
      <c r="S73">
        <v>73914</v>
      </c>
      <c r="T73">
        <v>76050</v>
      </c>
      <c r="U73">
        <v>79076</v>
      </c>
      <c r="V73">
        <v>85723</v>
      </c>
      <c r="W73" s="198"/>
      <c r="X73" s="66"/>
    </row>
    <row r="74" spans="1:24" s="26" customFormat="1" x14ac:dyDescent="0.25">
      <c r="A74" s="67">
        <v>49</v>
      </c>
      <c r="B74">
        <v>35847</v>
      </c>
      <c r="C74">
        <v>36813</v>
      </c>
      <c r="D74">
        <v>36449</v>
      </c>
      <c r="E74">
        <v>37421</v>
      </c>
      <c r="F74">
        <v>38374</v>
      </c>
      <c r="G74" s="262"/>
      <c r="H74" s="263"/>
      <c r="I74" s="262"/>
      <c r="J74">
        <v>36579</v>
      </c>
      <c r="K74">
        <v>37321</v>
      </c>
      <c r="L74">
        <v>37494</v>
      </c>
      <c r="M74">
        <v>38656</v>
      </c>
      <c r="N74">
        <v>40728</v>
      </c>
      <c r="O74" s="262"/>
      <c r="P74" s="264"/>
      <c r="Q74" s="262"/>
      <c r="R74">
        <v>72426</v>
      </c>
      <c r="S74">
        <v>74134</v>
      </c>
      <c r="T74">
        <v>73943</v>
      </c>
      <c r="U74">
        <v>76077</v>
      </c>
      <c r="V74">
        <v>79102</v>
      </c>
      <c r="W74" s="198"/>
      <c r="X74" s="66"/>
    </row>
    <row r="75" spans="1:24" s="26" customFormat="1" x14ac:dyDescent="0.25">
      <c r="A75" s="67">
        <v>50</v>
      </c>
      <c r="B75">
        <v>35340</v>
      </c>
      <c r="C75">
        <v>35812</v>
      </c>
      <c r="D75">
        <v>36778</v>
      </c>
      <c r="E75">
        <v>36416</v>
      </c>
      <c r="F75">
        <v>37387</v>
      </c>
      <c r="G75" s="262"/>
      <c r="H75" s="263"/>
      <c r="I75" s="262"/>
      <c r="J75">
        <v>36104</v>
      </c>
      <c r="K75">
        <v>36587</v>
      </c>
      <c r="L75">
        <v>37328</v>
      </c>
      <c r="M75">
        <v>37502</v>
      </c>
      <c r="N75">
        <v>38663</v>
      </c>
      <c r="O75" s="262"/>
      <c r="P75" s="264"/>
      <c r="Q75" s="262"/>
      <c r="R75">
        <v>71444</v>
      </c>
      <c r="S75">
        <v>72399</v>
      </c>
      <c r="T75">
        <v>74106</v>
      </c>
      <c r="U75">
        <v>73918</v>
      </c>
      <c r="V75">
        <v>76050</v>
      </c>
      <c r="W75" s="198"/>
      <c r="X75" s="66"/>
    </row>
    <row r="76" spans="1:24" s="26" customFormat="1" x14ac:dyDescent="0.25">
      <c r="A76" s="67">
        <v>51</v>
      </c>
      <c r="B76">
        <v>35412</v>
      </c>
      <c r="C76">
        <v>35314</v>
      </c>
      <c r="D76">
        <v>35789</v>
      </c>
      <c r="E76">
        <v>36753</v>
      </c>
      <c r="F76">
        <v>36394</v>
      </c>
      <c r="G76" s="262"/>
      <c r="H76" s="263"/>
      <c r="I76" s="262"/>
      <c r="J76">
        <v>35936</v>
      </c>
      <c r="K76">
        <v>36111</v>
      </c>
      <c r="L76">
        <v>36594</v>
      </c>
      <c r="M76">
        <v>37335</v>
      </c>
      <c r="N76">
        <v>37510</v>
      </c>
      <c r="O76" s="262"/>
      <c r="P76" s="264"/>
      <c r="Q76" s="262"/>
      <c r="R76">
        <v>71348</v>
      </c>
      <c r="S76">
        <v>71425</v>
      </c>
      <c r="T76">
        <v>72383</v>
      </c>
      <c r="U76">
        <v>74088</v>
      </c>
      <c r="V76">
        <v>73904</v>
      </c>
      <c r="W76" s="198"/>
      <c r="X76" s="66"/>
    </row>
    <row r="77" spans="1:24" s="26" customFormat="1" x14ac:dyDescent="0.25">
      <c r="A77" s="67">
        <v>52</v>
      </c>
      <c r="B77">
        <v>34495</v>
      </c>
      <c r="C77">
        <v>35368</v>
      </c>
      <c r="D77">
        <v>35272</v>
      </c>
      <c r="E77">
        <v>35749</v>
      </c>
      <c r="F77">
        <v>36712</v>
      </c>
      <c r="G77" s="262"/>
      <c r="H77" s="263"/>
      <c r="I77" s="262"/>
      <c r="J77">
        <v>35185</v>
      </c>
      <c r="K77">
        <v>35915</v>
      </c>
      <c r="L77">
        <v>36091</v>
      </c>
      <c r="M77">
        <v>36574</v>
      </c>
      <c r="N77">
        <v>37315</v>
      </c>
      <c r="O77" s="262"/>
      <c r="P77" s="264"/>
      <c r="Q77" s="262"/>
      <c r="R77">
        <v>69680</v>
      </c>
      <c r="S77">
        <v>71283</v>
      </c>
      <c r="T77">
        <v>71363</v>
      </c>
      <c r="U77">
        <v>72323</v>
      </c>
      <c r="V77">
        <v>74027</v>
      </c>
      <c r="W77" s="198"/>
      <c r="X77" s="66"/>
    </row>
    <row r="78" spans="1:24" s="26" customFormat="1" x14ac:dyDescent="0.25">
      <c r="A78" s="67">
        <v>53</v>
      </c>
      <c r="B78">
        <v>35013</v>
      </c>
      <c r="C78">
        <v>34419</v>
      </c>
      <c r="D78">
        <v>35291</v>
      </c>
      <c r="E78">
        <v>35197</v>
      </c>
      <c r="F78">
        <v>35674</v>
      </c>
      <c r="G78" s="262"/>
      <c r="H78" s="263"/>
      <c r="I78" s="262"/>
      <c r="J78">
        <v>35175</v>
      </c>
      <c r="K78">
        <v>35148</v>
      </c>
      <c r="L78">
        <v>35877</v>
      </c>
      <c r="M78">
        <v>36055</v>
      </c>
      <c r="N78">
        <v>36538</v>
      </c>
      <c r="O78" s="262"/>
      <c r="P78" s="264"/>
      <c r="Q78" s="262"/>
      <c r="R78">
        <v>70188</v>
      </c>
      <c r="S78">
        <v>69567</v>
      </c>
      <c r="T78">
        <v>71168</v>
      </c>
      <c r="U78">
        <v>71252</v>
      </c>
      <c r="V78">
        <v>72212</v>
      </c>
      <c r="W78" s="198"/>
      <c r="X78" s="66"/>
    </row>
    <row r="79" spans="1:24" s="26" customFormat="1" x14ac:dyDescent="0.25">
      <c r="A79" s="67">
        <v>54</v>
      </c>
      <c r="B79">
        <v>33196</v>
      </c>
      <c r="C79">
        <v>34950</v>
      </c>
      <c r="D79">
        <v>34361</v>
      </c>
      <c r="E79">
        <v>35233</v>
      </c>
      <c r="F79">
        <v>35141</v>
      </c>
      <c r="G79" s="262"/>
      <c r="H79" s="263"/>
      <c r="I79" s="262"/>
      <c r="J79">
        <v>33522</v>
      </c>
      <c r="K79">
        <v>35140</v>
      </c>
      <c r="L79">
        <v>35114</v>
      </c>
      <c r="M79">
        <v>35843</v>
      </c>
      <c r="N79">
        <v>36023</v>
      </c>
      <c r="O79" s="262"/>
      <c r="P79" s="264"/>
      <c r="Q79" s="262"/>
      <c r="R79">
        <v>66718</v>
      </c>
      <c r="S79">
        <v>70090</v>
      </c>
      <c r="T79">
        <v>69475</v>
      </c>
      <c r="U79">
        <v>71076</v>
      </c>
      <c r="V79">
        <v>71164</v>
      </c>
      <c r="W79" s="198"/>
      <c r="X79" s="66"/>
    </row>
    <row r="80" spans="1:24" s="26" customFormat="1" x14ac:dyDescent="0.25">
      <c r="A80" s="67">
        <v>55</v>
      </c>
      <c r="B80">
        <v>31621</v>
      </c>
      <c r="C80">
        <v>33119</v>
      </c>
      <c r="D80">
        <v>34869</v>
      </c>
      <c r="E80">
        <v>34284</v>
      </c>
      <c r="F80">
        <v>35156</v>
      </c>
      <c r="G80" s="262"/>
      <c r="H80" s="263"/>
      <c r="I80" s="262"/>
      <c r="J80">
        <v>31492</v>
      </c>
      <c r="K80">
        <v>33475</v>
      </c>
      <c r="L80">
        <v>35090</v>
      </c>
      <c r="M80">
        <v>35066</v>
      </c>
      <c r="N80">
        <v>35794</v>
      </c>
      <c r="O80" s="262"/>
      <c r="P80" s="264"/>
      <c r="Q80" s="262"/>
      <c r="R80">
        <v>63113</v>
      </c>
      <c r="S80">
        <v>66594</v>
      </c>
      <c r="T80">
        <v>69959</v>
      </c>
      <c r="U80">
        <v>69350</v>
      </c>
      <c r="V80">
        <v>70950</v>
      </c>
      <c r="W80" s="198"/>
      <c r="X80" s="66"/>
    </row>
    <row r="81" spans="1:24" s="26" customFormat="1" x14ac:dyDescent="0.25">
      <c r="A81" s="67">
        <v>56</v>
      </c>
      <c r="B81">
        <v>30871</v>
      </c>
      <c r="C81">
        <v>31533</v>
      </c>
      <c r="D81">
        <v>33027</v>
      </c>
      <c r="E81">
        <v>34775</v>
      </c>
      <c r="F81">
        <v>34195</v>
      </c>
      <c r="G81" s="262"/>
      <c r="H81" s="263"/>
      <c r="I81" s="262"/>
      <c r="J81">
        <v>31316</v>
      </c>
      <c r="K81">
        <v>31428</v>
      </c>
      <c r="L81">
        <v>33407</v>
      </c>
      <c r="M81">
        <v>35019</v>
      </c>
      <c r="N81">
        <v>34996</v>
      </c>
      <c r="O81" s="262"/>
      <c r="P81" s="264"/>
      <c r="Q81" s="262"/>
      <c r="R81">
        <v>62187</v>
      </c>
      <c r="S81">
        <v>62961</v>
      </c>
      <c r="T81">
        <v>66434</v>
      </c>
      <c r="U81">
        <v>69794</v>
      </c>
      <c r="V81">
        <v>69191</v>
      </c>
      <c r="W81" s="198"/>
      <c r="X81" s="66"/>
    </row>
    <row r="82" spans="1:24" s="26" customFormat="1" x14ac:dyDescent="0.25">
      <c r="A82" s="67">
        <v>57</v>
      </c>
      <c r="B82">
        <v>30193</v>
      </c>
      <c r="C82">
        <v>30756</v>
      </c>
      <c r="D82">
        <v>31416</v>
      </c>
      <c r="E82">
        <v>32908</v>
      </c>
      <c r="F82">
        <v>34653</v>
      </c>
      <c r="G82" s="262"/>
      <c r="H82" s="263"/>
      <c r="I82" s="262"/>
      <c r="J82">
        <v>30580</v>
      </c>
      <c r="K82">
        <v>31239</v>
      </c>
      <c r="L82">
        <v>31353</v>
      </c>
      <c r="M82">
        <v>33327</v>
      </c>
      <c r="N82">
        <v>34938</v>
      </c>
      <c r="O82" s="262"/>
      <c r="P82" s="264"/>
      <c r="Q82" s="262"/>
      <c r="R82">
        <v>60773</v>
      </c>
      <c r="S82">
        <v>61995</v>
      </c>
      <c r="T82">
        <v>62769</v>
      </c>
      <c r="U82">
        <v>66235</v>
      </c>
      <c r="V82">
        <v>69591</v>
      </c>
      <c r="W82" s="198"/>
      <c r="X82" s="66"/>
    </row>
    <row r="83" spans="1:24" s="26" customFormat="1" x14ac:dyDescent="0.25">
      <c r="A83" s="67">
        <v>58</v>
      </c>
      <c r="B83">
        <v>30076</v>
      </c>
      <c r="C83">
        <v>30068</v>
      </c>
      <c r="D83">
        <v>30631</v>
      </c>
      <c r="E83">
        <v>31291</v>
      </c>
      <c r="F83">
        <v>32780</v>
      </c>
      <c r="G83" s="262"/>
      <c r="H83" s="263"/>
      <c r="I83" s="262"/>
      <c r="J83">
        <v>30708</v>
      </c>
      <c r="K83">
        <v>30503</v>
      </c>
      <c r="L83">
        <v>31162</v>
      </c>
      <c r="M83">
        <v>31278</v>
      </c>
      <c r="N83">
        <v>33247</v>
      </c>
      <c r="O83" s="262"/>
      <c r="P83" s="264"/>
      <c r="Q83" s="262"/>
      <c r="R83">
        <v>60784</v>
      </c>
      <c r="S83">
        <v>60571</v>
      </c>
      <c r="T83">
        <v>61793</v>
      </c>
      <c r="U83">
        <v>62569</v>
      </c>
      <c r="V83">
        <v>66027</v>
      </c>
      <c r="W83" s="198"/>
      <c r="X83" s="66"/>
    </row>
    <row r="84" spans="1:24" s="26" customFormat="1" x14ac:dyDescent="0.25">
      <c r="A84" s="67">
        <v>59</v>
      </c>
      <c r="B84">
        <v>29610</v>
      </c>
      <c r="C84">
        <v>29952</v>
      </c>
      <c r="D84">
        <v>29946</v>
      </c>
      <c r="E84">
        <v>30509</v>
      </c>
      <c r="F84">
        <v>31170</v>
      </c>
      <c r="G84" s="262"/>
      <c r="H84" s="263"/>
      <c r="I84" s="262"/>
      <c r="J84">
        <v>30667</v>
      </c>
      <c r="K84">
        <v>30620</v>
      </c>
      <c r="L84">
        <v>30419</v>
      </c>
      <c r="M84">
        <v>31079</v>
      </c>
      <c r="N84">
        <v>31195</v>
      </c>
      <c r="O84" s="262"/>
      <c r="P84" s="264"/>
      <c r="Q84" s="262"/>
      <c r="R84">
        <v>60277</v>
      </c>
      <c r="S84">
        <v>60572</v>
      </c>
      <c r="T84">
        <v>60365</v>
      </c>
      <c r="U84">
        <v>61588</v>
      </c>
      <c r="V84">
        <v>62365</v>
      </c>
      <c r="W84" s="198"/>
      <c r="X84" s="66"/>
    </row>
    <row r="85" spans="1:24" s="26" customFormat="1" x14ac:dyDescent="0.25">
      <c r="A85" s="67">
        <v>60</v>
      </c>
      <c r="B85">
        <v>28705</v>
      </c>
      <c r="C85">
        <v>29469</v>
      </c>
      <c r="D85">
        <v>29813</v>
      </c>
      <c r="E85">
        <v>29812</v>
      </c>
      <c r="F85">
        <v>30372</v>
      </c>
      <c r="G85" s="262"/>
      <c r="H85" s="263"/>
      <c r="I85" s="262"/>
      <c r="J85">
        <v>29845</v>
      </c>
      <c r="K85">
        <v>30579</v>
      </c>
      <c r="L85">
        <v>30533</v>
      </c>
      <c r="M85">
        <v>30336</v>
      </c>
      <c r="N85">
        <v>30996</v>
      </c>
      <c r="O85" s="262"/>
      <c r="P85" s="264"/>
      <c r="Q85" s="262"/>
      <c r="R85">
        <v>58550</v>
      </c>
      <c r="S85">
        <v>60048</v>
      </c>
      <c r="T85">
        <v>60346</v>
      </c>
      <c r="U85">
        <v>60148</v>
      </c>
      <c r="V85">
        <v>61368</v>
      </c>
      <c r="W85" s="198"/>
      <c r="X85" s="66"/>
    </row>
    <row r="86" spans="1:24" s="26" customFormat="1" x14ac:dyDescent="0.25">
      <c r="A86" s="67">
        <v>61</v>
      </c>
      <c r="B86">
        <v>27985</v>
      </c>
      <c r="C86">
        <v>28549</v>
      </c>
      <c r="D86">
        <v>29311</v>
      </c>
      <c r="E86">
        <v>29656</v>
      </c>
      <c r="F86">
        <v>29658</v>
      </c>
      <c r="G86" s="262"/>
      <c r="H86" s="263"/>
      <c r="I86" s="262"/>
      <c r="J86">
        <v>29125</v>
      </c>
      <c r="K86">
        <v>29748</v>
      </c>
      <c r="L86">
        <v>30482</v>
      </c>
      <c r="M86">
        <v>30439</v>
      </c>
      <c r="N86">
        <v>30245</v>
      </c>
      <c r="O86" s="262"/>
      <c r="P86" s="264"/>
      <c r="Q86" s="262"/>
      <c r="R86">
        <v>57110</v>
      </c>
      <c r="S86">
        <v>58297</v>
      </c>
      <c r="T86">
        <v>59793</v>
      </c>
      <c r="U86">
        <v>60095</v>
      </c>
      <c r="V86">
        <v>59903</v>
      </c>
      <c r="W86" s="198"/>
      <c r="X86" s="66"/>
    </row>
    <row r="87" spans="1:24" s="26" customFormat="1" x14ac:dyDescent="0.25">
      <c r="A87" s="67">
        <v>62</v>
      </c>
      <c r="B87">
        <v>27171</v>
      </c>
      <c r="C87">
        <v>27821</v>
      </c>
      <c r="D87">
        <v>28386</v>
      </c>
      <c r="E87">
        <v>29146</v>
      </c>
      <c r="F87">
        <v>29492</v>
      </c>
      <c r="G87" s="262"/>
      <c r="H87" s="263"/>
      <c r="I87" s="262"/>
      <c r="J87">
        <v>27867</v>
      </c>
      <c r="K87">
        <v>29026</v>
      </c>
      <c r="L87">
        <v>29649</v>
      </c>
      <c r="M87">
        <v>30381</v>
      </c>
      <c r="N87">
        <v>30340</v>
      </c>
      <c r="O87" s="262"/>
      <c r="P87" s="264"/>
      <c r="Q87" s="262"/>
      <c r="R87">
        <v>55038</v>
      </c>
      <c r="S87">
        <v>56847</v>
      </c>
      <c r="T87">
        <v>58035</v>
      </c>
      <c r="U87">
        <v>59527</v>
      </c>
      <c r="V87">
        <v>59832</v>
      </c>
      <c r="W87" s="198"/>
      <c r="X87" s="66"/>
    </row>
    <row r="88" spans="1:24" s="26" customFormat="1" x14ac:dyDescent="0.25">
      <c r="A88" s="67">
        <v>63</v>
      </c>
      <c r="B88">
        <v>27022</v>
      </c>
      <c r="C88">
        <v>26990</v>
      </c>
      <c r="D88">
        <v>27638</v>
      </c>
      <c r="E88">
        <v>28203</v>
      </c>
      <c r="F88">
        <v>28963</v>
      </c>
      <c r="G88" s="262"/>
      <c r="H88" s="263"/>
      <c r="I88" s="262"/>
      <c r="J88">
        <v>27995</v>
      </c>
      <c r="K88">
        <v>27753</v>
      </c>
      <c r="L88">
        <v>28908</v>
      </c>
      <c r="M88">
        <v>29531</v>
      </c>
      <c r="N88">
        <v>30261</v>
      </c>
      <c r="O88" s="262"/>
      <c r="P88" s="264"/>
      <c r="Q88" s="262"/>
      <c r="R88">
        <v>55017</v>
      </c>
      <c r="S88">
        <v>54743</v>
      </c>
      <c r="T88">
        <v>56546</v>
      </c>
      <c r="U88">
        <v>57734</v>
      </c>
      <c r="V88">
        <v>59224</v>
      </c>
      <c r="W88" s="198"/>
      <c r="X88" s="66"/>
    </row>
    <row r="89" spans="1:24" s="26" customFormat="1" x14ac:dyDescent="0.25">
      <c r="A89" s="67">
        <v>64</v>
      </c>
      <c r="B89">
        <v>25689</v>
      </c>
      <c r="C89">
        <v>26804</v>
      </c>
      <c r="D89">
        <v>26777</v>
      </c>
      <c r="E89">
        <v>27427</v>
      </c>
      <c r="F89">
        <v>27991</v>
      </c>
      <c r="G89" s="262"/>
      <c r="H89" s="263"/>
      <c r="I89" s="262"/>
      <c r="J89">
        <v>26869</v>
      </c>
      <c r="K89">
        <v>27849</v>
      </c>
      <c r="L89">
        <v>27610</v>
      </c>
      <c r="M89">
        <v>28761</v>
      </c>
      <c r="N89">
        <v>29384</v>
      </c>
      <c r="O89" s="262"/>
      <c r="P89" s="264"/>
      <c r="Q89" s="262"/>
      <c r="R89">
        <v>52558</v>
      </c>
      <c r="S89">
        <v>54653</v>
      </c>
      <c r="T89">
        <v>54387</v>
      </c>
      <c r="U89">
        <v>56188</v>
      </c>
      <c r="V89">
        <v>57375</v>
      </c>
      <c r="W89" s="198"/>
      <c r="X89" s="66"/>
    </row>
    <row r="90" spans="1:24" s="26" customFormat="1" x14ac:dyDescent="0.25">
      <c r="A90" s="67">
        <v>65</v>
      </c>
      <c r="B90">
        <v>25690</v>
      </c>
      <c r="C90">
        <v>25536</v>
      </c>
      <c r="D90">
        <v>26646</v>
      </c>
      <c r="E90">
        <v>26624</v>
      </c>
      <c r="F90">
        <v>27273</v>
      </c>
      <c r="G90" s="262"/>
      <c r="H90" s="263"/>
      <c r="I90" s="262"/>
      <c r="J90">
        <v>26231</v>
      </c>
      <c r="K90">
        <v>26760</v>
      </c>
      <c r="L90">
        <v>27737</v>
      </c>
      <c r="M90">
        <v>27501</v>
      </c>
      <c r="N90">
        <v>28650</v>
      </c>
      <c r="O90" s="262"/>
      <c r="P90" s="264"/>
      <c r="Q90" s="262"/>
      <c r="R90">
        <v>51921</v>
      </c>
      <c r="S90">
        <v>52296</v>
      </c>
      <c r="T90">
        <v>54383</v>
      </c>
      <c r="U90">
        <v>54125</v>
      </c>
      <c r="V90">
        <v>55923</v>
      </c>
      <c r="W90" s="198"/>
      <c r="X90" s="66"/>
    </row>
    <row r="91" spans="1:24" s="26" customFormat="1" x14ac:dyDescent="0.25">
      <c r="A91" s="67">
        <v>66</v>
      </c>
      <c r="B91">
        <v>24411</v>
      </c>
      <c r="C91">
        <v>25543</v>
      </c>
      <c r="D91">
        <v>25394</v>
      </c>
      <c r="E91">
        <v>26500</v>
      </c>
      <c r="F91">
        <v>26482</v>
      </c>
      <c r="G91" s="262"/>
      <c r="H91" s="263"/>
      <c r="I91" s="262"/>
      <c r="J91">
        <v>25454</v>
      </c>
      <c r="K91">
        <v>26137</v>
      </c>
      <c r="L91">
        <v>26666</v>
      </c>
      <c r="M91">
        <v>27640</v>
      </c>
      <c r="N91">
        <v>27406</v>
      </c>
      <c r="O91" s="262"/>
      <c r="P91" s="264"/>
      <c r="Q91" s="262"/>
      <c r="R91">
        <v>49865</v>
      </c>
      <c r="S91">
        <v>51680</v>
      </c>
      <c r="T91">
        <v>52060</v>
      </c>
      <c r="U91">
        <v>54140</v>
      </c>
      <c r="V91">
        <v>53888</v>
      </c>
      <c r="W91" s="198"/>
      <c r="X91" s="66"/>
    </row>
    <row r="92" spans="1:24" s="26" customFormat="1" x14ac:dyDescent="0.25">
      <c r="A92" s="67">
        <v>67</v>
      </c>
      <c r="B92">
        <v>23935</v>
      </c>
      <c r="C92">
        <v>24232</v>
      </c>
      <c r="D92">
        <v>25359</v>
      </c>
      <c r="E92">
        <v>25216</v>
      </c>
      <c r="F92">
        <v>26315</v>
      </c>
      <c r="G92" s="262"/>
      <c r="H92" s="263"/>
      <c r="I92" s="262"/>
      <c r="J92">
        <v>24552</v>
      </c>
      <c r="K92">
        <v>25317</v>
      </c>
      <c r="L92">
        <v>25999</v>
      </c>
      <c r="M92">
        <v>26527</v>
      </c>
      <c r="N92">
        <v>27499</v>
      </c>
      <c r="O92" s="262"/>
      <c r="P92" s="264"/>
      <c r="Q92" s="262"/>
      <c r="R92">
        <v>48487</v>
      </c>
      <c r="S92">
        <v>49549</v>
      </c>
      <c r="T92">
        <v>51358</v>
      </c>
      <c r="U92">
        <v>51743</v>
      </c>
      <c r="V92">
        <v>53814</v>
      </c>
      <c r="W92" s="198"/>
      <c r="X92" s="66"/>
    </row>
    <row r="93" spans="1:24" s="26" customFormat="1" x14ac:dyDescent="0.25">
      <c r="A93" s="67">
        <v>68</v>
      </c>
      <c r="B93">
        <v>23216</v>
      </c>
      <c r="C93">
        <v>23731</v>
      </c>
      <c r="D93">
        <v>24029</v>
      </c>
      <c r="E93">
        <v>25151</v>
      </c>
      <c r="F93">
        <v>25013</v>
      </c>
      <c r="G93" s="262"/>
      <c r="H93" s="263"/>
      <c r="I93" s="262"/>
      <c r="J93">
        <v>23912</v>
      </c>
      <c r="K93">
        <v>24397</v>
      </c>
      <c r="L93">
        <v>25159</v>
      </c>
      <c r="M93">
        <v>25841</v>
      </c>
      <c r="N93">
        <v>26368</v>
      </c>
      <c r="O93" s="262"/>
      <c r="P93" s="264"/>
      <c r="Q93" s="262"/>
      <c r="R93">
        <v>47128</v>
      </c>
      <c r="S93">
        <v>48128</v>
      </c>
      <c r="T93">
        <v>49188</v>
      </c>
      <c r="U93">
        <v>50992</v>
      </c>
      <c r="V93">
        <v>51381</v>
      </c>
      <c r="W93" s="198"/>
      <c r="X93" s="66"/>
    </row>
    <row r="94" spans="1:24" s="26" customFormat="1" x14ac:dyDescent="0.25">
      <c r="A94" s="67">
        <v>69</v>
      </c>
      <c r="B94">
        <v>22732</v>
      </c>
      <c r="C94">
        <v>22966</v>
      </c>
      <c r="D94">
        <v>23481</v>
      </c>
      <c r="E94">
        <v>23782</v>
      </c>
      <c r="F94">
        <v>24896</v>
      </c>
      <c r="G94" s="262"/>
      <c r="H94" s="263"/>
      <c r="I94" s="262"/>
      <c r="J94">
        <v>23572</v>
      </c>
      <c r="K94">
        <v>23743</v>
      </c>
      <c r="L94">
        <v>24229</v>
      </c>
      <c r="M94">
        <v>24988</v>
      </c>
      <c r="N94">
        <v>25668</v>
      </c>
      <c r="O94" s="262"/>
      <c r="P94" s="264"/>
      <c r="Q94" s="262"/>
      <c r="R94">
        <v>46304</v>
      </c>
      <c r="S94">
        <v>46709</v>
      </c>
      <c r="T94">
        <v>47710</v>
      </c>
      <c r="U94">
        <v>48770</v>
      </c>
      <c r="V94">
        <v>50564</v>
      </c>
      <c r="W94" s="198"/>
      <c r="X94" s="66"/>
    </row>
    <row r="95" spans="1:24" s="26" customFormat="1" x14ac:dyDescent="0.25">
      <c r="A95" s="67">
        <v>70</v>
      </c>
      <c r="B95">
        <v>21659</v>
      </c>
      <c r="C95">
        <v>22440</v>
      </c>
      <c r="D95">
        <v>22678</v>
      </c>
      <c r="E95">
        <v>23192</v>
      </c>
      <c r="F95">
        <v>23494</v>
      </c>
      <c r="G95" s="262"/>
      <c r="H95" s="263"/>
      <c r="I95" s="262"/>
      <c r="J95">
        <v>22341</v>
      </c>
      <c r="K95">
        <v>23370</v>
      </c>
      <c r="L95">
        <v>23542</v>
      </c>
      <c r="M95">
        <v>24028</v>
      </c>
      <c r="N95">
        <v>24784</v>
      </c>
      <c r="O95" s="262"/>
      <c r="P95" s="264"/>
      <c r="Q95" s="262"/>
      <c r="R95">
        <v>44000</v>
      </c>
      <c r="S95">
        <v>45810</v>
      </c>
      <c r="T95">
        <v>46220</v>
      </c>
      <c r="U95">
        <v>47220</v>
      </c>
      <c r="V95">
        <v>48278</v>
      </c>
      <c r="W95" s="198"/>
      <c r="X95" s="66"/>
    </row>
    <row r="96" spans="1:24" s="26" customFormat="1" x14ac:dyDescent="0.25">
      <c r="A96" s="67">
        <v>71</v>
      </c>
      <c r="B96">
        <v>21547</v>
      </c>
      <c r="C96">
        <v>21363</v>
      </c>
      <c r="D96">
        <v>22139</v>
      </c>
      <c r="E96">
        <v>22382</v>
      </c>
      <c r="F96">
        <v>22896</v>
      </c>
      <c r="G96" s="262"/>
      <c r="H96" s="263"/>
      <c r="I96" s="262"/>
      <c r="J96">
        <v>22357</v>
      </c>
      <c r="K96">
        <v>22141</v>
      </c>
      <c r="L96">
        <v>23163</v>
      </c>
      <c r="M96">
        <v>23336</v>
      </c>
      <c r="N96">
        <v>23822</v>
      </c>
      <c r="O96" s="262"/>
      <c r="P96" s="264"/>
      <c r="Q96" s="262"/>
      <c r="R96">
        <v>43904</v>
      </c>
      <c r="S96">
        <v>43504</v>
      </c>
      <c r="T96">
        <v>45302</v>
      </c>
      <c r="U96">
        <v>45718</v>
      </c>
      <c r="V96">
        <v>46718</v>
      </c>
      <c r="W96" s="198"/>
      <c r="X96" s="66"/>
    </row>
    <row r="97" spans="1:24" s="26" customFormat="1" x14ac:dyDescent="0.25">
      <c r="A97" s="67">
        <v>72</v>
      </c>
      <c r="B97">
        <v>20326</v>
      </c>
      <c r="C97">
        <v>21197</v>
      </c>
      <c r="D97">
        <v>21025</v>
      </c>
      <c r="E97">
        <v>21796</v>
      </c>
      <c r="F97">
        <v>22042</v>
      </c>
      <c r="G97" s="262"/>
      <c r="H97" s="263"/>
      <c r="I97" s="262"/>
      <c r="J97">
        <v>21015</v>
      </c>
      <c r="K97">
        <v>22115</v>
      </c>
      <c r="L97">
        <v>21907</v>
      </c>
      <c r="M97">
        <v>22922</v>
      </c>
      <c r="N97">
        <v>23098</v>
      </c>
      <c r="O97" s="262"/>
      <c r="P97" s="264"/>
      <c r="Q97" s="262"/>
      <c r="R97">
        <v>41341</v>
      </c>
      <c r="S97">
        <v>43312</v>
      </c>
      <c r="T97">
        <v>42932</v>
      </c>
      <c r="U97">
        <v>44718</v>
      </c>
      <c r="V97">
        <v>45140</v>
      </c>
      <c r="W97" s="198"/>
      <c r="X97" s="66"/>
    </row>
    <row r="98" spans="1:24" s="26" customFormat="1" x14ac:dyDescent="0.25">
      <c r="A98" s="67">
        <v>73</v>
      </c>
      <c r="B98">
        <v>19687</v>
      </c>
      <c r="C98">
        <v>19941</v>
      </c>
      <c r="D98">
        <v>20802</v>
      </c>
      <c r="E98">
        <v>20644</v>
      </c>
      <c r="F98">
        <v>21410</v>
      </c>
      <c r="G98" s="262"/>
      <c r="H98" s="263"/>
      <c r="I98" s="262"/>
      <c r="J98">
        <v>20302</v>
      </c>
      <c r="K98">
        <v>20754</v>
      </c>
      <c r="L98">
        <v>21845</v>
      </c>
      <c r="M98">
        <v>21645</v>
      </c>
      <c r="N98">
        <v>22652</v>
      </c>
      <c r="O98" s="262"/>
      <c r="P98" s="264"/>
      <c r="Q98" s="262"/>
      <c r="R98">
        <v>39989</v>
      </c>
      <c r="S98">
        <v>40695</v>
      </c>
      <c r="T98">
        <v>42647</v>
      </c>
      <c r="U98">
        <v>42289</v>
      </c>
      <c r="V98">
        <v>44062</v>
      </c>
      <c r="W98" s="198"/>
      <c r="X98" s="66"/>
    </row>
    <row r="99" spans="1:24" s="26" customFormat="1" x14ac:dyDescent="0.25">
      <c r="A99" s="67">
        <v>74</v>
      </c>
      <c r="B99">
        <v>18722</v>
      </c>
      <c r="C99">
        <v>19282</v>
      </c>
      <c r="D99">
        <v>19539</v>
      </c>
      <c r="E99">
        <v>20390</v>
      </c>
      <c r="F99">
        <v>20245</v>
      </c>
      <c r="G99" s="262"/>
      <c r="H99" s="263"/>
      <c r="I99" s="262"/>
      <c r="J99">
        <v>20160</v>
      </c>
      <c r="K99">
        <v>20025</v>
      </c>
      <c r="L99">
        <v>20476</v>
      </c>
      <c r="M99">
        <v>21554</v>
      </c>
      <c r="N99">
        <v>21365</v>
      </c>
      <c r="O99" s="262"/>
      <c r="P99" s="264"/>
      <c r="Q99" s="262"/>
      <c r="R99">
        <v>38882</v>
      </c>
      <c r="S99">
        <v>39307</v>
      </c>
      <c r="T99">
        <v>40015</v>
      </c>
      <c r="U99">
        <v>41944</v>
      </c>
      <c r="V99">
        <v>41610</v>
      </c>
      <c r="W99" s="198"/>
      <c r="X99" s="66"/>
    </row>
    <row r="100" spans="1:24" s="26" customFormat="1" x14ac:dyDescent="0.25">
      <c r="A100" s="67">
        <v>75</v>
      </c>
      <c r="B100">
        <v>18092</v>
      </c>
      <c r="C100">
        <v>18280</v>
      </c>
      <c r="D100">
        <v>18836</v>
      </c>
      <c r="E100">
        <v>19096</v>
      </c>
      <c r="F100">
        <v>19937</v>
      </c>
      <c r="G100" s="262"/>
      <c r="H100" s="263"/>
      <c r="I100" s="262"/>
      <c r="J100">
        <v>19202</v>
      </c>
      <c r="K100">
        <v>19845</v>
      </c>
      <c r="L100">
        <v>19718</v>
      </c>
      <c r="M100">
        <v>20168</v>
      </c>
      <c r="N100">
        <v>21234</v>
      </c>
      <c r="O100" s="262"/>
      <c r="P100" s="264"/>
      <c r="Q100" s="262"/>
      <c r="R100">
        <v>37294</v>
      </c>
      <c r="S100">
        <v>38125</v>
      </c>
      <c r="T100">
        <v>38554</v>
      </c>
      <c r="U100">
        <v>39264</v>
      </c>
      <c r="V100">
        <v>41171</v>
      </c>
      <c r="W100" s="198"/>
      <c r="X100" s="66"/>
    </row>
    <row r="101" spans="1:24" s="26" customFormat="1" x14ac:dyDescent="0.25">
      <c r="A101" s="67">
        <v>76</v>
      </c>
      <c r="B101">
        <v>17407</v>
      </c>
      <c r="C101">
        <v>17629</v>
      </c>
      <c r="D101">
        <v>17822</v>
      </c>
      <c r="E101">
        <v>18371</v>
      </c>
      <c r="F101">
        <v>18636</v>
      </c>
      <c r="G101" s="262"/>
      <c r="H101" s="263"/>
      <c r="I101" s="262"/>
      <c r="J101">
        <v>18437</v>
      </c>
      <c r="K101">
        <v>18871</v>
      </c>
      <c r="L101">
        <v>19510</v>
      </c>
      <c r="M101">
        <v>19391</v>
      </c>
      <c r="N101">
        <v>19840</v>
      </c>
      <c r="O101" s="262"/>
      <c r="P101" s="264"/>
      <c r="Q101" s="262"/>
      <c r="R101">
        <v>35844</v>
      </c>
      <c r="S101">
        <v>36500</v>
      </c>
      <c r="T101">
        <v>37332</v>
      </c>
      <c r="U101">
        <v>37762</v>
      </c>
      <c r="V101">
        <v>38476</v>
      </c>
      <c r="W101" s="198"/>
      <c r="X101" s="66"/>
    </row>
    <row r="102" spans="1:24" s="26" customFormat="1" x14ac:dyDescent="0.25">
      <c r="A102" s="67">
        <v>77</v>
      </c>
      <c r="B102">
        <v>16260</v>
      </c>
      <c r="C102">
        <v>16897</v>
      </c>
      <c r="D102">
        <v>17124</v>
      </c>
      <c r="E102">
        <v>17322</v>
      </c>
      <c r="F102">
        <v>17866</v>
      </c>
      <c r="G102" s="262"/>
      <c r="H102" s="263"/>
      <c r="I102" s="262"/>
      <c r="J102">
        <v>17439</v>
      </c>
      <c r="K102">
        <v>18071</v>
      </c>
      <c r="L102">
        <v>18504</v>
      </c>
      <c r="M102">
        <v>19137</v>
      </c>
      <c r="N102">
        <v>19027</v>
      </c>
      <c r="O102" s="262"/>
      <c r="P102" s="264"/>
      <c r="Q102" s="262"/>
      <c r="R102">
        <v>33699</v>
      </c>
      <c r="S102">
        <v>34968</v>
      </c>
      <c r="T102">
        <v>35628</v>
      </c>
      <c r="U102">
        <v>36459</v>
      </c>
      <c r="V102">
        <v>36893</v>
      </c>
      <c r="W102" s="198"/>
      <c r="X102" s="66"/>
    </row>
    <row r="103" spans="1:24" s="26" customFormat="1" x14ac:dyDescent="0.25">
      <c r="A103" s="67">
        <v>78</v>
      </c>
      <c r="B103">
        <v>15089</v>
      </c>
      <c r="C103">
        <v>15705</v>
      </c>
      <c r="D103">
        <v>16330</v>
      </c>
      <c r="E103">
        <v>16562</v>
      </c>
      <c r="F103">
        <v>16765</v>
      </c>
      <c r="G103" s="262"/>
      <c r="H103" s="263"/>
      <c r="I103" s="262"/>
      <c r="J103">
        <v>16567</v>
      </c>
      <c r="K103">
        <v>17022</v>
      </c>
      <c r="L103">
        <v>17647</v>
      </c>
      <c r="M103">
        <v>18078</v>
      </c>
      <c r="N103">
        <v>18705</v>
      </c>
      <c r="O103" s="262"/>
      <c r="P103" s="264"/>
      <c r="Q103" s="262"/>
      <c r="R103">
        <v>31656</v>
      </c>
      <c r="S103">
        <v>32727</v>
      </c>
      <c r="T103">
        <v>33977</v>
      </c>
      <c r="U103">
        <v>34640</v>
      </c>
      <c r="V103">
        <v>35470</v>
      </c>
      <c r="W103" s="198"/>
      <c r="X103" s="66"/>
    </row>
    <row r="104" spans="1:24" s="26" customFormat="1" x14ac:dyDescent="0.25">
      <c r="A104" s="67">
        <v>79</v>
      </c>
      <c r="B104">
        <v>13364</v>
      </c>
      <c r="C104">
        <v>14523</v>
      </c>
      <c r="D104">
        <v>15127</v>
      </c>
      <c r="E104">
        <v>15741</v>
      </c>
      <c r="F104">
        <v>15978</v>
      </c>
      <c r="G104" s="262"/>
      <c r="H104" s="263"/>
      <c r="I104" s="262"/>
      <c r="J104">
        <v>14899</v>
      </c>
      <c r="K104">
        <v>16125</v>
      </c>
      <c r="L104">
        <v>16575</v>
      </c>
      <c r="M104">
        <v>17192</v>
      </c>
      <c r="N104">
        <v>17619</v>
      </c>
      <c r="O104" s="262"/>
      <c r="P104" s="264"/>
      <c r="Q104" s="262"/>
      <c r="R104">
        <v>28263</v>
      </c>
      <c r="S104">
        <v>30648</v>
      </c>
      <c r="T104">
        <v>31702</v>
      </c>
      <c r="U104">
        <v>32933</v>
      </c>
      <c r="V104">
        <v>33597</v>
      </c>
      <c r="W104" s="198"/>
      <c r="X104" s="66"/>
    </row>
    <row r="105" spans="1:24" s="26" customFormat="1" x14ac:dyDescent="0.25">
      <c r="A105" s="67">
        <v>80</v>
      </c>
      <c r="B105">
        <v>12191</v>
      </c>
      <c r="C105">
        <v>12857</v>
      </c>
      <c r="D105">
        <v>13977</v>
      </c>
      <c r="E105">
        <v>14570</v>
      </c>
      <c r="F105">
        <v>15170</v>
      </c>
      <c r="G105" s="262"/>
      <c r="H105" s="263"/>
      <c r="I105" s="262"/>
      <c r="J105">
        <v>13722</v>
      </c>
      <c r="K105">
        <v>14508</v>
      </c>
      <c r="L105">
        <v>15705</v>
      </c>
      <c r="M105">
        <v>16151</v>
      </c>
      <c r="N105">
        <v>16757</v>
      </c>
      <c r="O105" s="262"/>
      <c r="P105" s="264"/>
      <c r="Q105" s="262"/>
      <c r="R105">
        <v>25913</v>
      </c>
      <c r="S105">
        <v>27365</v>
      </c>
      <c r="T105">
        <v>29682</v>
      </c>
      <c r="U105">
        <v>30721</v>
      </c>
      <c r="V105">
        <v>31927</v>
      </c>
      <c r="W105" s="198"/>
      <c r="X105" s="66"/>
    </row>
    <row r="106" spans="1:24" s="26" customFormat="1" x14ac:dyDescent="0.25">
      <c r="A106" s="67">
        <v>81</v>
      </c>
      <c r="B106">
        <v>10895</v>
      </c>
      <c r="C106">
        <v>11653</v>
      </c>
      <c r="D106">
        <v>12300</v>
      </c>
      <c r="E106">
        <v>13381</v>
      </c>
      <c r="F106">
        <v>13960</v>
      </c>
      <c r="G106" s="262"/>
      <c r="H106" s="263"/>
      <c r="I106" s="262"/>
      <c r="J106">
        <v>12736</v>
      </c>
      <c r="K106">
        <v>13286</v>
      </c>
      <c r="L106">
        <v>14054</v>
      </c>
      <c r="M106">
        <v>15219</v>
      </c>
      <c r="N106">
        <v>15659</v>
      </c>
      <c r="O106" s="262"/>
      <c r="P106" s="264"/>
      <c r="Q106" s="262"/>
      <c r="R106">
        <v>23631</v>
      </c>
      <c r="S106">
        <v>24939</v>
      </c>
      <c r="T106">
        <v>26354</v>
      </c>
      <c r="U106">
        <v>28600</v>
      </c>
      <c r="V106">
        <v>29619</v>
      </c>
      <c r="W106" s="198"/>
      <c r="X106" s="66"/>
    </row>
    <row r="107" spans="1:24" s="26" customFormat="1" x14ac:dyDescent="0.25">
      <c r="A107" s="67">
        <v>82</v>
      </c>
      <c r="B107">
        <v>9592</v>
      </c>
      <c r="C107">
        <v>10348</v>
      </c>
      <c r="D107">
        <v>11078</v>
      </c>
      <c r="E107">
        <v>11703</v>
      </c>
      <c r="F107">
        <v>12742</v>
      </c>
      <c r="G107" s="262"/>
      <c r="H107" s="263"/>
      <c r="I107" s="262"/>
      <c r="J107">
        <v>11100</v>
      </c>
      <c r="K107">
        <v>12271</v>
      </c>
      <c r="L107">
        <v>12808</v>
      </c>
      <c r="M107">
        <v>13556</v>
      </c>
      <c r="N107">
        <v>14687</v>
      </c>
      <c r="O107" s="262"/>
      <c r="P107" s="264"/>
      <c r="Q107" s="262"/>
      <c r="R107">
        <v>20692</v>
      </c>
      <c r="S107">
        <v>22619</v>
      </c>
      <c r="T107">
        <v>23886</v>
      </c>
      <c r="U107">
        <v>25259</v>
      </c>
      <c r="V107">
        <v>27429</v>
      </c>
      <c r="W107" s="198"/>
      <c r="X107" s="66"/>
    </row>
    <row r="108" spans="1:24" s="26" customFormat="1" x14ac:dyDescent="0.25">
      <c r="A108" s="67">
        <v>83</v>
      </c>
      <c r="B108">
        <v>8460</v>
      </c>
      <c r="C108">
        <v>9032</v>
      </c>
      <c r="D108">
        <v>9752</v>
      </c>
      <c r="E108">
        <v>10452</v>
      </c>
      <c r="F108">
        <v>11052</v>
      </c>
      <c r="G108" s="262"/>
      <c r="H108" s="263"/>
      <c r="I108" s="262"/>
      <c r="J108">
        <v>10277</v>
      </c>
      <c r="K108">
        <v>10633</v>
      </c>
      <c r="L108">
        <v>11760</v>
      </c>
      <c r="M108">
        <v>12283</v>
      </c>
      <c r="N108">
        <v>13009</v>
      </c>
      <c r="O108" s="262"/>
      <c r="P108" s="264"/>
      <c r="Q108" s="262"/>
      <c r="R108">
        <v>18737</v>
      </c>
      <c r="S108">
        <v>19665</v>
      </c>
      <c r="T108">
        <v>21512</v>
      </c>
      <c r="U108">
        <v>22735</v>
      </c>
      <c r="V108">
        <v>24061</v>
      </c>
      <c r="W108" s="198"/>
      <c r="X108" s="66"/>
    </row>
    <row r="109" spans="1:24" s="26" customFormat="1" x14ac:dyDescent="0.25">
      <c r="A109" s="67">
        <v>84</v>
      </c>
      <c r="B109">
        <v>7778</v>
      </c>
      <c r="C109">
        <v>7877</v>
      </c>
      <c r="D109">
        <v>8420</v>
      </c>
      <c r="E109">
        <v>9102</v>
      </c>
      <c r="F109">
        <v>9768</v>
      </c>
      <c r="G109" s="262"/>
      <c r="H109" s="263"/>
      <c r="I109" s="262"/>
      <c r="J109">
        <v>9685</v>
      </c>
      <c r="K109">
        <v>9762</v>
      </c>
      <c r="L109">
        <v>10109</v>
      </c>
      <c r="M109">
        <v>11184</v>
      </c>
      <c r="N109">
        <v>11692</v>
      </c>
      <c r="O109" s="262"/>
      <c r="P109" s="264"/>
      <c r="Q109" s="262"/>
      <c r="R109">
        <v>17463</v>
      </c>
      <c r="S109">
        <v>17639</v>
      </c>
      <c r="T109">
        <v>18529</v>
      </c>
      <c r="U109">
        <v>20286</v>
      </c>
      <c r="V109">
        <v>21460</v>
      </c>
      <c r="W109" s="198"/>
      <c r="X109" s="66"/>
    </row>
    <row r="110" spans="1:24" s="26" customFormat="1" x14ac:dyDescent="0.25">
      <c r="A110" s="67">
        <v>85</v>
      </c>
      <c r="B110">
        <v>6834</v>
      </c>
      <c r="C110">
        <v>7172</v>
      </c>
      <c r="D110">
        <v>7276</v>
      </c>
      <c r="E110">
        <v>7789</v>
      </c>
      <c r="F110">
        <v>8431</v>
      </c>
      <c r="G110" s="262"/>
      <c r="H110" s="263"/>
      <c r="I110" s="262"/>
      <c r="J110">
        <v>8920</v>
      </c>
      <c r="K110">
        <v>9127</v>
      </c>
      <c r="L110">
        <v>9209</v>
      </c>
      <c r="M110">
        <v>9545</v>
      </c>
      <c r="N110">
        <v>10569</v>
      </c>
      <c r="O110" s="262"/>
      <c r="P110" s="264"/>
      <c r="Q110" s="262"/>
      <c r="R110">
        <v>15754</v>
      </c>
      <c r="S110">
        <v>16299</v>
      </c>
      <c r="T110">
        <v>16485</v>
      </c>
      <c r="U110">
        <v>17334</v>
      </c>
      <c r="V110">
        <v>19000</v>
      </c>
      <c r="W110" s="198"/>
      <c r="X110" s="66"/>
    </row>
    <row r="111" spans="1:24" s="26" customFormat="1" x14ac:dyDescent="0.25">
      <c r="A111" s="67">
        <v>86</v>
      </c>
      <c r="B111">
        <v>5888</v>
      </c>
      <c r="C111">
        <v>6228</v>
      </c>
      <c r="D111">
        <v>6547</v>
      </c>
      <c r="E111">
        <v>6656</v>
      </c>
      <c r="F111">
        <v>7136</v>
      </c>
      <c r="G111" s="262"/>
      <c r="H111" s="263"/>
      <c r="I111" s="262"/>
      <c r="J111">
        <v>7908</v>
      </c>
      <c r="K111">
        <v>8329</v>
      </c>
      <c r="L111">
        <v>8533</v>
      </c>
      <c r="M111">
        <v>8620</v>
      </c>
      <c r="N111">
        <v>8946</v>
      </c>
      <c r="O111" s="262"/>
      <c r="P111" s="264"/>
      <c r="Q111" s="262"/>
      <c r="R111">
        <v>13796</v>
      </c>
      <c r="S111">
        <v>14557</v>
      </c>
      <c r="T111">
        <v>15080</v>
      </c>
      <c r="U111">
        <v>15276</v>
      </c>
      <c r="V111">
        <v>16082</v>
      </c>
      <c r="W111" s="198"/>
      <c r="X111" s="66"/>
    </row>
    <row r="112" spans="1:24" s="26" customFormat="1" x14ac:dyDescent="0.25">
      <c r="A112" s="67">
        <v>87</v>
      </c>
      <c r="B112">
        <v>5146</v>
      </c>
      <c r="C112">
        <v>5294</v>
      </c>
      <c r="D112">
        <v>5614</v>
      </c>
      <c r="E112">
        <v>5914</v>
      </c>
      <c r="F112">
        <v>6025</v>
      </c>
      <c r="G112" s="262"/>
      <c r="H112" s="263"/>
      <c r="I112" s="262"/>
      <c r="J112">
        <v>7225</v>
      </c>
      <c r="K112">
        <v>7304</v>
      </c>
      <c r="L112">
        <v>7703</v>
      </c>
      <c r="M112">
        <v>7902</v>
      </c>
      <c r="N112">
        <v>7995</v>
      </c>
      <c r="O112" s="262"/>
      <c r="P112" s="264"/>
      <c r="Q112" s="262"/>
      <c r="R112">
        <v>12371</v>
      </c>
      <c r="S112">
        <v>12598</v>
      </c>
      <c r="T112">
        <v>13317</v>
      </c>
      <c r="U112">
        <v>13816</v>
      </c>
      <c r="V112">
        <v>14020</v>
      </c>
      <c r="W112" s="198"/>
      <c r="X112" s="66"/>
    </row>
    <row r="113" spans="1:24" s="26" customFormat="1" x14ac:dyDescent="0.25">
      <c r="A113" s="67">
        <v>88</v>
      </c>
      <c r="B113">
        <v>4362</v>
      </c>
      <c r="C113">
        <v>4570</v>
      </c>
      <c r="D113">
        <v>4713</v>
      </c>
      <c r="E113">
        <v>5009</v>
      </c>
      <c r="F113">
        <v>5289</v>
      </c>
      <c r="G113" s="262"/>
      <c r="H113" s="263"/>
      <c r="I113" s="262"/>
      <c r="J113">
        <v>6420</v>
      </c>
      <c r="K113">
        <v>6598</v>
      </c>
      <c r="L113">
        <v>6681</v>
      </c>
      <c r="M113">
        <v>7056</v>
      </c>
      <c r="N113">
        <v>7250</v>
      </c>
      <c r="O113" s="262"/>
      <c r="P113" s="264"/>
      <c r="Q113" s="262"/>
      <c r="R113">
        <v>10782</v>
      </c>
      <c r="S113">
        <v>11168</v>
      </c>
      <c r="T113">
        <v>11394</v>
      </c>
      <c r="U113">
        <v>12065</v>
      </c>
      <c r="V113">
        <v>12539</v>
      </c>
      <c r="W113" s="198"/>
      <c r="X113" s="66"/>
    </row>
    <row r="114" spans="1:24" s="26" customFormat="1" x14ac:dyDescent="0.25">
      <c r="A114" s="67">
        <v>89</v>
      </c>
      <c r="B114">
        <v>3571</v>
      </c>
      <c r="C114">
        <v>3803</v>
      </c>
      <c r="D114">
        <v>3997</v>
      </c>
      <c r="E114">
        <v>4136</v>
      </c>
      <c r="F114">
        <v>4408</v>
      </c>
      <c r="G114" s="262"/>
      <c r="H114" s="263"/>
      <c r="I114" s="262"/>
      <c r="J114">
        <v>5590</v>
      </c>
      <c r="K114">
        <v>5778</v>
      </c>
      <c r="L114">
        <v>5950</v>
      </c>
      <c r="M114">
        <v>6037</v>
      </c>
      <c r="N114">
        <v>6388</v>
      </c>
      <c r="O114" s="262"/>
      <c r="P114" s="264"/>
      <c r="Q114" s="262"/>
      <c r="R114">
        <v>9161</v>
      </c>
      <c r="S114">
        <v>9581</v>
      </c>
      <c r="T114">
        <v>9947</v>
      </c>
      <c r="U114">
        <v>10173</v>
      </c>
      <c r="V114">
        <v>10796</v>
      </c>
      <c r="W114" s="198"/>
      <c r="X114" s="66"/>
    </row>
    <row r="115" spans="1:24" s="26" customFormat="1" x14ac:dyDescent="0.25">
      <c r="A115" s="67">
        <v>90</v>
      </c>
      <c r="B115">
        <v>2885</v>
      </c>
      <c r="C115">
        <v>3069</v>
      </c>
      <c r="D115">
        <v>3281</v>
      </c>
      <c r="E115">
        <v>3456</v>
      </c>
      <c r="F115">
        <v>3589</v>
      </c>
      <c r="G115" s="262"/>
      <c r="H115" s="263"/>
      <c r="I115" s="262"/>
      <c r="J115">
        <v>4763</v>
      </c>
      <c r="K115">
        <v>4967</v>
      </c>
      <c r="L115">
        <v>5147</v>
      </c>
      <c r="M115">
        <v>5310</v>
      </c>
      <c r="N115">
        <v>5399</v>
      </c>
      <c r="O115" s="262"/>
      <c r="P115" s="264"/>
      <c r="Q115" s="262"/>
      <c r="R115">
        <v>7648</v>
      </c>
      <c r="S115">
        <v>8036</v>
      </c>
      <c r="T115">
        <v>8428</v>
      </c>
      <c r="U115">
        <v>8766</v>
      </c>
      <c r="V115">
        <v>8988</v>
      </c>
      <c r="W115" s="198"/>
      <c r="X115" s="66"/>
    </row>
    <row r="116" spans="1:24" s="26" customFormat="1" x14ac:dyDescent="0.25">
      <c r="A116" s="67">
        <v>91</v>
      </c>
      <c r="B116">
        <v>2246</v>
      </c>
      <c r="C116">
        <v>2430</v>
      </c>
      <c r="D116">
        <v>2593</v>
      </c>
      <c r="E116">
        <v>2784</v>
      </c>
      <c r="F116">
        <v>2944</v>
      </c>
      <c r="G116" s="262"/>
      <c r="H116" s="263"/>
      <c r="I116" s="262"/>
      <c r="J116">
        <v>3845</v>
      </c>
      <c r="K116">
        <v>4160</v>
      </c>
      <c r="L116">
        <v>4350</v>
      </c>
      <c r="M116">
        <v>4517</v>
      </c>
      <c r="N116">
        <v>4672</v>
      </c>
      <c r="O116" s="262"/>
      <c r="P116" s="264"/>
      <c r="Q116" s="262"/>
      <c r="R116">
        <v>6091</v>
      </c>
      <c r="S116">
        <v>6590</v>
      </c>
      <c r="T116">
        <v>6943</v>
      </c>
      <c r="U116">
        <v>7301</v>
      </c>
      <c r="V116">
        <v>7616</v>
      </c>
      <c r="W116" s="198"/>
      <c r="X116" s="66"/>
    </row>
    <row r="117" spans="1:24" s="26" customFormat="1" x14ac:dyDescent="0.25">
      <c r="A117" s="67">
        <v>92</v>
      </c>
      <c r="B117">
        <v>1713</v>
      </c>
      <c r="C117">
        <v>1856</v>
      </c>
      <c r="D117">
        <v>2016</v>
      </c>
      <c r="E117">
        <v>2160</v>
      </c>
      <c r="F117">
        <v>2326</v>
      </c>
      <c r="G117" s="262"/>
      <c r="H117" s="263"/>
      <c r="I117" s="262"/>
      <c r="J117">
        <v>3207</v>
      </c>
      <c r="K117">
        <v>3300</v>
      </c>
      <c r="L117">
        <v>3581</v>
      </c>
      <c r="M117">
        <v>3753</v>
      </c>
      <c r="N117">
        <v>3907</v>
      </c>
      <c r="O117" s="262"/>
      <c r="P117" s="264"/>
      <c r="Q117" s="262"/>
      <c r="R117">
        <v>4920</v>
      </c>
      <c r="S117">
        <v>5156</v>
      </c>
      <c r="T117">
        <v>5597</v>
      </c>
      <c r="U117">
        <v>5913</v>
      </c>
      <c r="V117">
        <v>6233</v>
      </c>
      <c r="W117" s="198"/>
      <c r="X117" s="66"/>
    </row>
    <row r="118" spans="1:24" s="26" customFormat="1" x14ac:dyDescent="0.25">
      <c r="A118" s="67">
        <v>93</v>
      </c>
      <c r="B118">
        <v>1334</v>
      </c>
      <c r="C118">
        <v>1388</v>
      </c>
      <c r="D118">
        <v>1508</v>
      </c>
      <c r="E118">
        <v>1644</v>
      </c>
      <c r="F118">
        <v>1767</v>
      </c>
      <c r="G118" s="262"/>
      <c r="H118" s="263"/>
      <c r="I118" s="262"/>
      <c r="J118">
        <v>2616</v>
      </c>
      <c r="K118">
        <v>2697</v>
      </c>
      <c r="L118">
        <v>2784</v>
      </c>
      <c r="M118">
        <v>3026</v>
      </c>
      <c r="N118">
        <v>3181</v>
      </c>
      <c r="O118" s="262"/>
      <c r="P118" s="264"/>
      <c r="Q118" s="262"/>
      <c r="R118">
        <v>3950</v>
      </c>
      <c r="S118">
        <v>4085</v>
      </c>
      <c r="T118">
        <v>4292</v>
      </c>
      <c r="U118">
        <v>4670</v>
      </c>
      <c r="V118">
        <v>4948</v>
      </c>
      <c r="W118" s="198"/>
      <c r="X118" s="66"/>
    </row>
    <row r="119" spans="1:24" s="26" customFormat="1" x14ac:dyDescent="0.25">
      <c r="A119" s="67">
        <v>94</v>
      </c>
      <c r="B119">
        <v>926</v>
      </c>
      <c r="C119">
        <v>1041</v>
      </c>
      <c r="D119">
        <v>1087</v>
      </c>
      <c r="E119">
        <v>1187</v>
      </c>
      <c r="F119">
        <v>1299</v>
      </c>
      <c r="G119" s="262"/>
      <c r="H119" s="263"/>
      <c r="I119" s="262"/>
      <c r="J119">
        <v>2035</v>
      </c>
      <c r="K119">
        <v>2135</v>
      </c>
      <c r="L119">
        <v>2209</v>
      </c>
      <c r="M119">
        <v>2286</v>
      </c>
      <c r="N119">
        <v>2492</v>
      </c>
      <c r="O119" s="262"/>
      <c r="P119" s="264"/>
      <c r="Q119" s="262"/>
      <c r="R119">
        <v>2961</v>
      </c>
      <c r="S119">
        <v>3176</v>
      </c>
      <c r="T119">
        <v>3296</v>
      </c>
      <c r="U119">
        <v>3473</v>
      </c>
      <c r="V119">
        <v>3791</v>
      </c>
      <c r="W119" s="198"/>
      <c r="X119" s="66"/>
    </row>
    <row r="120" spans="1:24" s="26" customFormat="1" x14ac:dyDescent="0.25">
      <c r="A120" s="67">
        <v>95</v>
      </c>
      <c r="B120">
        <v>621</v>
      </c>
      <c r="C120">
        <v>705</v>
      </c>
      <c r="D120">
        <v>794</v>
      </c>
      <c r="E120">
        <v>830</v>
      </c>
      <c r="F120">
        <v>911</v>
      </c>
      <c r="G120" s="262"/>
      <c r="H120" s="263"/>
      <c r="I120" s="262"/>
      <c r="J120">
        <v>1536</v>
      </c>
      <c r="K120">
        <v>1621</v>
      </c>
      <c r="L120">
        <v>1704</v>
      </c>
      <c r="M120">
        <v>1769</v>
      </c>
      <c r="N120">
        <v>1836</v>
      </c>
      <c r="O120" s="262"/>
      <c r="P120" s="264"/>
      <c r="Q120" s="262"/>
      <c r="R120">
        <v>2157</v>
      </c>
      <c r="S120">
        <v>2326</v>
      </c>
      <c r="T120">
        <v>2498</v>
      </c>
      <c r="U120">
        <v>2599</v>
      </c>
      <c r="V120">
        <v>2747</v>
      </c>
      <c r="W120" s="198"/>
      <c r="X120" s="66"/>
    </row>
    <row r="121" spans="1:24" s="26" customFormat="1" x14ac:dyDescent="0.25">
      <c r="A121" s="67">
        <v>96</v>
      </c>
      <c r="B121">
        <v>420</v>
      </c>
      <c r="C121">
        <v>465</v>
      </c>
      <c r="D121">
        <v>528</v>
      </c>
      <c r="E121">
        <v>596</v>
      </c>
      <c r="F121">
        <v>624</v>
      </c>
      <c r="G121" s="262"/>
      <c r="H121" s="263"/>
      <c r="I121" s="262"/>
      <c r="J121">
        <v>1117</v>
      </c>
      <c r="K121">
        <v>1194</v>
      </c>
      <c r="L121">
        <v>1262</v>
      </c>
      <c r="M121">
        <v>1330</v>
      </c>
      <c r="N121">
        <v>1384</v>
      </c>
      <c r="O121" s="262"/>
      <c r="P121" s="264"/>
      <c r="Q121" s="262"/>
      <c r="R121">
        <v>1537</v>
      </c>
      <c r="S121">
        <v>1659</v>
      </c>
      <c r="T121">
        <v>1790</v>
      </c>
      <c r="U121">
        <v>1926</v>
      </c>
      <c r="V121">
        <v>2008</v>
      </c>
      <c r="W121" s="198"/>
      <c r="X121" s="66"/>
    </row>
    <row r="122" spans="1:24" s="26" customFormat="1" x14ac:dyDescent="0.25">
      <c r="A122" s="67">
        <v>97</v>
      </c>
      <c r="B122">
        <v>281</v>
      </c>
      <c r="C122">
        <v>296</v>
      </c>
      <c r="D122">
        <v>329</v>
      </c>
      <c r="E122">
        <v>374</v>
      </c>
      <c r="F122">
        <v>423</v>
      </c>
      <c r="G122" s="262"/>
      <c r="H122" s="263"/>
      <c r="I122" s="262"/>
      <c r="J122">
        <v>818</v>
      </c>
      <c r="K122">
        <v>831</v>
      </c>
      <c r="L122">
        <v>889</v>
      </c>
      <c r="M122">
        <v>943</v>
      </c>
      <c r="N122">
        <v>995</v>
      </c>
      <c r="O122" s="262"/>
      <c r="P122" s="264"/>
      <c r="Q122" s="262"/>
      <c r="R122">
        <v>1099</v>
      </c>
      <c r="S122">
        <v>1127</v>
      </c>
      <c r="T122">
        <v>1218</v>
      </c>
      <c r="U122">
        <v>1317</v>
      </c>
      <c r="V122">
        <v>1418</v>
      </c>
      <c r="W122" s="198"/>
      <c r="X122" s="66"/>
    </row>
    <row r="123" spans="1:24" s="26" customFormat="1" x14ac:dyDescent="0.25">
      <c r="A123" s="67">
        <v>98</v>
      </c>
      <c r="B123">
        <v>175</v>
      </c>
      <c r="C123">
        <v>191</v>
      </c>
      <c r="D123">
        <v>201</v>
      </c>
      <c r="E123">
        <v>223</v>
      </c>
      <c r="F123">
        <v>256</v>
      </c>
      <c r="G123" s="262"/>
      <c r="H123" s="263"/>
      <c r="I123" s="262"/>
      <c r="J123">
        <v>566</v>
      </c>
      <c r="K123">
        <v>586</v>
      </c>
      <c r="L123">
        <v>597</v>
      </c>
      <c r="M123">
        <v>643</v>
      </c>
      <c r="N123">
        <v>681</v>
      </c>
      <c r="O123" s="262"/>
      <c r="P123" s="264"/>
      <c r="Q123" s="262"/>
      <c r="R123">
        <v>741</v>
      </c>
      <c r="S123">
        <v>777</v>
      </c>
      <c r="T123">
        <v>798</v>
      </c>
      <c r="U123">
        <v>866</v>
      </c>
      <c r="V123">
        <v>937</v>
      </c>
      <c r="W123" s="198"/>
      <c r="X123" s="66"/>
    </row>
    <row r="124" spans="1:24" s="26" customFormat="1" x14ac:dyDescent="0.25">
      <c r="A124" s="67" t="s">
        <v>3</v>
      </c>
      <c r="B124">
        <v>237</v>
      </c>
      <c r="C124">
        <v>253</v>
      </c>
      <c r="D124">
        <v>274</v>
      </c>
      <c r="E124">
        <v>294</v>
      </c>
      <c r="F124">
        <v>319</v>
      </c>
      <c r="G124" s="262"/>
      <c r="H124" s="263"/>
      <c r="I124" s="262"/>
      <c r="J124">
        <v>925</v>
      </c>
      <c r="K124">
        <v>971</v>
      </c>
      <c r="L124">
        <v>1015</v>
      </c>
      <c r="M124">
        <v>1050</v>
      </c>
      <c r="N124">
        <v>1104</v>
      </c>
      <c r="O124" s="262"/>
      <c r="P124" s="264"/>
      <c r="Q124" s="262"/>
      <c r="R124">
        <v>1162</v>
      </c>
      <c r="S124">
        <v>1224</v>
      </c>
      <c r="T124">
        <v>1289</v>
      </c>
      <c r="U124">
        <v>1344</v>
      </c>
      <c r="V124">
        <v>1423</v>
      </c>
      <c r="W124" s="198"/>
      <c r="X124" s="66"/>
    </row>
    <row r="125" spans="1:24" s="26" customFormat="1" x14ac:dyDescent="0.25">
      <c r="A125" s="64" t="s">
        <v>220</v>
      </c>
      <c r="B125" s="271">
        <v>2582931</v>
      </c>
      <c r="C125" s="271">
        <v>2609491</v>
      </c>
      <c r="D125" s="271">
        <v>2635542</v>
      </c>
      <c r="E125" s="271">
        <v>2661114</v>
      </c>
      <c r="F125" s="271">
        <v>2686314</v>
      </c>
      <c r="G125" s="270"/>
      <c r="H125" s="270"/>
      <c r="I125" s="270"/>
      <c r="J125" s="271">
        <v>2628085</v>
      </c>
      <c r="K125" s="271">
        <v>2654860</v>
      </c>
      <c r="L125" s="271">
        <v>2681205</v>
      </c>
      <c r="M125" s="271">
        <v>2707104</v>
      </c>
      <c r="N125" s="271">
        <v>2732684</v>
      </c>
      <c r="O125" s="66"/>
      <c r="Q125" s="66"/>
      <c r="R125" s="271">
        <v>5211016</v>
      </c>
      <c r="S125" s="271">
        <v>5264351</v>
      </c>
      <c r="T125" s="271">
        <v>5316747</v>
      </c>
      <c r="U125" s="271">
        <v>5368218</v>
      </c>
      <c r="V125" s="271">
        <v>5418998</v>
      </c>
      <c r="W125" s="66"/>
      <c r="X125" s="66"/>
    </row>
    <row r="127" spans="1:24" x14ac:dyDescent="0.25">
      <c r="C127" s="111"/>
      <c r="D127" s="111"/>
      <c r="E127" s="111"/>
      <c r="F127" s="111"/>
      <c r="G127" s="111"/>
      <c r="H127" s="111"/>
      <c r="I127" s="111"/>
      <c r="J127" s="111"/>
      <c r="K127" s="111"/>
      <c r="L127" s="111"/>
      <c r="M127" s="111"/>
      <c r="N127" s="111"/>
      <c r="O127" s="111"/>
      <c r="P127" s="111"/>
      <c r="Q127" s="111"/>
      <c r="R127" s="111"/>
      <c r="S127" s="111"/>
      <c r="T127" s="111"/>
      <c r="U127" s="111"/>
      <c r="V127" s="111"/>
    </row>
    <row r="128" spans="1:24" x14ac:dyDescent="0.25">
      <c r="S128" s="111"/>
      <c r="T128" s="111"/>
      <c r="U128" s="111"/>
      <c r="V128" s="111"/>
    </row>
  </sheetData>
  <mergeCells count="1">
    <mergeCell ref="B17:K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oto_References">
                <anchor moveWithCells="1" sizeWithCells="1">
                  <from>
                    <xdr:col>0</xdr:col>
                    <xdr:colOff>104775</xdr:colOff>
                    <xdr:row>16</xdr:row>
                    <xdr:rowOff>28575</xdr:rowOff>
                  </from>
                  <to>
                    <xdr:col>0</xdr:col>
                    <xdr:colOff>561975</xdr:colOff>
                    <xdr:row>17</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4:W138"/>
  <sheetViews>
    <sheetView zoomScale="75" zoomScaleNormal="75" workbookViewId="0">
      <selection activeCell="N68" sqref="N68:W69"/>
    </sheetView>
  </sheetViews>
  <sheetFormatPr defaultColWidth="9.140625" defaultRowHeight="15" x14ac:dyDescent="0.25"/>
  <cols>
    <col min="1" max="1" width="9.140625" style="1"/>
    <col min="2" max="4" width="9.140625" style="26"/>
    <col min="5" max="9" width="10.85546875" style="1" customWidth="1"/>
    <col min="10" max="12" width="13" style="1" customWidth="1"/>
    <col min="13" max="16384" width="9.140625" style="1"/>
  </cols>
  <sheetData>
    <row r="14" spans="13:13" x14ac:dyDescent="0.25">
      <c r="M14" s="103"/>
    </row>
    <row r="17" spans="1:23" x14ac:dyDescent="0.25">
      <c r="B17" s="404" t="s">
        <v>162</v>
      </c>
      <c r="C17" s="404"/>
      <c r="D17" s="404"/>
      <c r="E17" s="404"/>
      <c r="F17" s="404"/>
      <c r="G17" s="404"/>
      <c r="H17" s="404"/>
      <c r="I17" s="404"/>
      <c r="J17" s="404"/>
      <c r="K17" s="404"/>
      <c r="M17" s="103"/>
    </row>
    <row r="18" spans="1:23" x14ac:dyDescent="0.25">
      <c r="B18" s="404"/>
      <c r="C18" s="404"/>
      <c r="D18" s="404"/>
      <c r="E18" s="404"/>
      <c r="F18" s="404"/>
      <c r="G18" s="404"/>
      <c r="H18" s="404"/>
      <c r="I18" s="404"/>
      <c r="J18" s="404"/>
      <c r="K18" s="404"/>
    </row>
    <row r="19" spans="1:23" x14ac:dyDescent="0.25">
      <c r="B19" s="404"/>
      <c r="C19" s="404"/>
      <c r="D19" s="404"/>
      <c r="E19" s="404"/>
      <c r="F19" s="404"/>
      <c r="G19" s="404"/>
      <c r="H19" s="404"/>
      <c r="I19" s="404"/>
      <c r="J19" s="404"/>
      <c r="K19" s="404"/>
    </row>
    <row r="20" spans="1:23" x14ac:dyDescent="0.25">
      <c r="B20" s="404"/>
      <c r="C20" s="404"/>
      <c r="D20" s="404"/>
      <c r="E20" s="404"/>
      <c r="F20" s="404"/>
      <c r="G20" s="404"/>
      <c r="H20" s="404"/>
      <c r="I20" s="404"/>
      <c r="J20" s="404"/>
      <c r="K20" s="404"/>
    </row>
    <row r="21" spans="1:23" x14ac:dyDescent="0.25">
      <c r="B21" s="404"/>
      <c r="C21" s="404"/>
      <c r="D21" s="404"/>
      <c r="E21" s="404"/>
      <c r="F21" s="404"/>
      <c r="G21" s="404"/>
      <c r="H21" s="404"/>
      <c r="I21" s="404"/>
      <c r="J21" s="404"/>
      <c r="K21" s="404"/>
    </row>
    <row r="24" spans="1:23" ht="15.75" thickBot="1" x14ac:dyDescent="0.3"/>
    <row r="25" spans="1:23" ht="15.75" thickBot="1" x14ac:dyDescent="0.3">
      <c r="B25" s="410" t="s">
        <v>33</v>
      </c>
      <c r="C25" s="411"/>
      <c r="D25" s="411"/>
      <c r="E25" s="411"/>
      <c r="F25" s="411"/>
      <c r="G25" s="412"/>
    </row>
    <row r="26" spans="1:23" ht="15.75" thickBot="1" x14ac:dyDescent="0.3">
      <c r="N26" s="404" t="s">
        <v>177</v>
      </c>
      <c r="O26" s="404"/>
      <c r="P26" s="404"/>
      <c r="Q26" s="404"/>
      <c r="R26" s="404"/>
      <c r="S26" s="404"/>
      <c r="T26" s="404"/>
      <c r="U26" s="404"/>
      <c r="V26" s="404"/>
      <c r="W26" s="404"/>
    </row>
    <row r="27" spans="1:23" ht="15.75" customHeight="1" thickBot="1" x14ac:dyDescent="0.3">
      <c r="E27" s="10" t="s">
        <v>6</v>
      </c>
      <c r="F27" s="11" t="s">
        <v>7</v>
      </c>
      <c r="G27" s="11" t="s">
        <v>8</v>
      </c>
      <c r="H27" s="11" t="s">
        <v>9</v>
      </c>
      <c r="I27" s="12" t="s">
        <v>10</v>
      </c>
      <c r="J27" s="415" t="s">
        <v>37</v>
      </c>
      <c r="K27" s="416"/>
      <c r="L27" s="417"/>
      <c r="N27" s="404"/>
      <c r="O27" s="404"/>
      <c r="P27" s="404"/>
      <c r="Q27" s="404"/>
      <c r="R27" s="404"/>
      <c r="S27" s="404"/>
      <c r="T27" s="404"/>
      <c r="U27" s="404"/>
      <c r="V27" s="404"/>
      <c r="W27" s="404"/>
    </row>
    <row r="28" spans="1:23" ht="42" customHeight="1" thickBot="1" x14ac:dyDescent="0.3">
      <c r="A28" s="32"/>
      <c r="B28" s="442" t="s">
        <v>113</v>
      </c>
      <c r="C28" s="443"/>
      <c r="D28" s="444"/>
      <c r="E28" s="134"/>
      <c r="F28" s="135"/>
      <c r="G28" s="135"/>
      <c r="H28" s="135"/>
      <c r="I28" s="136"/>
      <c r="J28" s="428"/>
      <c r="K28" s="413"/>
      <c r="L28" s="414"/>
      <c r="N28" s="404"/>
      <c r="O28" s="404"/>
      <c r="P28" s="404"/>
      <c r="Q28" s="404"/>
      <c r="R28" s="404"/>
      <c r="S28" s="404"/>
      <c r="T28" s="404"/>
      <c r="U28" s="404"/>
      <c r="V28" s="404"/>
      <c r="W28" s="404"/>
    </row>
    <row r="29" spans="1:23" ht="42" customHeight="1" x14ac:dyDescent="0.25">
      <c r="B29" s="445" t="s">
        <v>176</v>
      </c>
      <c r="C29" s="446"/>
      <c r="D29" s="447"/>
      <c r="E29" s="134"/>
      <c r="F29" s="135"/>
      <c r="G29" s="135"/>
      <c r="H29" s="135"/>
      <c r="I29" s="136"/>
      <c r="J29" s="433"/>
      <c r="K29" s="434"/>
      <c r="L29" s="435"/>
      <c r="N29" s="405" t="s">
        <v>117</v>
      </c>
      <c r="O29" s="405"/>
      <c r="P29" s="405"/>
      <c r="Q29" s="405"/>
      <c r="R29" s="405"/>
      <c r="S29" s="405"/>
      <c r="T29" s="405"/>
      <c r="U29" s="405"/>
      <c r="V29" s="405"/>
      <c r="W29" s="405"/>
    </row>
    <row r="30" spans="1:23" ht="42" customHeight="1" thickBot="1" x14ac:dyDescent="0.3">
      <c r="B30" s="436" t="s">
        <v>11</v>
      </c>
      <c r="C30" s="437"/>
      <c r="D30" s="438"/>
      <c r="E30" s="131">
        <f t="shared" ref="E30:I30" si="0">(E28+E29)</f>
        <v>0</v>
      </c>
      <c r="F30" s="129">
        <f t="shared" si="0"/>
        <v>0</v>
      </c>
      <c r="G30" s="129">
        <f t="shared" si="0"/>
        <v>0</v>
      </c>
      <c r="H30" s="129">
        <f t="shared" si="0"/>
        <v>0</v>
      </c>
      <c r="I30" s="130">
        <f t="shared" si="0"/>
        <v>0</v>
      </c>
      <c r="J30" s="439" t="s">
        <v>41</v>
      </c>
      <c r="K30" s="440"/>
      <c r="L30" s="441"/>
      <c r="N30" s="405"/>
      <c r="O30" s="405"/>
      <c r="P30" s="405"/>
      <c r="Q30" s="405"/>
      <c r="R30" s="405"/>
      <c r="S30" s="405"/>
      <c r="T30" s="405"/>
      <c r="U30" s="405"/>
      <c r="V30" s="405"/>
      <c r="W30" s="405"/>
    </row>
    <row r="31" spans="1:23" ht="42" customHeight="1" x14ac:dyDescent="0.25">
      <c r="B31" s="452" t="s">
        <v>12</v>
      </c>
      <c r="C31" s="453"/>
      <c r="D31" s="453"/>
      <c r="E31" s="97"/>
      <c r="F31" s="97"/>
      <c r="G31" s="97"/>
      <c r="H31" s="97"/>
      <c r="I31" s="97"/>
      <c r="J31" s="413"/>
      <c r="K31" s="413"/>
      <c r="L31" s="414"/>
      <c r="N31" s="421" t="s">
        <v>42</v>
      </c>
      <c r="O31" s="421"/>
      <c r="P31" s="421"/>
      <c r="Q31" s="421"/>
      <c r="R31" s="421"/>
      <c r="S31" s="421"/>
      <c r="T31" s="421"/>
      <c r="U31" s="421"/>
      <c r="V31" s="421"/>
      <c r="W31" s="421"/>
    </row>
    <row r="32" spans="1:23" ht="42" customHeight="1" thickBot="1" x14ac:dyDescent="0.3">
      <c r="B32" s="448" t="s">
        <v>27</v>
      </c>
      <c r="C32" s="449"/>
      <c r="D32" s="450"/>
      <c r="E32" s="131">
        <f>(E30*(1-(E31)))</f>
        <v>0</v>
      </c>
      <c r="F32" s="129">
        <f>(F30*(1-(F31)))</f>
        <v>0</v>
      </c>
      <c r="G32" s="129">
        <f>(G30*(1-(G31)))</f>
        <v>0</v>
      </c>
      <c r="H32" s="129">
        <f>(H30*(1-(H31)))</f>
        <v>0</v>
      </c>
      <c r="I32" s="130">
        <f>(I30*(1-(I31)))</f>
        <v>0</v>
      </c>
      <c r="J32" s="451" t="s">
        <v>41</v>
      </c>
      <c r="K32" s="440"/>
      <c r="L32" s="441"/>
      <c r="O32" s="137"/>
      <c r="P32" s="137"/>
      <c r="Q32" s="137"/>
      <c r="R32" s="137"/>
      <c r="S32" s="137"/>
      <c r="T32" s="137"/>
      <c r="U32" s="137"/>
      <c r="V32" s="137"/>
      <c r="W32" s="137"/>
    </row>
    <row r="33" spans="2:23" ht="42" customHeight="1" x14ac:dyDescent="0.25">
      <c r="B33" s="425" t="s">
        <v>38</v>
      </c>
      <c r="C33" s="426"/>
      <c r="D33" s="427"/>
      <c r="E33" s="94"/>
      <c r="F33" s="94"/>
      <c r="G33" s="94"/>
      <c r="H33" s="94"/>
      <c r="I33" s="94"/>
      <c r="J33" s="428"/>
      <c r="K33" s="413"/>
      <c r="L33" s="414"/>
      <c r="N33" s="404" t="s">
        <v>39</v>
      </c>
      <c r="O33" s="404"/>
      <c r="P33" s="404"/>
      <c r="Q33" s="404"/>
      <c r="R33" s="404"/>
      <c r="S33" s="404"/>
      <c r="T33" s="404"/>
      <c r="U33" s="404"/>
      <c r="V33" s="404"/>
      <c r="W33" s="404"/>
    </row>
    <row r="34" spans="2:23" ht="42" customHeight="1" thickBot="1" x14ac:dyDescent="0.3">
      <c r="B34" s="456" t="s">
        <v>28</v>
      </c>
      <c r="C34" s="457"/>
      <c r="D34" s="458"/>
      <c r="E34" s="28">
        <f>E32*E33</f>
        <v>0</v>
      </c>
      <c r="F34" s="30">
        <f t="shared" ref="F34:I34" si="1">F32*F33</f>
        <v>0</v>
      </c>
      <c r="G34" s="30">
        <f t="shared" si="1"/>
        <v>0</v>
      </c>
      <c r="H34" s="30">
        <f>H32*H33</f>
        <v>0</v>
      </c>
      <c r="I34" s="30">
        <f t="shared" si="1"/>
        <v>0</v>
      </c>
      <c r="J34" s="439" t="s">
        <v>41</v>
      </c>
      <c r="K34" s="440"/>
      <c r="L34" s="441"/>
      <c r="O34" s="138"/>
      <c r="P34" s="138"/>
      <c r="Q34" s="138"/>
      <c r="R34" s="138"/>
      <c r="S34" s="138"/>
      <c r="T34" s="138"/>
      <c r="U34" s="138"/>
      <c r="V34" s="138"/>
      <c r="W34" s="138"/>
    </row>
    <row r="35" spans="2:23" ht="42" customHeight="1" x14ac:dyDescent="0.25">
      <c r="B35" s="429" t="s">
        <v>29</v>
      </c>
      <c r="C35" s="430"/>
      <c r="D35" s="430"/>
      <c r="E35" s="29"/>
      <c r="F35" s="29"/>
      <c r="G35" s="29"/>
      <c r="H35" s="29"/>
      <c r="I35" s="29"/>
      <c r="J35" s="428"/>
      <c r="K35" s="413"/>
      <c r="L35" s="414"/>
      <c r="N35" s="421" t="s">
        <v>99</v>
      </c>
      <c r="O35" s="421"/>
      <c r="P35" s="421"/>
      <c r="Q35" s="421"/>
      <c r="R35" s="421"/>
      <c r="S35" s="421"/>
      <c r="T35" s="421"/>
      <c r="U35" s="421"/>
      <c r="V35" s="421"/>
      <c r="W35" s="421"/>
    </row>
    <row r="36" spans="2:23" ht="45" customHeight="1" thickBot="1" x14ac:dyDescent="0.3">
      <c r="B36" s="454" t="s">
        <v>30</v>
      </c>
      <c r="C36" s="455"/>
      <c r="D36" s="455"/>
      <c r="E36" s="131">
        <f>E35*E34</f>
        <v>0</v>
      </c>
      <c r="F36" s="129">
        <f t="shared" ref="F36" si="2">F35*F34</f>
        <v>0</v>
      </c>
      <c r="G36" s="129">
        <f>G35*G34</f>
        <v>0</v>
      </c>
      <c r="H36" s="129">
        <f>H35*H34</f>
        <v>0</v>
      </c>
      <c r="I36" s="130">
        <f>I35*I34</f>
        <v>0</v>
      </c>
      <c r="J36" s="439" t="s">
        <v>41</v>
      </c>
      <c r="K36" s="440"/>
      <c r="L36" s="441"/>
      <c r="O36" s="137"/>
      <c r="P36" s="137"/>
      <c r="Q36" s="137"/>
      <c r="R36" s="137"/>
      <c r="S36" s="137"/>
      <c r="T36" s="137"/>
      <c r="U36" s="137"/>
      <c r="V36" s="137"/>
      <c r="W36" s="137"/>
    </row>
    <row r="37" spans="2:23" ht="42" customHeight="1" x14ac:dyDescent="0.25">
      <c r="M37" s="31"/>
      <c r="N37" s="137"/>
      <c r="O37" s="137"/>
      <c r="P37" s="137"/>
      <c r="Q37" s="137"/>
      <c r="R37" s="137"/>
      <c r="S37" s="137"/>
      <c r="T37" s="137"/>
      <c r="U37" s="137"/>
      <c r="V37" s="137"/>
      <c r="W37" s="137"/>
    </row>
    <row r="41" spans="2:23" ht="15.75" customHeight="1" x14ac:dyDescent="0.25">
      <c r="B41" s="459" t="s">
        <v>207</v>
      </c>
      <c r="C41" s="459"/>
      <c r="D41" s="459"/>
      <c r="E41" s="459"/>
      <c r="F41" s="459"/>
      <c r="G41" s="459"/>
      <c r="H41" s="198"/>
      <c r="I41" s="198"/>
      <c r="J41" s="198"/>
      <c r="M41" s="196"/>
      <c r="N41" s="199"/>
      <c r="O41" s="199"/>
      <c r="P41" s="199"/>
      <c r="Q41" s="199"/>
      <c r="R41" s="199"/>
      <c r="S41" s="199"/>
      <c r="T41" s="199"/>
      <c r="U41" s="199"/>
      <c r="V41" s="199"/>
    </row>
    <row r="42" spans="2:23" ht="15.95" customHeight="1" x14ac:dyDescent="0.25">
      <c r="B42" s="89"/>
      <c r="C42" s="89"/>
      <c r="D42" s="89"/>
      <c r="E42" s="89"/>
      <c r="F42" s="89"/>
      <c r="N42" s="199"/>
      <c r="O42" s="199"/>
      <c r="P42" s="199"/>
      <c r="Q42" s="199"/>
      <c r="R42" s="199"/>
      <c r="S42" s="199"/>
      <c r="T42" s="199"/>
      <c r="U42" s="199"/>
      <c r="V42" s="199"/>
      <c r="W42" s="199"/>
    </row>
    <row r="43" spans="2:23" ht="15.95" hidden="1" customHeight="1" x14ac:dyDescent="0.3">
      <c r="N43" s="137"/>
      <c r="O43" s="137"/>
      <c r="P43" s="137"/>
      <c r="Q43" s="137"/>
      <c r="R43" s="137"/>
      <c r="S43" s="137"/>
      <c r="T43" s="137"/>
      <c r="U43" s="137"/>
      <c r="V43" s="137"/>
      <c r="W43" s="137"/>
    </row>
    <row r="44" spans="2:23" ht="14.45" hidden="1" x14ac:dyDescent="0.3">
      <c r="N44" s="137"/>
      <c r="O44" s="137"/>
      <c r="P44" s="137"/>
      <c r="Q44" s="137"/>
      <c r="R44" s="137"/>
      <c r="S44" s="137"/>
      <c r="T44" s="137"/>
      <c r="U44" s="137"/>
      <c r="V44" s="137"/>
      <c r="W44" s="137"/>
    </row>
    <row r="45" spans="2:23" ht="15.75" thickBot="1" x14ac:dyDescent="0.3"/>
    <row r="46" spans="2:23" ht="15.75" thickBot="1" x14ac:dyDescent="0.3">
      <c r="B46" s="410" t="s">
        <v>43</v>
      </c>
      <c r="C46" s="411"/>
      <c r="D46" s="411"/>
      <c r="E46" s="411"/>
      <c r="F46" s="411"/>
      <c r="G46" s="412"/>
    </row>
    <row r="47" spans="2:23" ht="15.75" thickBot="1" x14ac:dyDescent="0.3"/>
    <row r="48" spans="2:23" ht="15.75" thickBot="1" x14ac:dyDescent="0.3">
      <c r="B48" s="14"/>
      <c r="E48" s="34" t="s">
        <v>6</v>
      </c>
      <c r="F48" s="35" t="s">
        <v>7</v>
      </c>
      <c r="G48" s="35" t="s">
        <v>8</v>
      </c>
      <c r="H48" s="35" t="s">
        <v>9</v>
      </c>
      <c r="I48" s="12" t="s">
        <v>10</v>
      </c>
      <c r="J48" s="415" t="s">
        <v>46</v>
      </c>
      <c r="K48" s="416"/>
      <c r="L48" s="417"/>
    </row>
    <row r="49" spans="2:23" ht="42" customHeight="1" thickBot="1" x14ac:dyDescent="0.3">
      <c r="B49" s="418" t="str">
        <f>CONCATENATE("Comparator 1: ",NameComparator1)</f>
        <v xml:space="preserve">Comparator 1: </v>
      </c>
      <c r="C49" s="419"/>
      <c r="D49" s="420"/>
      <c r="E49" s="288"/>
      <c r="F49" s="288"/>
      <c r="G49" s="288"/>
      <c r="H49" s="288"/>
      <c r="I49" s="288"/>
      <c r="J49" s="431"/>
      <c r="K49" s="431"/>
      <c r="L49" s="431"/>
      <c r="N49" s="409" t="s">
        <v>271</v>
      </c>
      <c r="O49" s="409"/>
      <c r="P49" s="409"/>
      <c r="Q49" s="409"/>
      <c r="R49" s="409"/>
      <c r="S49" s="409"/>
      <c r="T49" s="409"/>
      <c r="U49" s="409"/>
      <c r="V49" s="409"/>
      <c r="W49" s="409"/>
    </row>
    <row r="50" spans="2:23" ht="42.75" customHeight="1" thickBot="1" x14ac:dyDescent="0.3">
      <c r="B50" s="418" t="str">
        <f>CONCATENATE("Comparator 2: ",NameComparator2)</f>
        <v xml:space="preserve">Comparator 2: </v>
      </c>
      <c r="C50" s="419"/>
      <c r="D50" s="420"/>
      <c r="E50" s="289"/>
      <c r="F50" s="289"/>
      <c r="G50" s="289"/>
      <c r="H50" s="289"/>
      <c r="I50" s="289"/>
      <c r="J50" s="431"/>
      <c r="K50" s="431"/>
      <c r="L50" s="431"/>
      <c r="N50" s="409"/>
      <c r="O50" s="409"/>
      <c r="P50" s="409"/>
      <c r="Q50" s="409"/>
      <c r="R50" s="409"/>
      <c r="S50" s="409"/>
      <c r="T50" s="409"/>
      <c r="U50" s="409"/>
      <c r="V50" s="409"/>
      <c r="W50" s="409"/>
    </row>
    <row r="51" spans="2:23" ht="42.75" customHeight="1" thickBot="1" x14ac:dyDescent="0.3">
      <c r="B51" s="418" t="str">
        <f>CONCATENATE("Comparator 3: ",NameComparator3)</f>
        <v xml:space="preserve">Comparator 3: </v>
      </c>
      <c r="C51" s="419"/>
      <c r="D51" s="420"/>
      <c r="E51" s="289"/>
      <c r="F51" s="289"/>
      <c r="G51" s="289"/>
      <c r="H51" s="289"/>
      <c r="I51" s="289"/>
      <c r="J51" s="431"/>
      <c r="K51" s="431"/>
      <c r="L51" s="431"/>
    </row>
    <row r="52" spans="2:23" ht="42.75" customHeight="1" thickBot="1" x14ac:dyDescent="0.3">
      <c r="B52" s="418" t="str">
        <f>CONCATENATE("Comparator 4: ",NameComparator4)</f>
        <v xml:space="preserve">Comparator 4: </v>
      </c>
      <c r="C52" s="419"/>
      <c r="D52" s="420"/>
      <c r="E52" s="289"/>
      <c r="F52" s="289"/>
      <c r="G52" s="289"/>
      <c r="H52" s="289"/>
      <c r="I52" s="289"/>
      <c r="J52" s="431"/>
      <c r="K52" s="431"/>
      <c r="L52" s="431"/>
    </row>
    <row r="53" spans="2:23" ht="42.75" customHeight="1" thickBot="1" x14ac:dyDescent="0.3">
      <c r="B53" s="418" t="str">
        <f>CONCATENATE("Comparator 5: ",NameComparator5)</f>
        <v xml:space="preserve">Comparator 5: </v>
      </c>
      <c r="C53" s="419"/>
      <c r="D53" s="420"/>
      <c r="E53" s="289"/>
      <c r="F53" s="289"/>
      <c r="G53" s="289"/>
      <c r="H53" s="289"/>
      <c r="I53" s="289"/>
      <c r="J53" s="431"/>
      <c r="K53" s="431"/>
      <c r="L53" s="431"/>
    </row>
    <row r="54" spans="2:23" ht="42.75" customHeight="1" thickBot="1" x14ac:dyDescent="0.3">
      <c r="B54" s="418" t="str">
        <f>CONCATENATE("Comparator 6: ",NameComparator6)</f>
        <v xml:space="preserve">Comparator 6: </v>
      </c>
      <c r="C54" s="419"/>
      <c r="D54" s="420"/>
      <c r="E54" s="289"/>
      <c r="F54" s="289"/>
      <c r="G54" s="289"/>
      <c r="H54" s="289"/>
      <c r="I54" s="289"/>
      <c r="J54" s="431"/>
      <c r="K54" s="431"/>
      <c r="L54" s="431"/>
    </row>
    <row r="55" spans="2:23" ht="42.75" customHeight="1" thickBot="1" x14ac:dyDescent="0.3">
      <c r="B55" s="418" t="str">
        <f>CONCATENATE("Comparator 7: ",NameComparator7)</f>
        <v xml:space="preserve">Comparator 7: </v>
      </c>
      <c r="C55" s="419"/>
      <c r="D55" s="420"/>
      <c r="E55" s="289"/>
      <c r="F55" s="289"/>
      <c r="G55" s="289"/>
      <c r="H55" s="289"/>
      <c r="I55" s="289"/>
      <c r="J55" s="431"/>
      <c r="K55" s="431"/>
      <c r="L55" s="431"/>
    </row>
    <row r="56" spans="2:23" ht="42.75" customHeight="1" thickBot="1" x14ac:dyDescent="0.3">
      <c r="B56" s="418" t="str">
        <f>CONCATENATE("Comparator 8: ",NameComparator8)</f>
        <v xml:space="preserve">Comparator 8: </v>
      </c>
      <c r="C56" s="419"/>
      <c r="D56" s="420"/>
      <c r="E56" s="289"/>
      <c r="F56" s="289"/>
      <c r="G56" s="289"/>
      <c r="H56" s="289"/>
      <c r="I56" s="289"/>
      <c r="J56" s="431"/>
      <c r="K56" s="431"/>
      <c r="L56" s="431"/>
    </row>
    <row r="57" spans="2:23" ht="42.75" customHeight="1" thickBot="1" x14ac:dyDescent="0.3">
      <c r="B57" s="418" t="str">
        <f>CONCATENATE("Comparator 9: ",NameComparator9)</f>
        <v xml:space="preserve">Comparator 9: </v>
      </c>
      <c r="C57" s="419"/>
      <c r="D57" s="420"/>
      <c r="E57" s="289"/>
      <c r="F57" s="289"/>
      <c r="G57" s="289"/>
      <c r="H57" s="289"/>
      <c r="I57" s="289"/>
      <c r="J57" s="431"/>
      <c r="K57" s="431"/>
      <c r="L57" s="431"/>
    </row>
    <row r="58" spans="2:23" ht="42.75" customHeight="1" thickBot="1" x14ac:dyDescent="0.3">
      <c r="B58" s="418" t="str">
        <f>CONCATENATE("Comparator 10: ",NameComparator10)</f>
        <v xml:space="preserve">Comparator 10: </v>
      </c>
      <c r="C58" s="419"/>
      <c r="D58" s="420"/>
      <c r="E58" s="289"/>
      <c r="F58" s="289"/>
      <c r="G58" s="289"/>
      <c r="H58" s="289"/>
      <c r="I58" s="289"/>
      <c r="J58" s="431"/>
      <c r="K58" s="431"/>
      <c r="L58" s="431"/>
    </row>
    <row r="59" spans="2:23" ht="42.75" customHeight="1" thickBot="1" x14ac:dyDescent="0.3">
      <c r="B59" s="418" t="str">
        <f>CONCATENATE("Comparator 11: ",NameComparator11)</f>
        <v xml:space="preserve">Comparator 11: </v>
      </c>
      <c r="C59" s="419"/>
      <c r="D59" s="420"/>
      <c r="E59" s="289"/>
      <c r="F59" s="289"/>
      <c r="G59" s="289"/>
      <c r="H59" s="289"/>
      <c r="I59" s="289"/>
      <c r="J59" s="431"/>
      <c r="K59" s="431"/>
      <c r="L59" s="431"/>
    </row>
    <row r="60" spans="2:23" ht="42.75" customHeight="1" thickBot="1" x14ac:dyDescent="0.3">
      <c r="B60" s="418" t="str">
        <f>CONCATENATE("Comparator 12: ",NameComparator12)</f>
        <v xml:space="preserve">Comparator 12: </v>
      </c>
      <c r="C60" s="419"/>
      <c r="D60" s="420"/>
      <c r="E60" s="289"/>
      <c r="F60" s="289"/>
      <c r="G60" s="289"/>
      <c r="H60" s="289"/>
      <c r="I60" s="289"/>
      <c r="J60" s="431"/>
      <c r="K60" s="431"/>
      <c r="L60" s="431"/>
    </row>
    <row r="62" spans="2:23" x14ac:dyDescent="0.25">
      <c r="E62" s="362">
        <f>SUM(E49:E60)</f>
        <v>0</v>
      </c>
      <c r="F62" s="362">
        <f t="shared" ref="F62:I62" si="3">SUM(F49:F60)</f>
        <v>0</v>
      </c>
      <c r="G62" s="362">
        <f t="shared" si="3"/>
        <v>0</v>
      </c>
      <c r="H62" s="362">
        <f t="shared" si="3"/>
        <v>0</v>
      </c>
      <c r="I62" s="362">
        <f t="shared" si="3"/>
        <v>0</v>
      </c>
      <c r="J62" s="363" t="s">
        <v>249</v>
      </c>
      <c r="K62" s="364"/>
      <c r="L62" s="364"/>
    </row>
    <row r="64" spans="2:23" ht="15.75" thickBot="1" x14ac:dyDescent="0.3"/>
    <row r="65" spans="2:23" ht="15.75" thickBot="1" x14ac:dyDescent="0.3">
      <c r="B65" s="410" t="s">
        <v>31</v>
      </c>
      <c r="C65" s="411"/>
      <c r="D65" s="411"/>
      <c r="E65" s="411"/>
      <c r="F65" s="411"/>
      <c r="G65" s="412"/>
    </row>
    <row r="66" spans="2:23" ht="15.75" thickBot="1" x14ac:dyDescent="0.3"/>
    <row r="67" spans="2:23" ht="15.75" thickBot="1" x14ac:dyDescent="0.3">
      <c r="B67" s="14"/>
      <c r="E67" s="10" t="s">
        <v>6</v>
      </c>
      <c r="F67" s="11" t="s">
        <v>7</v>
      </c>
      <c r="G67" s="11" t="s">
        <v>8</v>
      </c>
      <c r="H67" s="11" t="s">
        <v>9</v>
      </c>
      <c r="I67" s="12" t="s">
        <v>10</v>
      </c>
      <c r="J67" s="415" t="s">
        <v>46</v>
      </c>
      <c r="K67" s="416"/>
      <c r="L67" s="417"/>
    </row>
    <row r="68" spans="2:23" ht="42.95" customHeight="1" thickBot="1" x14ac:dyDescent="0.3">
      <c r="B68" s="418" t="str">
        <f>CONCATENATE("Intervention: ",InterventionINN)</f>
        <v xml:space="preserve">Intervention: </v>
      </c>
      <c r="C68" s="419"/>
      <c r="D68" s="420"/>
      <c r="E68" s="288"/>
      <c r="F68" s="288"/>
      <c r="G68" s="288"/>
      <c r="H68" s="288"/>
      <c r="I68" s="288"/>
      <c r="J68" s="422"/>
      <c r="K68" s="423"/>
      <c r="L68" s="424"/>
      <c r="N68" s="409" t="s">
        <v>272</v>
      </c>
      <c r="O68" s="409"/>
      <c r="P68" s="409"/>
      <c r="Q68" s="409"/>
      <c r="R68" s="409"/>
      <c r="S68" s="409"/>
      <c r="T68" s="409"/>
      <c r="U68" s="409"/>
      <c r="V68" s="409"/>
      <c r="W68" s="409"/>
    </row>
    <row r="69" spans="2:23" ht="42" customHeight="1" thickBot="1" x14ac:dyDescent="0.3">
      <c r="B69" s="418" t="str">
        <f>CONCATENATE("Comparator 1: ",NameComparator1)</f>
        <v xml:space="preserve">Comparator 1: </v>
      </c>
      <c r="C69" s="419"/>
      <c r="D69" s="420"/>
      <c r="E69" s="288"/>
      <c r="F69" s="288"/>
      <c r="G69" s="288"/>
      <c r="H69" s="288"/>
      <c r="I69" s="288"/>
      <c r="J69" s="422"/>
      <c r="K69" s="423"/>
      <c r="L69" s="424"/>
      <c r="N69" s="409"/>
      <c r="O69" s="409"/>
      <c r="P69" s="409"/>
      <c r="Q69" s="409"/>
      <c r="R69" s="409"/>
      <c r="S69" s="409"/>
      <c r="T69" s="409"/>
      <c r="U69" s="409"/>
      <c r="V69" s="409"/>
      <c r="W69" s="409"/>
    </row>
    <row r="70" spans="2:23" ht="42" customHeight="1" thickBot="1" x14ac:dyDescent="0.3">
      <c r="B70" s="418" t="str">
        <f>CONCATENATE("Comparator 2: ",NameComparator2)</f>
        <v xml:space="preserve">Comparator 2: </v>
      </c>
      <c r="C70" s="419"/>
      <c r="D70" s="420"/>
      <c r="E70" s="289"/>
      <c r="F70" s="289"/>
      <c r="G70" s="289"/>
      <c r="H70" s="289"/>
      <c r="I70" s="289"/>
      <c r="J70" s="422"/>
      <c r="K70" s="423"/>
      <c r="L70" s="424"/>
    </row>
    <row r="71" spans="2:23" ht="42" customHeight="1" thickBot="1" x14ac:dyDescent="0.3">
      <c r="B71" s="418" t="str">
        <f>CONCATENATE("Comparator 3: ",NameComparator3)</f>
        <v xml:space="preserve">Comparator 3: </v>
      </c>
      <c r="C71" s="419"/>
      <c r="D71" s="420"/>
      <c r="E71" s="289"/>
      <c r="F71" s="289"/>
      <c r="G71" s="289"/>
      <c r="H71" s="289"/>
      <c r="I71" s="289"/>
      <c r="J71" s="422"/>
      <c r="K71" s="423"/>
      <c r="L71" s="424"/>
    </row>
    <row r="72" spans="2:23" ht="42" customHeight="1" thickBot="1" x14ac:dyDescent="0.3">
      <c r="B72" s="418" t="str">
        <f>CONCATENATE("Comparator 4: ",NameComparator4)</f>
        <v xml:space="preserve">Comparator 4: </v>
      </c>
      <c r="C72" s="419"/>
      <c r="D72" s="420"/>
      <c r="E72" s="289"/>
      <c r="F72" s="289"/>
      <c r="G72" s="289"/>
      <c r="H72" s="289"/>
      <c r="I72" s="289"/>
      <c r="J72" s="422"/>
      <c r="K72" s="423"/>
      <c r="L72" s="424"/>
    </row>
    <row r="73" spans="2:23" ht="42" customHeight="1" thickBot="1" x14ac:dyDescent="0.3">
      <c r="B73" s="418" t="str">
        <f>CONCATENATE("Comparator 5: ",NameComparator5)</f>
        <v xml:space="preserve">Comparator 5: </v>
      </c>
      <c r="C73" s="419"/>
      <c r="D73" s="420"/>
      <c r="E73" s="289"/>
      <c r="F73" s="289"/>
      <c r="G73" s="289"/>
      <c r="H73" s="289"/>
      <c r="I73" s="289"/>
      <c r="J73" s="422"/>
      <c r="K73" s="423"/>
      <c r="L73" s="424"/>
    </row>
    <row r="74" spans="2:23" ht="42" customHeight="1" thickBot="1" x14ac:dyDescent="0.3">
      <c r="B74" s="418" t="str">
        <f>CONCATENATE("Comparator 6: ",NameComparator6)</f>
        <v xml:space="preserve">Comparator 6: </v>
      </c>
      <c r="C74" s="419"/>
      <c r="D74" s="420"/>
      <c r="E74" s="289"/>
      <c r="F74" s="289"/>
      <c r="G74" s="289"/>
      <c r="H74" s="289"/>
      <c r="I74" s="289"/>
      <c r="J74" s="422"/>
      <c r="K74" s="423"/>
      <c r="L74" s="424"/>
    </row>
    <row r="75" spans="2:23" ht="42" customHeight="1" thickBot="1" x14ac:dyDescent="0.3">
      <c r="B75" s="418" t="str">
        <f>CONCATENATE("Comparator 7: ",NameComparator7)</f>
        <v xml:space="preserve">Comparator 7: </v>
      </c>
      <c r="C75" s="419"/>
      <c r="D75" s="420"/>
      <c r="E75" s="289"/>
      <c r="F75" s="289"/>
      <c r="G75" s="289"/>
      <c r="H75" s="289"/>
      <c r="I75" s="289"/>
      <c r="J75" s="422"/>
      <c r="K75" s="423"/>
      <c r="L75" s="424"/>
    </row>
    <row r="76" spans="2:23" ht="42" customHeight="1" thickBot="1" x14ac:dyDescent="0.3">
      <c r="B76" s="418" t="str">
        <f>CONCATENATE("Comparator 8: ",NameComparator8)</f>
        <v xml:space="preserve">Comparator 8: </v>
      </c>
      <c r="C76" s="419"/>
      <c r="D76" s="420"/>
      <c r="E76" s="289"/>
      <c r="F76" s="289"/>
      <c r="G76" s="289"/>
      <c r="H76" s="289"/>
      <c r="I76" s="289"/>
      <c r="J76" s="422"/>
      <c r="K76" s="423"/>
      <c r="L76" s="424"/>
    </row>
    <row r="77" spans="2:23" ht="42" customHeight="1" thickBot="1" x14ac:dyDescent="0.3">
      <c r="B77" s="418" t="str">
        <f>CONCATENATE("Comparator 9: ",NameComparator9)</f>
        <v xml:space="preserve">Comparator 9: </v>
      </c>
      <c r="C77" s="419"/>
      <c r="D77" s="420"/>
      <c r="E77" s="289"/>
      <c r="F77" s="289"/>
      <c r="G77" s="289"/>
      <c r="H77" s="289"/>
      <c r="I77" s="289"/>
      <c r="J77" s="422"/>
      <c r="K77" s="423"/>
      <c r="L77" s="424"/>
    </row>
    <row r="78" spans="2:23" ht="42" customHeight="1" thickBot="1" x14ac:dyDescent="0.3">
      <c r="B78" s="418" t="str">
        <f>CONCATENATE("Comparator 10: ",NameComparator10)</f>
        <v xml:space="preserve">Comparator 10: </v>
      </c>
      <c r="C78" s="419"/>
      <c r="D78" s="420"/>
      <c r="E78" s="289"/>
      <c r="F78" s="289"/>
      <c r="G78" s="289"/>
      <c r="H78" s="289"/>
      <c r="I78" s="289"/>
      <c r="J78" s="460"/>
      <c r="K78" s="461"/>
      <c r="L78" s="462"/>
    </row>
    <row r="79" spans="2:23" ht="42" customHeight="1" thickBot="1" x14ac:dyDescent="0.3">
      <c r="B79" s="418" t="str">
        <f>CONCATENATE("Comparator 11: ",NameComparator11)</f>
        <v xml:space="preserve">Comparator 11: </v>
      </c>
      <c r="C79" s="419"/>
      <c r="D79" s="420"/>
      <c r="E79" s="289"/>
      <c r="F79" s="289"/>
      <c r="G79" s="289"/>
      <c r="H79" s="289"/>
      <c r="I79" s="289"/>
      <c r="J79" s="460"/>
      <c r="K79" s="461"/>
      <c r="L79" s="462"/>
    </row>
    <row r="80" spans="2:23" ht="42" customHeight="1" thickBot="1" x14ac:dyDescent="0.3">
      <c r="B80" s="418" t="str">
        <f>CONCATENATE("Comparator 12: ",NameComparator12)</f>
        <v xml:space="preserve">Comparator 12: </v>
      </c>
      <c r="C80" s="419"/>
      <c r="D80" s="420"/>
      <c r="E80" s="289"/>
      <c r="F80" s="289"/>
      <c r="G80" s="289"/>
      <c r="H80" s="289"/>
      <c r="I80" s="289"/>
      <c r="J80" s="460"/>
      <c r="K80" s="461"/>
      <c r="L80" s="462"/>
    </row>
    <row r="82" spans="2:23" x14ac:dyDescent="0.25">
      <c r="E82" s="362">
        <f>SUM(E68:E80)</f>
        <v>0</v>
      </c>
      <c r="F82" s="362">
        <f t="shared" ref="F82:I82" si="4">SUM(F68:F80)</f>
        <v>0</v>
      </c>
      <c r="G82" s="362">
        <f t="shared" si="4"/>
        <v>0</v>
      </c>
      <c r="H82" s="362">
        <f t="shared" si="4"/>
        <v>0</v>
      </c>
      <c r="I82" s="362">
        <f t="shared" si="4"/>
        <v>0</v>
      </c>
      <c r="J82" s="363" t="s">
        <v>249</v>
      </c>
      <c r="K82" s="364"/>
      <c r="L82" s="364"/>
    </row>
    <row r="84" spans="2:23" ht="15.75" thickBot="1" x14ac:dyDescent="0.3"/>
    <row r="85" spans="2:23" ht="15.75" thickBot="1" x14ac:dyDescent="0.3">
      <c r="B85" s="410" t="s">
        <v>32</v>
      </c>
      <c r="C85" s="411"/>
      <c r="D85" s="411"/>
      <c r="E85" s="411"/>
      <c r="F85" s="411"/>
      <c r="G85" s="412"/>
    </row>
    <row r="86" spans="2:23" ht="15.75" thickBot="1" x14ac:dyDescent="0.3"/>
    <row r="87" spans="2:23" ht="15.75" thickBot="1" x14ac:dyDescent="0.3">
      <c r="B87" s="14"/>
      <c r="E87" s="13" t="s">
        <v>6</v>
      </c>
      <c r="F87" s="13" t="s">
        <v>7</v>
      </c>
      <c r="G87" s="13" t="s">
        <v>8</v>
      </c>
      <c r="H87" s="13" t="s">
        <v>9</v>
      </c>
      <c r="I87" s="13" t="s">
        <v>10</v>
      </c>
      <c r="J87" s="432" t="s">
        <v>46</v>
      </c>
      <c r="K87" s="432"/>
      <c r="L87" s="432"/>
    </row>
    <row r="88" spans="2:23" ht="42" customHeight="1" thickBot="1" x14ac:dyDescent="0.3">
      <c r="B88" s="406" t="str">
        <f>CONCATENATE("Intervention: ",InterventionINN)</f>
        <v xml:space="preserve">Intervention: </v>
      </c>
      <c r="C88" s="407"/>
      <c r="D88" s="407"/>
      <c r="E88" s="288"/>
      <c r="F88" s="288"/>
      <c r="G88" s="288"/>
      <c r="H88" s="288"/>
      <c r="I88" s="288"/>
      <c r="J88" s="431"/>
      <c r="K88" s="431"/>
      <c r="L88" s="431"/>
      <c r="N88" s="408" t="s">
        <v>98</v>
      </c>
      <c r="O88" s="408"/>
      <c r="P88" s="408"/>
      <c r="Q88" s="408"/>
      <c r="R88" s="408"/>
      <c r="S88" s="408"/>
      <c r="T88" s="408"/>
      <c r="U88" s="408"/>
      <c r="V88" s="408"/>
      <c r="W88" s="408"/>
    </row>
    <row r="89" spans="2:23" ht="41.25" customHeight="1" thickBot="1" x14ac:dyDescent="0.3">
      <c r="B89" s="418" t="str">
        <f>CONCATENATE("Comparator 1: ",NameComparator1)</f>
        <v xml:space="preserve">Comparator 1: </v>
      </c>
      <c r="C89" s="419"/>
      <c r="D89" s="420"/>
      <c r="E89" s="288"/>
      <c r="F89" s="288"/>
      <c r="G89" s="288"/>
      <c r="H89" s="288"/>
      <c r="I89" s="288"/>
      <c r="J89" s="431"/>
      <c r="K89" s="431"/>
      <c r="L89" s="431"/>
      <c r="N89" s="408"/>
      <c r="O89" s="408"/>
      <c r="P89" s="408"/>
      <c r="Q89" s="408"/>
      <c r="R89" s="408"/>
      <c r="S89" s="408"/>
      <c r="T89" s="408"/>
      <c r="U89" s="408"/>
      <c r="V89" s="408"/>
      <c r="W89" s="408"/>
    </row>
    <row r="90" spans="2:23" ht="41.25" customHeight="1" thickBot="1" x14ac:dyDescent="0.3">
      <c r="B90" s="418" t="str">
        <f>CONCATENATE("Comparator 2: ",NameComparator2)</f>
        <v xml:space="preserve">Comparator 2: </v>
      </c>
      <c r="C90" s="419"/>
      <c r="D90" s="420"/>
      <c r="E90" s="288"/>
      <c r="F90" s="288"/>
      <c r="G90" s="288"/>
      <c r="H90" s="288"/>
      <c r="I90" s="288"/>
      <c r="J90" s="431"/>
      <c r="K90" s="431"/>
      <c r="L90" s="431"/>
    </row>
    <row r="91" spans="2:23" ht="41.25" customHeight="1" thickBot="1" x14ac:dyDescent="0.3">
      <c r="B91" s="418" t="str">
        <f>CONCATENATE("Comparator 3: ",NameComparator3)</f>
        <v xml:space="preserve">Comparator 3: </v>
      </c>
      <c r="C91" s="419"/>
      <c r="D91" s="420"/>
      <c r="E91" s="288"/>
      <c r="F91" s="288"/>
      <c r="G91" s="288"/>
      <c r="H91" s="288"/>
      <c r="I91" s="288"/>
      <c r="J91" s="431"/>
      <c r="K91" s="431"/>
      <c r="L91" s="431"/>
    </row>
    <row r="92" spans="2:23" ht="41.25" customHeight="1" thickBot="1" x14ac:dyDescent="0.3">
      <c r="B92" s="418" t="str">
        <f>CONCATENATE("Comparator 4: ",NameComparator4)</f>
        <v xml:space="preserve">Comparator 4: </v>
      </c>
      <c r="C92" s="419"/>
      <c r="D92" s="420"/>
      <c r="E92" s="288"/>
      <c r="F92" s="288"/>
      <c r="G92" s="288"/>
      <c r="H92" s="288"/>
      <c r="I92" s="288"/>
      <c r="J92" s="431"/>
      <c r="K92" s="431"/>
      <c r="L92" s="431"/>
    </row>
    <row r="93" spans="2:23" ht="41.25" customHeight="1" thickBot="1" x14ac:dyDescent="0.3">
      <c r="B93" s="418" t="str">
        <f>CONCATENATE("Comparator 5: ",NameComparator5)</f>
        <v xml:space="preserve">Comparator 5: </v>
      </c>
      <c r="C93" s="419"/>
      <c r="D93" s="420"/>
      <c r="E93" s="288"/>
      <c r="F93" s="288"/>
      <c r="G93" s="288"/>
      <c r="H93" s="288"/>
      <c r="I93" s="288"/>
      <c r="J93" s="431"/>
      <c r="K93" s="431"/>
      <c r="L93" s="431"/>
    </row>
    <row r="94" spans="2:23" ht="41.25" customHeight="1" thickBot="1" x14ac:dyDescent="0.3">
      <c r="B94" s="418" t="str">
        <f>CONCATENATE("Comparator 6: ",NameComparator6)</f>
        <v xml:space="preserve">Comparator 6: </v>
      </c>
      <c r="C94" s="419"/>
      <c r="D94" s="420"/>
      <c r="E94" s="288"/>
      <c r="F94" s="288"/>
      <c r="G94" s="288"/>
      <c r="H94" s="288"/>
      <c r="I94" s="288"/>
      <c r="J94" s="431"/>
      <c r="K94" s="431"/>
      <c r="L94" s="431"/>
    </row>
    <row r="95" spans="2:23" ht="41.25" customHeight="1" thickBot="1" x14ac:dyDescent="0.3">
      <c r="B95" s="418" t="str">
        <f>CONCATENATE("Comparator 7: ",NameComparator7)</f>
        <v xml:space="preserve">Comparator 7: </v>
      </c>
      <c r="C95" s="419"/>
      <c r="D95" s="420"/>
      <c r="E95" s="288"/>
      <c r="F95" s="288"/>
      <c r="G95" s="288"/>
      <c r="H95" s="288"/>
      <c r="I95" s="288"/>
      <c r="J95" s="431"/>
      <c r="K95" s="431"/>
      <c r="L95" s="431"/>
    </row>
    <row r="96" spans="2:23" ht="41.25" customHeight="1" thickBot="1" x14ac:dyDescent="0.3">
      <c r="B96" s="418" t="str">
        <f>CONCATENATE("Comparator 8: ",NameComparator8)</f>
        <v xml:space="preserve">Comparator 8: </v>
      </c>
      <c r="C96" s="419"/>
      <c r="D96" s="420"/>
      <c r="E96" s="288"/>
      <c r="F96" s="288"/>
      <c r="G96" s="288"/>
      <c r="H96" s="288"/>
      <c r="I96" s="288"/>
      <c r="J96" s="431"/>
      <c r="K96" s="431"/>
      <c r="L96" s="431"/>
    </row>
    <row r="97" spans="2:23" ht="41.25" customHeight="1" thickBot="1" x14ac:dyDescent="0.3">
      <c r="B97" s="418" t="str">
        <f>CONCATENATE("Comparator 9: ",NameComparator9)</f>
        <v xml:space="preserve">Comparator 9: </v>
      </c>
      <c r="C97" s="419"/>
      <c r="D97" s="420"/>
      <c r="E97" s="288"/>
      <c r="F97" s="288"/>
      <c r="G97" s="288"/>
      <c r="H97" s="288"/>
      <c r="I97" s="288"/>
      <c r="J97" s="431"/>
      <c r="K97" s="431"/>
      <c r="L97" s="431"/>
    </row>
    <row r="98" spans="2:23" ht="41.25" customHeight="1" thickBot="1" x14ac:dyDescent="0.3">
      <c r="B98" s="418" t="str">
        <f>CONCATENATE("Comparator 10: ",NameComparator10)</f>
        <v xml:space="preserve">Comparator 10: </v>
      </c>
      <c r="C98" s="419"/>
      <c r="D98" s="420"/>
      <c r="E98" s="288"/>
      <c r="F98" s="288"/>
      <c r="G98" s="288"/>
      <c r="H98" s="288"/>
      <c r="I98" s="288"/>
      <c r="J98" s="431"/>
      <c r="K98" s="431"/>
      <c r="L98" s="431"/>
    </row>
    <row r="99" spans="2:23" ht="41.25" customHeight="1" thickBot="1" x14ac:dyDescent="0.3">
      <c r="B99" s="418" t="str">
        <f>CONCATENATE("Comparator 11: ",NameComparator11)</f>
        <v xml:space="preserve">Comparator 11: </v>
      </c>
      <c r="C99" s="419"/>
      <c r="D99" s="420"/>
      <c r="E99" s="288"/>
      <c r="F99" s="288"/>
      <c r="G99" s="288"/>
      <c r="H99" s="288"/>
      <c r="I99" s="288"/>
      <c r="J99" s="431"/>
      <c r="K99" s="431"/>
      <c r="L99" s="431"/>
    </row>
    <row r="100" spans="2:23" ht="41.25" customHeight="1" thickBot="1" x14ac:dyDescent="0.3">
      <c r="B100" s="418" t="str">
        <f>CONCATENATE("Comparator 12: ",NameComparator12)</f>
        <v xml:space="preserve">Comparator 12: </v>
      </c>
      <c r="C100" s="419"/>
      <c r="D100" s="420"/>
      <c r="E100" s="288"/>
      <c r="F100" s="288"/>
      <c r="G100" s="288"/>
      <c r="H100" s="288"/>
      <c r="I100" s="288"/>
      <c r="J100" s="431"/>
      <c r="K100" s="431"/>
      <c r="L100" s="431"/>
    </row>
    <row r="103" spans="2:23" ht="15.75" thickBot="1" x14ac:dyDescent="0.3">
      <c r="H103" s="36"/>
      <c r="I103" s="36"/>
      <c r="J103" s="36"/>
      <c r="K103" s="36"/>
      <c r="L103" s="36"/>
    </row>
    <row r="104" spans="2:23" ht="15.75" thickBot="1" x14ac:dyDescent="0.3">
      <c r="B104" s="410" t="s">
        <v>52</v>
      </c>
      <c r="C104" s="411"/>
      <c r="D104" s="411"/>
      <c r="E104" s="411"/>
      <c r="F104" s="411"/>
      <c r="G104" s="412"/>
      <c r="M104" s="36"/>
      <c r="N104" s="36"/>
      <c r="O104" s="36"/>
      <c r="P104" s="36"/>
      <c r="Q104" s="36"/>
    </row>
    <row r="105" spans="2:23" ht="15.75" thickBot="1" x14ac:dyDescent="0.3">
      <c r="N105" s="408" t="s">
        <v>34</v>
      </c>
      <c r="O105" s="408"/>
      <c r="P105" s="408"/>
      <c r="Q105" s="408"/>
      <c r="R105" s="408"/>
      <c r="S105" s="408"/>
      <c r="T105" s="408"/>
      <c r="U105" s="408"/>
      <c r="V105" s="408"/>
      <c r="W105" s="408"/>
    </row>
    <row r="106" spans="2:23" ht="15.75" thickBot="1" x14ac:dyDescent="0.3">
      <c r="B106" s="14"/>
      <c r="E106" s="10" t="s">
        <v>6</v>
      </c>
      <c r="F106" s="11" t="s">
        <v>7</v>
      </c>
      <c r="G106" s="11" t="s">
        <v>8</v>
      </c>
      <c r="H106" s="11" t="s">
        <v>9</v>
      </c>
      <c r="I106" s="33" t="s">
        <v>10</v>
      </c>
      <c r="N106" s="408"/>
      <c r="O106" s="408"/>
      <c r="P106" s="408"/>
      <c r="Q106" s="408"/>
      <c r="R106" s="408"/>
      <c r="S106" s="408"/>
      <c r="T106" s="408"/>
      <c r="U106" s="408"/>
      <c r="V106" s="408"/>
      <c r="W106" s="408"/>
    </row>
    <row r="107" spans="2:23" ht="42.95" customHeight="1" thickBot="1" x14ac:dyDescent="0.3">
      <c r="B107" s="418" t="str">
        <f>CONCATENATE("Comparator 1: ",NameComparator1)</f>
        <v xml:space="preserve">Comparator 1: </v>
      </c>
      <c r="C107" s="419"/>
      <c r="D107" s="420"/>
      <c r="E107" s="336">
        <f t="shared" ref="E107:E112" si="5">(E49*$E$36)*(1-E89)</f>
        <v>0</v>
      </c>
      <c r="F107" s="337">
        <f t="shared" ref="F107:F112" si="6">(F49*$F$36)*(1-F89)</f>
        <v>0</v>
      </c>
      <c r="G107" s="337">
        <f t="shared" ref="G107:G112" si="7">(G49*$G$36)*(1-G89)</f>
        <v>0</v>
      </c>
      <c r="H107" s="337">
        <f t="shared" ref="H107:H112" si="8">(H49*$H$36)*(1-H89)</f>
        <v>0</v>
      </c>
      <c r="I107" s="338">
        <f t="shared" ref="I107:I112" si="9">(I49*$I$36)*(1-I89)</f>
        <v>0</v>
      </c>
      <c r="N107" s="103"/>
    </row>
    <row r="108" spans="2:23" ht="41.25" customHeight="1" thickBot="1" x14ac:dyDescent="0.3">
      <c r="B108" s="418" t="str">
        <f>CONCATENATE("Comparator 2: ",NameComparator2)</f>
        <v xml:space="preserve">Comparator 2: </v>
      </c>
      <c r="C108" s="419"/>
      <c r="D108" s="420"/>
      <c r="E108" s="339">
        <f t="shared" si="5"/>
        <v>0</v>
      </c>
      <c r="F108" s="340">
        <f t="shared" si="6"/>
        <v>0</v>
      </c>
      <c r="G108" s="340">
        <f t="shared" si="7"/>
        <v>0</v>
      </c>
      <c r="H108" s="340">
        <f t="shared" si="8"/>
        <v>0</v>
      </c>
      <c r="I108" s="341">
        <f t="shared" si="9"/>
        <v>0</v>
      </c>
    </row>
    <row r="109" spans="2:23" ht="41.25" customHeight="1" thickBot="1" x14ac:dyDescent="0.3">
      <c r="B109" s="418" t="str">
        <f>CONCATENATE("Comparator 3: ",NameComparator3)</f>
        <v xml:space="preserve">Comparator 3: </v>
      </c>
      <c r="C109" s="419"/>
      <c r="D109" s="420"/>
      <c r="E109" s="342">
        <f t="shared" si="5"/>
        <v>0</v>
      </c>
      <c r="F109" s="343">
        <f t="shared" si="6"/>
        <v>0</v>
      </c>
      <c r="G109" s="343">
        <f t="shared" si="7"/>
        <v>0</v>
      </c>
      <c r="H109" s="343">
        <f t="shared" si="8"/>
        <v>0</v>
      </c>
      <c r="I109" s="344">
        <f t="shared" si="9"/>
        <v>0</v>
      </c>
    </row>
    <row r="110" spans="2:23" ht="41.25" customHeight="1" thickBot="1" x14ac:dyDescent="0.3">
      <c r="B110" s="418" t="str">
        <f>CONCATENATE("Comparator 4: ",NameComparator4)</f>
        <v xml:space="preserve">Comparator 4: </v>
      </c>
      <c r="C110" s="419"/>
      <c r="D110" s="420"/>
      <c r="E110" s="342">
        <f t="shared" si="5"/>
        <v>0</v>
      </c>
      <c r="F110" s="343">
        <f t="shared" si="6"/>
        <v>0</v>
      </c>
      <c r="G110" s="343">
        <f t="shared" si="7"/>
        <v>0</v>
      </c>
      <c r="H110" s="343">
        <f t="shared" si="8"/>
        <v>0</v>
      </c>
      <c r="I110" s="344">
        <f t="shared" si="9"/>
        <v>0</v>
      </c>
    </row>
    <row r="111" spans="2:23" ht="41.25" customHeight="1" thickBot="1" x14ac:dyDescent="0.3">
      <c r="B111" s="418" t="str">
        <f>CONCATENATE("Comparator 5: ",NameComparator5)</f>
        <v xml:space="preserve">Comparator 5: </v>
      </c>
      <c r="C111" s="419"/>
      <c r="D111" s="420"/>
      <c r="E111" s="342">
        <f t="shared" si="5"/>
        <v>0</v>
      </c>
      <c r="F111" s="343">
        <f t="shared" si="6"/>
        <v>0</v>
      </c>
      <c r="G111" s="343">
        <f t="shared" si="7"/>
        <v>0</v>
      </c>
      <c r="H111" s="343">
        <f t="shared" si="8"/>
        <v>0</v>
      </c>
      <c r="I111" s="344">
        <f t="shared" si="9"/>
        <v>0</v>
      </c>
    </row>
    <row r="112" spans="2:23" ht="42.95" customHeight="1" thickBot="1" x14ac:dyDescent="0.3">
      <c r="B112" s="418" t="str">
        <f>CONCATENATE("Comparator 6: ",NameComparator6)</f>
        <v xml:space="preserve">Comparator 6: </v>
      </c>
      <c r="C112" s="419"/>
      <c r="D112" s="420"/>
      <c r="E112" s="345">
        <f t="shared" si="5"/>
        <v>0</v>
      </c>
      <c r="F112" s="346">
        <f t="shared" si="6"/>
        <v>0</v>
      </c>
      <c r="G112" s="346">
        <f t="shared" si="7"/>
        <v>0</v>
      </c>
      <c r="H112" s="346">
        <f t="shared" si="8"/>
        <v>0</v>
      </c>
      <c r="I112" s="347">
        <f t="shared" si="9"/>
        <v>0</v>
      </c>
    </row>
    <row r="113" spans="2:10" ht="42.95" customHeight="1" thickBot="1" x14ac:dyDescent="0.3">
      <c r="B113" s="418" t="str">
        <f>CONCATENATE("Comparator 7: ",NameComparator7)</f>
        <v xml:space="preserve">Comparator 7: </v>
      </c>
      <c r="C113" s="419"/>
      <c r="D113" s="420"/>
      <c r="E113" s="345">
        <f t="shared" ref="E113:E118" si="10">(E55*$E$36)*(1-E95)</f>
        <v>0</v>
      </c>
      <c r="F113" s="346">
        <f t="shared" ref="F113:F118" si="11">(F55*$F$36)*(1-F95)</f>
        <v>0</v>
      </c>
      <c r="G113" s="346">
        <f t="shared" ref="G113:G118" si="12">(G55*$G$36)*(1-G95)</f>
        <v>0</v>
      </c>
      <c r="H113" s="346">
        <f t="shared" ref="H113:H118" si="13">(H55*$H$36)*(1-H95)</f>
        <v>0</v>
      </c>
      <c r="I113" s="347">
        <f t="shared" ref="I113:I118" si="14">(I55*$I$36)*(1-I95)</f>
        <v>0</v>
      </c>
    </row>
    <row r="114" spans="2:10" ht="42.95" customHeight="1" thickBot="1" x14ac:dyDescent="0.3">
      <c r="B114" s="418" t="str">
        <f>CONCATENATE("Comparator 8: ",NameComparator8)</f>
        <v xml:space="preserve">Comparator 8: </v>
      </c>
      <c r="C114" s="419"/>
      <c r="D114" s="420"/>
      <c r="E114" s="345">
        <f t="shared" si="10"/>
        <v>0</v>
      </c>
      <c r="F114" s="346">
        <f t="shared" si="11"/>
        <v>0</v>
      </c>
      <c r="G114" s="346">
        <f t="shared" si="12"/>
        <v>0</v>
      </c>
      <c r="H114" s="346">
        <f t="shared" si="13"/>
        <v>0</v>
      </c>
      <c r="I114" s="347">
        <f t="shared" si="14"/>
        <v>0</v>
      </c>
    </row>
    <row r="115" spans="2:10" ht="42.95" customHeight="1" thickBot="1" x14ac:dyDescent="0.3">
      <c r="B115" s="418" t="str">
        <f>CONCATENATE("Comparator 9: ",NameComparator9)</f>
        <v xml:space="preserve">Comparator 9: </v>
      </c>
      <c r="C115" s="419"/>
      <c r="D115" s="420"/>
      <c r="E115" s="345">
        <f t="shared" si="10"/>
        <v>0</v>
      </c>
      <c r="F115" s="346">
        <f t="shared" si="11"/>
        <v>0</v>
      </c>
      <c r="G115" s="346">
        <f t="shared" si="12"/>
        <v>0</v>
      </c>
      <c r="H115" s="346">
        <f t="shared" si="13"/>
        <v>0</v>
      </c>
      <c r="I115" s="347">
        <f t="shared" si="14"/>
        <v>0</v>
      </c>
    </row>
    <row r="116" spans="2:10" ht="42.95" customHeight="1" thickBot="1" x14ac:dyDescent="0.3">
      <c r="B116" s="418" t="str">
        <f>CONCATENATE("Comparator 10: ",NameComparator10)</f>
        <v xml:space="preserve">Comparator 10: </v>
      </c>
      <c r="C116" s="419"/>
      <c r="D116" s="420"/>
      <c r="E116" s="345">
        <f t="shared" si="10"/>
        <v>0</v>
      </c>
      <c r="F116" s="346">
        <f t="shared" si="11"/>
        <v>0</v>
      </c>
      <c r="G116" s="346">
        <f t="shared" si="12"/>
        <v>0</v>
      </c>
      <c r="H116" s="346">
        <f t="shared" si="13"/>
        <v>0</v>
      </c>
      <c r="I116" s="347">
        <f t="shared" si="14"/>
        <v>0</v>
      </c>
    </row>
    <row r="117" spans="2:10" ht="42.95" customHeight="1" thickBot="1" x14ac:dyDescent="0.3">
      <c r="B117" s="418" t="str">
        <f>CONCATENATE("Comparator 11: ",NameComparator11)</f>
        <v xml:space="preserve">Comparator 11: </v>
      </c>
      <c r="C117" s="419"/>
      <c r="D117" s="420"/>
      <c r="E117" s="345">
        <f t="shared" si="10"/>
        <v>0</v>
      </c>
      <c r="F117" s="346">
        <f t="shared" si="11"/>
        <v>0</v>
      </c>
      <c r="G117" s="346">
        <f t="shared" si="12"/>
        <v>0</v>
      </c>
      <c r="H117" s="346">
        <f t="shared" si="13"/>
        <v>0</v>
      </c>
      <c r="I117" s="347">
        <f t="shared" si="14"/>
        <v>0</v>
      </c>
    </row>
    <row r="118" spans="2:10" ht="42.95" customHeight="1" thickBot="1" x14ac:dyDescent="0.3">
      <c r="B118" s="418" t="str">
        <f>CONCATENATE("Comparator 12: ",NameComparator12)</f>
        <v xml:space="preserve">Comparator 12: </v>
      </c>
      <c r="C118" s="419"/>
      <c r="D118" s="420"/>
      <c r="E118" s="345">
        <f t="shared" si="10"/>
        <v>0</v>
      </c>
      <c r="F118" s="346">
        <f t="shared" si="11"/>
        <v>0</v>
      </c>
      <c r="G118" s="346">
        <f t="shared" si="12"/>
        <v>0</v>
      </c>
      <c r="H118" s="346">
        <f t="shared" si="13"/>
        <v>0</v>
      </c>
      <c r="I118" s="347">
        <f t="shared" si="14"/>
        <v>0</v>
      </c>
    </row>
    <row r="119" spans="2:10" ht="15" customHeight="1" x14ac:dyDescent="0.25">
      <c r="B119" s="226"/>
      <c r="C119" s="226"/>
      <c r="D119" s="226"/>
      <c r="E119" s="43"/>
      <c r="F119" s="43"/>
      <c r="G119" s="43"/>
      <c r="H119" s="43"/>
      <c r="I119" s="43"/>
      <c r="J119" s="43"/>
    </row>
    <row r="120" spans="2:10" ht="15" customHeight="1" x14ac:dyDescent="0.25">
      <c r="B120" s="226"/>
      <c r="C120" s="226"/>
      <c r="D120" s="226"/>
      <c r="E120" s="43"/>
      <c r="F120" s="43"/>
      <c r="G120" s="43"/>
      <c r="H120" s="43"/>
      <c r="I120" s="43"/>
      <c r="J120" s="43"/>
    </row>
    <row r="121" spans="2:10" ht="15" customHeight="1" x14ac:dyDescent="0.25">
      <c r="B121" s="226"/>
      <c r="C121" s="226"/>
      <c r="D121" s="226"/>
      <c r="E121" s="43"/>
      <c r="F121" s="43"/>
      <c r="G121" s="43"/>
      <c r="H121" s="43"/>
      <c r="I121" s="43"/>
      <c r="J121" s="43"/>
    </row>
    <row r="122" spans="2:10" ht="15" customHeight="1" thickBot="1" x14ac:dyDescent="0.3">
      <c r="D122" s="226"/>
      <c r="E122" s="43"/>
      <c r="F122" s="43"/>
      <c r="G122" s="43"/>
      <c r="H122" s="43"/>
      <c r="I122" s="43"/>
      <c r="J122" s="43"/>
    </row>
    <row r="123" spans="2:10" ht="15" customHeight="1" thickBot="1" x14ac:dyDescent="0.3">
      <c r="B123" s="410" t="s">
        <v>53</v>
      </c>
      <c r="C123" s="411"/>
      <c r="D123" s="411"/>
      <c r="E123" s="411"/>
      <c r="F123" s="411"/>
      <c r="G123" s="412"/>
    </row>
    <row r="124" spans="2:10" ht="15.75" thickBot="1" x14ac:dyDescent="0.3"/>
    <row r="125" spans="2:10" ht="15.75" thickBot="1" x14ac:dyDescent="0.3">
      <c r="B125" s="14"/>
      <c r="E125" s="38" t="s">
        <v>6</v>
      </c>
      <c r="F125" s="39" t="s">
        <v>7</v>
      </c>
      <c r="G125" s="39" t="s">
        <v>8</v>
      </c>
      <c r="H125" s="39" t="s">
        <v>9</v>
      </c>
      <c r="I125" s="40" t="s">
        <v>10</v>
      </c>
    </row>
    <row r="126" spans="2:10" ht="42.95" customHeight="1" thickBot="1" x14ac:dyDescent="0.3">
      <c r="B126" s="406" t="str">
        <f>CONCATENATE("Intervention: ",InterventionINN)</f>
        <v xml:space="preserve">Intervention: </v>
      </c>
      <c r="C126" s="407"/>
      <c r="D126" s="407"/>
      <c r="E126" s="339">
        <f t="shared" ref="E126:E132" si="15">(E68*$E$36)*(1-E88)</f>
        <v>0</v>
      </c>
      <c r="F126" s="340">
        <f t="shared" ref="F126:F132" si="16">(F68*$F$36)*(1-F88)</f>
        <v>0</v>
      </c>
      <c r="G126" s="340">
        <f t="shared" ref="G126:G132" si="17">(G68*$G$36)*(1-G88)</f>
        <v>0</v>
      </c>
      <c r="H126" s="340">
        <f t="shared" ref="H126:H132" si="18">(H68*$H$36)*(1-H88)</f>
        <v>0</v>
      </c>
      <c r="I126" s="341">
        <f t="shared" ref="I126:I132" si="19">(I68*$I$36)*(1-I88)</f>
        <v>0</v>
      </c>
    </row>
    <row r="127" spans="2:10" ht="41.25" customHeight="1" thickBot="1" x14ac:dyDescent="0.3">
      <c r="B127" s="406" t="str">
        <f>CONCATENATE("Comparator 1: ",NameComparator1)</f>
        <v xml:space="preserve">Comparator 1: </v>
      </c>
      <c r="C127" s="407"/>
      <c r="D127" s="407"/>
      <c r="E127" s="342">
        <f t="shared" si="15"/>
        <v>0</v>
      </c>
      <c r="F127" s="343">
        <f t="shared" si="16"/>
        <v>0</v>
      </c>
      <c r="G127" s="343">
        <f t="shared" si="17"/>
        <v>0</v>
      </c>
      <c r="H127" s="343">
        <f t="shared" si="18"/>
        <v>0</v>
      </c>
      <c r="I127" s="344">
        <f t="shared" si="19"/>
        <v>0</v>
      </c>
    </row>
    <row r="128" spans="2:10" ht="41.25" customHeight="1" thickBot="1" x14ac:dyDescent="0.3">
      <c r="B128" s="406" t="str">
        <f>CONCATENATE("Comparator 2: ",NameComparator2)</f>
        <v xml:space="preserve">Comparator 2: </v>
      </c>
      <c r="C128" s="407"/>
      <c r="D128" s="407"/>
      <c r="E128" s="342">
        <f t="shared" si="15"/>
        <v>0</v>
      </c>
      <c r="F128" s="343">
        <f t="shared" si="16"/>
        <v>0</v>
      </c>
      <c r="G128" s="343">
        <f t="shared" si="17"/>
        <v>0</v>
      </c>
      <c r="H128" s="343">
        <f t="shared" si="18"/>
        <v>0</v>
      </c>
      <c r="I128" s="344">
        <f t="shared" si="19"/>
        <v>0</v>
      </c>
    </row>
    <row r="129" spans="2:9" ht="41.25" customHeight="1" thickBot="1" x14ac:dyDescent="0.3">
      <c r="B129" s="406" t="str">
        <f>CONCATENATE("Comparator 3: ",NameComparator3)</f>
        <v xml:space="preserve">Comparator 3: </v>
      </c>
      <c r="C129" s="407"/>
      <c r="D129" s="407"/>
      <c r="E129" s="342">
        <f t="shared" si="15"/>
        <v>0</v>
      </c>
      <c r="F129" s="343">
        <f t="shared" si="16"/>
        <v>0</v>
      </c>
      <c r="G129" s="343">
        <f t="shared" si="17"/>
        <v>0</v>
      </c>
      <c r="H129" s="343">
        <f t="shared" si="18"/>
        <v>0</v>
      </c>
      <c r="I129" s="344">
        <f t="shared" si="19"/>
        <v>0</v>
      </c>
    </row>
    <row r="130" spans="2:9" ht="41.25" customHeight="1" thickBot="1" x14ac:dyDescent="0.3">
      <c r="B130" s="406" t="str">
        <f>CONCATENATE("Comparator 4: ",NameComparator4)</f>
        <v xml:space="preserve">Comparator 4: </v>
      </c>
      <c r="C130" s="407"/>
      <c r="D130" s="407"/>
      <c r="E130" s="342">
        <f t="shared" si="15"/>
        <v>0</v>
      </c>
      <c r="F130" s="343">
        <f t="shared" si="16"/>
        <v>0</v>
      </c>
      <c r="G130" s="343">
        <f t="shared" si="17"/>
        <v>0</v>
      </c>
      <c r="H130" s="343">
        <f t="shared" si="18"/>
        <v>0</v>
      </c>
      <c r="I130" s="344">
        <f t="shared" si="19"/>
        <v>0</v>
      </c>
    </row>
    <row r="131" spans="2:9" ht="41.25" customHeight="1" thickBot="1" x14ac:dyDescent="0.3">
      <c r="B131" s="406" t="str">
        <f>CONCATENATE("Comparator 5: ",NameComparator5)</f>
        <v xml:space="preserve">Comparator 5: </v>
      </c>
      <c r="C131" s="407"/>
      <c r="D131" s="407"/>
      <c r="E131" s="342">
        <f t="shared" si="15"/>
        <v>0</v>
      </c>
      <c r="F131" s="343">
        <f t="shared" si="16"/>
        <v>0</v>
      </c>
      <c r="G131" s="343">
        <f t="shared" si="17"/>
        <v>0</v>
      </c>
      <c r="H131" s="343">
        <f t="shared" si="18"/>
        <v>0</v>
      </c>
      <c r="I131" s="344">
        <f t="shared" si="19"/>
        <v>0</v>
      </c>
    </row>
    <row r="132" spans="2:9" ht="41.25" customHeight="1" thickBot="1" x14ac:dyDescent="0.3">
      <c r="B132" s="406" t="str">
        <f>CONCATENATE("Comparator 6: ",NameComparator6)</f>
        <v xml:space="preserve">Comparator 6: </v>
      </c>
      <c r="C132" s="407"/>
      <c r="D132" s="407"/>
      <c r="E132" s="345">
        <f t="shared" si="15"/>
        <v>0</v>
      </c>
      <c r="F132" s="346">
        <f t="shared" si="16"/>
        <v>0</v>
      </c>
      <c r="G132" s="346">
        <f t="shared" si="17"/>
        <v>0</v>
      </c>
      <c r="H132" s="346">
        <f t="shared" si="18"/>
        <v>0</v>
      </c>
      <c r="I132" s="347">
        <f t="shared" si="19"/>
        <v>0</v>
      </c>
    </row>
    <row r="133" spans="2:9" ht="41.25" customHeight="1" thickBot="1" x14ac:dyDescent="0.3">
      <c r="B133" s="406" t="str">
        <f>CONCATENATE("Comparator 7: ",NameComparator7)</f>
        <v xml:space="preserve">Comparator 7: </v>
      </c>
      <c r="C133" s="407"/>
      <c r="D133" s="407"/>
      <c r="E133" s="345">
        <f t="shared" ref="E133:E138" si="20">(E75*$E$36)*(1-E95)</f>
        <v>0</v>
      </c>
      <c r="F133" s="346">
        <f t="shared" ref="F133:F138" si="21">(F75*$F$36)*(1-F95)</f>
        <v>0</v>
      </c>
      <c r="G133" s="346">
        <f t="shared" ref="G133:G138" si="22">(G75*$G$36)*(1-G95)</f>
        <v>0</v>
      </c>
      <c r="H133" s="346">
        <f t="shared" ref="H133:H138" si="23">(H75*$H$36)*(1-H95)</f>
        <v>0</v>
      </c>
      <c r="I133" s="347">
        <f t="shared" ref="I133:I138" si="24">(I75*$I$36)*(1-I95)</f>
        <v>0</v>
      </c>
    </row>
    <row r="134" spans="2:9" ht="41.25" customHeight="1" thickBot="1" x14ac:dyDescent="0.3">
      <c r="B134" s="406" t="str">
        <f>CONCATENATE("Comparator 8: ",NameComparator8)</f>
        <v xml:space="preserve">Comparator 8: </v>
      </c>
      <c r="C134" s="407"/>
      <c r="D134" s="407"/>
      <c r="E134" s="345">
        <f t="shared" si="20"/>
        <v>0</v>
      </c>
      <c r="F134" s="346">
        <f t="shared" si="21"/>
        <v>0</v>
      </c>
      <c r="G134" s="346">
        <f t="shared" si="22"/>
        <v>0</v>
      </c>
      <c r="H134" s="346">
        <f t="shared" si="23"/>
        <v>0</v>
      </c>
      <c r="I134" s="347">
        <f t="shared" si="24"/>
        <v>0</v>
      </c>
    </row>
    <row r="135" spans="2:9" ht="41.25" customHeight="1" thickBot="1" x14ac:dyDescent="0.3">
      <c r="B135" s="406" t="str">
        <f>CONCATENATE("Comparator 9: ",NameComparator9)</f>
        <v xml:space="preserve">Comparator 9: </v>
      </c>
      <c r="C135" s="407"/>
      <c r="D135" s="407"/>
      <c r="E135" s="345">
        <f t="shared" si="20"/>
        <v>0</v>
      </c>
      <c r="F135" s="346">
        <f t="shared" si="21"/>
        <v>0</v>
      </c>
      <c r="G135" s="346">
        <f t="shared" si="22"/>
        <v>0</v>
      </c>
      <c r="H135" s="346">
        <f t="shared" si="23"/>
        <v>0</v>
      </c>
      <c r="I135" s="347">
        <f t="shared" si="24"/>
        <v>0</v>
      </c>
    </row>
    <row r="136" spans="2:9" ht="41.25" customHeight="1" thickBot="1" x14ac:dyDescent="0.3">
      <c r="B136" s="406" t="str">
        <f>CONCATENATE("Comparator 10: ",NameComparator10)</f>
        <v xml:space="preserve">Comparator 10: </v>
      </c>
      <c r="C136" s="407"/>
      <c r="D136" s="407"/>
      <c r="E136" s="345">
        <f t="shared" si="20"/>
        <v>0</v>
      </c>
      <c r="F136" s="346">
        <f t="shared" si="21"/>
        <v>0</v>
      </c>
      <c r="G136" s="346">
        <f t="shared" si="22"/>
        <v>0</v>
      </c>
      <c r="H136" s="346">
        <f t="shared" si="23"/>
        <v>0</v>
      </c>
      <c r="I136" s="347">
        <f t="shared" si="24"/>
        <v>0</v>
      </c>
    </row>
    <row r="137" spans="2:9" ht="41.25" customHeight="1" thickBot="1" x14ac:dyDescent="0.3">
      <c r="B137" s="406" t="str">
        <f>CONCATENATE("Comparator 11: ",NameComparator11)</f>
        <v xml:space="preserve">Comparator 11: </v>
      </c>
      <c r="C137" s="407"/>
      <c r="D137" s="407"/>
      <c r="E137" s="345">
        <f t="shared" si="20"/>
        <v>0</v>
      </c>
      <c r="F137" s="346">
        <f t="shared" si="21"/>
        <v>0</v>
      </c>
      <c r="G137" s="346">
        <f t="shared" si="22"/>
        <v>0</v>
      </c>
      <c r="H137" s="346">
        <f t="shared" si="23"/>
        <v>0</v>
      </c>
      <c r="I137" s="347">
        <f t="shared" si="24"/>
        <v>0</v>
      </c>
    </row>
    <row r="138" spans="2:9" ht="41.25" customHeight="1" thickBot="1" x14ac:dyDescent="0.3">
      <c r="B138" s="406" t="str">
        <f>CONCATENATE("Comparator 12: ",NameComparator12)</f>
        <v xml:space="preserve">Comparator 12: </v>
      </c>
      <c r="C138" s="407"/>
      <c r="D138" s="407"/>
      <c r="E138" s="345">
        <f t="shared" si="20"/>
        <v>0</v>
      </c>
      <c r="F138" s="346">
        <f t="shared" si="21"/>
        <v>0</v>
      </c>
      <c r="G138" s="346">
        <f t="shared" si="22"/>
        <v>0</v>
      </c>
      <c r="H138" s="346">
        <f t="shared" si="23"/>
        <v>0</v>
      </c>
      <c r="I138" s="347">
        <f t="shared" si="24"/>
        <v>0</v>
      </c>
    </row>
  </sheetData>
  <mergeCells count="140">
    <mergeCell ref="B135:D135"/>
    <mergeCell ref="B136:D136"/>
    <mergeCell ref="B137:D137"/>
    <mergeCell ref="B138:D138"/>
    <mergeCell ref="B116:D116"/>
    <mergeCell ref="B117:D117"/>
    <mergeCell ref="B118:D118"/>
    <mergeCell ref="B133:D133"/>
    <mergeCell ref="B134:D134"/>
    <mergeCell ref="B129:D129"/>
    <mergeCell ref="B130:D130"/>
    <mergeCell ref="B126:D126"/>
    <mergeCell ref="B127:D127"/>
    <mergeCell ref="B128:D128"/>
    <mergeCell ref="B80:D80"/>
    <mergeCell ref="J80:L80"/>
    <mergeCell ref="B113:D113"/>
    <mergeCell ref="B114:D114"/>
    <mergeCell ref="B115:D115"/>
    <mergeCell ref="B98:D98"/>
    <mergeCell ref="J98:L98"/>
    <mergeCell ref="B99:D99"/>
    <mergeCell ref="J99:L99"/>
    <mergeCell ref="B100:D100"/>
    <mergeCell ref="J100:L100"/>
    <mergeCell ref="B88:D88"/>
    <mergeCell ref="J88:L88"/>
    <mergeCell ref="B89:D89"/>
    <mergeCell ref="J89:L89"/>
    <mergeCell ref="B90:D90"/>
    <mergeCell ref="J90:L90"/>
    <mergeCell ref="B91:D91"/>
    <mergeCell ref="J91:L91"/>
    <mergeCell ref="B95:D95"/>
    <mergeCell ref="J95:L95"/>
    <mergeCell ref="B96:D96"/>
    <mergeCell ref="J96:L96"/>
    <mergeCell ref="B97:D97"/>
    <mergeCell ref="B75:D75"/>
    <mergeCell ref="J75:L75"/>
    <mergeCell ref="B76:D76"/>
    <mergeCell ref="J76:L76"/>
    <mergeCell ref="B77:D77"/>
    <mergeCell ref="J77:L77"/>
    <mergeCell ref="B78:D78"/>
    <mergeCell ref="J78:L78"/>
    <mergeCell ref="B79:D79"/>
    <mergeCell ref="J79:L79"/>
    <mergeCell ref="J72:L72"/>
    <mergeCell ref="B73:D73"/>
    <mergeCell ref="B74:D74"/>
    <mergeCell ref="J73:L73"/>
    <mergeCell ref="J74:L74"/>
    <mergeCell ref="N49:W50"/>
    <mergeCell ref="B53:D53"/>
    <mergeCell ref="B54:D54"/>
    <mergeCell ref="J53:L53"/>
    <mergeCell ref="B49:D49"/>
    <mergeCell ref="J49:L49"/>
    <mergeCell ref="B50:D50"/>
    <mergeCell ref="J50:L50"/>
    <mergeCell ref="B51:D51"/>
    <mergeCell ref="J51:L51"/>
    <mergeCell ref="J59:L59"/>
    <mergeCell ref="B60:D60"/>
    <mergeCell ref="J60:L60"/>
    <mergeCell ref="B55:D55"/>
    <mergeCell ref="J55:L55"/>
    <mergeCell ref="B56:D56"/>
    <mergeCell ref="J56:L56"/>
    <mergeCell ref="B57:D57"/>
    <mergeCell ref="J57:L57"/>
    <mergeCell ref="B112:D112"/>
    <mergeCell ref="B93:D93"/>
    <mergeCell ref="B94:D94"/>
    <mergeCell ref="J93:L93"/>
    <mergeCell ref="J94:L94"/>
    <mergeCell ref="B108:D108"/>
    <mergeCell ref="B109:D109"/>
    <mergeCell ref="B110:D110"/>
    <mergeCell ref="B107:D107"/>
    <mergeCell ref="B111:D111"/>
    <mergeCell ref="J97:L97"/>
    <mergeCell ref="J68:L68"/>
    <mergeCell ref="B69:D69"/>
    <mergeCell ref="J48:L48"/>
    <mergeCell ref="J54:L54"/>
    <mergeCell ref="B52:D52"/>
    <mergeCell ref="J52:L52"/>
    <mergeCell ref="B58:D58"/>
    <mergeCell ref="J58:L58"/>
    <mergeCell ref="B59:D59"/>
    <mergeCell ref="B70:D70"/>
    <mergeCell ref="J70:L70"/>
    <mergeCell ref="B71:D71"/>
    <mergeCell ref="B92:D92"/>
    <mergeCell ref="J92:L92"/>
    <mergeCell ref="J87:L87"/>
    <mergeCell ref="J71:L71"/>
    <mergeCell ref="B72:D72"/>
    <mergeCell ref="J27:L27"/>
    <mergeCell ref="J28:L28"/>
    <mergeCell ref="J29:L29"/>
    <mergeCell ref="B30:D30"/>
    <mergeCell ref="J30:L30"/>
    <mergeCell ref="B28:D28"/>
    <mergeCell ref="B29:D29"/>
    <mergeCell ref="B32:D32"/>
    <mergeCell ref="J32:L32"/>
    <mergeCell ref="B31:D31"/>
    <mergeCell ref="B36:D36"/>
    <mergeCell ref="J36:L36"/>
    <mergeCell ref="B34:D34"/>
    <mergeCell ref="J34:L34"/>
    <mergeCell ref="B46:G46"/>
    <mergeCell ref="B41:G41"/>
    <mergeCell ref="N26:W28"/>
    <mergeCell ref="N29:W30"/>
    <mergeCell ref="B131:D131"/>
    <mergeCell ref="B132:D132"/>
    <mergeCell ref="B17:K21"/>
    <mergeCell ref="N105:W106"/>
    <mergeCell ref="N68:W69"/>
    <mergeCell ref="N88:W89"/>
    <mergeCell ref="B25:G25"/>
    <mergeCell ref="B65:G65"/>
    <mergeCell ref="B85:G85"/>
    <mergeCell ref="B104:G104"/>
    <mergeCell ref="B123:G123"/>
    <mergeCell ref="J31:L31"/>
    <mergeCell ref="J67:L67"/>
    <mergeCell ref="B68:D68"/>
    <mergeCell ref="N35:W35"/>
    <mergeCell ref="N31:W31"/>
    <mergeCell ref="N33:W33"/>
    <mergeCell ref="J69:L69"/>
    <mergeCell ref="B33:D33"/>
    <mergeCell ref="J33:L33"/>
    <mergeCell ref="B35:D35"/>
    <mergeCell ref="J35:L3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oto_References">
                <anchor moveWithCells="1" sizeWithCells="1">
                  <from>
                    <xdr:col>0</xdr:col>
                    <xdr:colOff>66675</xdr:colOff>
                    <xdr:row>27</xdr:row>
                    <xdr:rowOff>85725</xdr:rowOff>
                  </from>
                  <to>
                    <xdr:col>0</xdr:col>
                    <xdr:colOff>523875</xdr:colOff>
                    <xdr:row>27</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7:V1146"/>
  <sheetViews>
    <sheetView zoomScale="75" zoomScaleNormal="75" workbookViewId="0">
      <selection activeCell="K19" sqref="K19:N19"/>
    </sheetView>
  </sheetViews>
  <sheetFormatPr defaultColWidth="9.140625" defaultRowHeight="15" x14ac:dyDescent="0.25"/>
  <cols>
    <col min="1" max="1" width="9.140625" style="1"/>
    <col min="2" max="3" width="10" style="26" customWidth="1"/>
    <col min="4" max="4" width="27.140625" style="26" customWidth="1"/>
    <col min="5" max="5" width="18.85546875" style="1" customWidth="1"/>
    <col min="6" max="6" width="19.28515625" style="1" customWidth="1"/>
    <col min="7" max="7" width="18.85546875" style="1" customWidth="1"/>
    <col min="8" max="8" width="19.140625" style="1" customWidth="1"/>
    <col min="9" max="9" width="19.28515625" style="1" customWidth="1"/>
    <col min="10" max="10" width="2.28515625" style="107" customWidth="1"/>
    <col min="11" max="11" width="25" style="1" customWidth="1"/>
    <col min="12" max="12" width="23.7109375" style="1" customWidth="1"/>
    <col min="13" max="13" width="15.7109375" style="1" customWidth="1"/>
    <col min="14" max="14" width="18.42578125" style="1" customWidth="1"/>
    <col min="15" max="15" width="19.42578125" style="1" customWidth="1"/>
    <col min="16" max="16" width="22" style="1" bestFit="1" customWidth="1"/>
    <col min="17" max="17" width="9.140625" style="1"/>
    <col min="18" max="18" width="13.28515625" style="1" bestFit="1" customWidth="1"/>
    <col min="19" max="16384" width="9.140625" style="1"/>
  </cols>
  <sheetData>
    <row r="17" spans="2:15" ht="15" customHeight="1" x14ac:dyDescent="0.25">
      <c r="B17" s="516" t="s">
        <v>175</v>
      </c>
      <c r="C17" s="516"/>
      <c r="D17" s="516"/>
      <c r="E17" s="516"/>
      <c r="F17" s="516"/>
      <c r="G17" s="516"/>
      <c r="H17" s="516"/>
      <c r="I17" s="516"/>
      <c r="J17" s="126"/>
      <c r="K17" s="105"/>
      <c r="L17" s="105"/>
      <c r="M17" s="105"/>
      <c r="N17" s="5"/>
      <c r="O17" s="5"/>
    </row>
    <row r="18" spans="2:15" x14ac:dyDescent="0.25">
      <c r="B18" s="516"/>
      <c r="C18" s="516"/>
      <c r="D18" s="516"/>
      <c r="E18" s="516"/>
      <c r="F18" s="516"/>
      <c r="G18" s="516"/>
      <c r="H18" s="516"/>
      <c r="I18" s="516"/>
      <c r="J18" s="126"/>
    </row>
    <row r="19" spans="2:15" ht="75" customHeight="1" x14ac:dyDescent="0.25">
      <c r="B19" s="516"/>
      <c r="C19" s="516"/>
      <c r="D19" s="516"/>
      <c r="E19" s="516"/>
      <c r="F19" s="516"/>
      <c r="G19" s="516"/>
      <c r="H19" s="516"/>
      <c r="I19" s="516"/>
      <c r="J19" s="126"/>
      <c r="K19" s="517" t="s">
        <v>105</v>
      </c>
      <c r="L19" s="517"/>
      <c r="M19" s="517"/>
      <c r="N19" s="517"/>
    </row>
    <row r="20" spans="2:15" x14ac:dyDescent="0.25">
      <c r="B20" s="516"/>
      <c r="C20" s="516"/>
      <c r="D20" s="516"/>
      <c r="E20" s="516"/>
      <c r="F20" s="516"/>
      <c r="G20" s="516"/>
      <c r="H20" s="516"/>
      <c r="I20" s="516"/>
      <c r="J20" s="126"/>
      <c r="K20" s="105"/>
      <c r="L20" s="105"/>
      <c r="M20" s="105"/>
      <c r="N20" s="5"/>
      <c r="O20" s="5"/>
    </row>
    <row r="21" spans="2:15" x14ac:dyDescent="0.25">
      <c r="B21" s="516"/>
      <c r="C21" s="516"/>
      <c r="D21" s="516"/>
      <c r="E21" s="516"/>
      <c r="F21" s="516"/>
      <c r="G21" s="516"/>
      <c r="H21" s="516"/>
      <c r="I21" s="516"/>
      <c r="J21" s="106"/>
      <c r="K21" s="148"/>
      <c r="L21" s="148"/>
      <c r="M21" s="148"/>
    </row>
    <row r="22" spans="2:15" x14ac:dyDescent="0.25">
      <c r="B22" s="516"/>
      <c r="C22" s="516"/>
      <c r="D22" s="516"/>
      <c r="E22" s="516"/>
      <c r="F22" s="516"/>
      <c r="G22" s="516"/>
      <c r="H22" s="516"/>
      <c r="I22" s="516"/>
      <c r="J22" s="106"/>
      <c r="K22" s="148"/>
      <c r="L22" s="148"/>
      <c r="M22" s="148"/>
    </row>
    <row r="23" spans="2:15" ht="63" customHeight="1" x14ac:dyDescent="0.25">
      <c r="B23" s="516"/>
      <c r="C23" s="516"/>
      <c r="D23" s="516"/>
      <c r="E23" s="516"/>
      <c r="F23" s="516"/>
      <c r="G23" s="516"/>
      <c r="H23" s="516"/>
      <c r="I23" s="516"/>
      <c r="J23" s="106"/>
      <c r="K23" s="148"/>
      <c r="L23" s="148"/>
      <c r="M23" s="148"/>
    </row>
    <row r="24" spans="2:15" x14ac:dyDescent="0.25">
      <c r="B24" s="218"/>
      <c r="C24" s="218"/>
      <c r="D24" s="218"/>
      <c r="E24" s="146"/>
      <c r="F24" s="146"/>
      <c r="G24" s="146"/>
      <c r="H24" s="146"/>
      <c r="I24" s="146"/>
      <c r="J24" s="106"/>
      <c r="K24" s="148"/>
      <c r="L24" s="148"/>
      <c r="M24" s="148"/>
    </row>
    <row r="25" spans="2:15" x14ac:dyDescent="0.25">
      <c r="B25" s="14"/>
    </row>
    <row r="26" spans="2:15" ht="15.75" thickBot="1" x14ac:dyDescent="0.3">
      <c r="B26" s="98" t="s">
        <v>100</v>
      </c>
    </row>
    <row r="27" spans="2:15" ht="15.75" thickBot="1" x14ac:dyDescent="0.3">
      <c r="B27" s="14"/>
      <c r="E27" s="143" t="s">
        <v>6</v>
      </c>
      <c r="F27" s="13" t="s">
        <v>7</v>
      </c>
      <c r="G27" s="13" t="s">
        <v>8</v>
      </c>
      <c r="H27" s="13" t="s">
        <v>9</v>
      </c>
      <c r="I27" s="144" t="s">
        <v>10</v>
      </c>
    </row>
    <row r="28" spans="2:15" ht="15.75" thickBot="1" x14ac:dyDescent="0.3">
      <c r="B28" s="518" t="str">
        <f>CONCATENATE("Intervention: ",InterventionINN)</f>
        <v xml:space="preserve">Intervention: </v>
      </c>
      <c r="C28" s="519"/>
      <c r="D28" s="520"/>
      <c r="E28" s="123"/>
      <c r="F28" s="123"/>
      <c r="G28" s="123"/>
      <c r="H28" s="123"/>
      <c r="I28" s="123"/>
      <c r="K28" s="383" t="s">
        <v>251</v>
      </c>
    </row>
    <row r="29" spans="2:15" ht="15.75" thickBot="1" x14ac:dyDescent="0.3">
      <c r="B29" s="518" t="str">
        <f>CONCATENATE("Comparator 1: ",NameComparator1)</f>
        <v xml:space="preserve">Comparator 1: </v>
      </c>
      <c r="C29" s="519"/>
      <c r="D29" s="520"/>
      <c r="E29" s="123"/>
      <c r="F29" s="123"/>
      <c r="G29" s="123"/>
      <c r="H29" s="123"/>
      <c r="I29" s="123"/>
      <c r="K29" s="365"/>
    </row>
    <row r="30" spans="2:15" ht="15.75" thickBot="1" x14ac:dyDescent="0.3">
      <c r="B30" s="518" t="str">
        <f>CONCATENATE("Comparator 2: ",NameComparator2)</f>
        <v xml:space="preserve">Comparator 2: </v>
      </c>
      <c r="C30" s="519"/>
      <c r="D30" s="520"/>
      <c r="E30" s="123"/>
      <c r="F30" s="123"/>
      <c r="G30" s="123"/>
      <c r="H30" s="123"/>
      <c r="I30" s="123"/>
    </row>
    <row r="31" spans="2:15" ht="15.75" thickBot="1" x14ac:dyDescent="0.3">
      <c r="B31" s="518" t="str">
        <f>CONCATENATE("Comparator 3: ",NameComparator3)</f>
        <v xml:space="preserve">Comparator 3: </v>
      </c>
      <c r="C31" s="519"/>
      <c r="D31" s="520"/>
      <c r="E31" s="123"/>
      <c r="F31" s="123"/>
      <c r="G31" s="123"/>
      <c r="H31" s="123"/>
      <c r="I31" s="123"/>
    </row>
    <row r="32" spans="2:15" ht="15.75" thickBot="1" x14ac:dyDescent="0.3">
      <c r="B32" s="518" t="str">
        <f>CONCATENATE("Comparator 4: ",NameComparator4)</f>
        <v xml:space="preserve">Comparator 4: </v>
      </c>
      <c r="C32" s="519"/>
      <c r="D32" s="520"/>
      <c r="E32" s="123"/>
      <c r="F32" s="123"/>
      <c r="G32" s="123"/>
      <c r="H32" s="123"/>
      <c r="I32" s="123"/>
    </row>
    <row r="33" spans="2:22" ht="15.75" thickBot="1" x14ac:dyDescent="0.3">
      <c r="B33" s="518" t="str">
        <f>CONCATENATE("Comparator 5: ",NameComparator5)</f>
        <v xml:space="preserve">Comparator 5: </v>
      </c>
      <c r="C33" s="519"/>
      <c r="D33" s="520"/>
      <c r="E33" s="123"/>
      <c r="F33" s="123"/>
      <c r="G33" s="123"/>
      <c r="H33" s="123"/>
      <c r="I33" s="123"/>
      <c r="N33" s="103"/>
    </row>
    <row r="34" spans="2:22" ht="15.75" thickBot="1" x14ac:dyDescent="0.3">
      <c r="B34" s="518" t="str">
        <f>CONCATENATE("Comparator 6: ",NameComparator6)</f>
        <v xml:space="preserve">Comparator 6: </v>
      </c>
      <c r="C34" s="519"/>
      <c r="D34" s="520"/>
      <c r="E34" s="123"/>
      <c r="F34" s="123"/>
      <c r="G34" s="123"/>
      <c r="H34" s="123"/>
      <c r="I34" s="123"/>
    </row>
    <row r="35" spans="2:22" ht="15.75" thickBot="1" x14ac:dyDescent="0.3">
      <c r="B35" s="518" t="str">
        <f>CONCATENATE("Comparator 7: ",NameComparator7)</f>
        <v xml:space="preserve">Comparator 7: </v>
      </c>
      <c r="C35" s="519"/>
      <c r="D35" s="520"/>
      <c r="E35" s="123"/>
      <c r="F35" s="123"/>
      <c r="G35" s="123"/>
      <c r="H35" s="123"/>
      <c r="I35" s="123"/>
    </row>
    <row r="36" spans="2:22" ht="15.75" thickBot="1" x14ac:dyDescent="0.3">
      <c r="B36" s="518" t="str">
        <f>CONCATENATE("Comparator 8: ",NameComparator8)</f>
        <v xml:space="preserve">Comparator 8: </v>
      </c>
      <c r="C36" s="519"/>
      <c r="D36" s="520"/>
      <c r="E36" s="123"/>
      <c r="F36" s="123"/>
      <c r="G36" s="123"/>
      <c r="H36" s="123"/>
      <c r="I36" s="123"/>
    </row>
    <row r="37" spans="2:22" ht="15.75" thickBot="1" x14ac:dyDescent="0.3">
      <c r="B37" s="518" t="str">
        <f>CONCATENATE("Comparator 9: ",NameComparator9)</f>
        <v xml:space="preserve">Comparator 9: </v>
      </c>
      <c r="C37" s="519"/>
      <c r="D37" s="520"/>
      <c r="E37" s="123"/>
      <c r="F37" s="123"/>
      <c r="G37" s="123"/>
      <c r="H37" s="123"/>
      <c r="I37" s="123"/>
    </row>
    <row r="38" spans="2:22" ht="15.75" thickBot="1" x14ac:dyDescent="0.3">
      <c r="B38" s="518" t="str">
        <f>CONCATENATE("Comparator 10: ",NameComparator10)</f>
        <v xml:space="preserve">Comparator 10: </v>
      </c>
      <c r="C38" s="519"/>
      <c r="D38" s="520"/>
      <c r="E38" s="123"/>
      <c r="F38" s="123"/>
      <c r="G38" s="123"/>
      <c r="H38" s="123"/>
      <c r="I38" s="123"/>
    </row>
    <row r="39" spans="2:22" ht="15.75" thickBot="1" x14ac:dyDescent="0.3">
      <c r="B39" s="518" t="str">
        <f>CONCATENATE("Comparator 11: ",NameComparator11)</f>
        <v xml:space="preserve">Comparator 11: </v>
      </c>
      <c r="C39" s="519"/>
      <c r="D39" s="520"/>
      <c r="E39" s="123"/>
      <c r="F39" s="123"/>
      <c r="G39" s="123"/>
      <c r="H39" s="123"/>
      <c r="I39" s="123"/>
    </row>
    <row r="40" spans="2:22" ht="15.75" thickBot="1" x14ac:dyDescent="0.3">
      <c r="B40" s="518" t="str">
        <f>CONCATENATE("Comparator 12: ",NameComparator12)</f>
        <v xml:space="preserve">Comparator 12: </v>
      </c>
      <c r="C40" s="519"/>
      <c r="D40" s="520"/>
      <c r="E40" s="123"/>
      <c r="F40" s="123"/>
      <c r="G40" s="123"/>
      <c r="H40" s="123"/>
      <c r="I40" s="123"/>
    </row>
    <row r="42" spans="2:22" ht="15.75" thickBot="1" x14ac:dyDescent="0.3"/>
    <row r="43" spans="2:22" ht="15.75" thickBot="1" x14ac:dyDescent="0.3">
      <c r="B43" s="410" t="str">
        <f>CONCATENATE("Intervention: ",InterventionINN)</f>
        <v xml:space="preserve">Intervention: </v>
      </c>
      <c r="C43" s="411"/>
      <c r="D43" s="411"/>
      <c r="E43" s="411"/>
      <c r="F43" s="411"/>
      <c r="G43" s="412"/>
    </row>
    <row r="44" spans="2:22" x14ac:dyDescent="0.25">
      <c r="B44" s="227"/>
      <c r="C44" s="227"/>
      <c r="D44" s="227"/>
      <c r="F44" s="8"/>
      <c r="G44" s="8"/>
      <c r="H44" s="8"/>
      <c r="I44" s="8"/>
      <c r="J44" s="108"/>
    </row>
    <row r="46" spans="2:22" ht="28.5" customHeight="1" thickBot="1" x14ac:dyDescent="0.3">
      <c r="B46" s="334" t="s">
        <v>118</v>
      </c>
      <c r="C46" s="334"/>
      <c r="D46" s="334"/>
      <c r="E46" s="334"/>
      <c r="K46" s="408" t="s">
        <v>270</v>
      </c>
      <c r="L46" s="408"/>
      <c r="M46" s="408"/>
      <c r="N46" s="408"/>
      <c r="O46" s="408"/>
      <c r="P46" s="194"/>
      <c r="Q46" s="194"/>
      <c r="R46" s="194"/>
      <c r="S46" s="194"/>
      <c r="T46" s="194"/>
      <c r="U46" s="194"/>
      <c r="V46" s="194"/>
    </row>
    <row r="47" spans="2:22" ht="18.95" customHeight="1" thickBot="1" x14ac:dyDescent="0.3">
      <c r="B47" s="465" t="s">
        <v>119</v>
      </c>
      <c r="C47" s="466"/>
      <c r="D47" s="466"/>
      <c r="E47" s="466"/>
      <c r="F47" s="466"/>
      <c r="G47" s="466"/>
      <c r="H47" s="466"/>
      <c r="I47" s="467"/>
      <c r="K47" s="408"/>
      <c r="L47" s="408"/>
      <c r="M47" s="408"/>
      <c r="N47" s="408"/>
      <c r="O47" s="408"/>
      <c r="P47" s="194"/>
      <c r="Q47" s="194"/>
      <c r="R47" s="194"/>
      <c r="S47" s="194"/>
      <c r="T47" s="194"/>
      <c r="U47" s="194"/>
      <c r="V47" s="194"/>
    </row>
    <row r="48" spans="2:22" ht="15.75" thickBot="1" x14ac:dyDescent="0.3">
      <c r="B48" s="220"/>
      <c r="C48" s="221"/>
      <c r="D48" s="221"/>
      <c r="E48" s="142"/>
      <c r="F48" s="466" t="s">
        <v>120</v>
      </c>
      <c r="G48" s="466"/>
      <c r="H48" s="466"/>
      <c r="I48" s="467"/>
      <c r="K48" s="14"/>
    </row>
    <row r="49" spans="1:22" ht="15.75" thickBot="1" x14ac:dyDescent="0.3">
      <c r="B49" s="472" t="s">
        <v>174</v>
      </c>
      <c r="C49" s="473"/>
      <c r="D49" s="473"/>
      <c r="E49" s="474"/>
      <c r="F49" s="149"/>
      <c r="G49" s="149"/>
      <c r="H49" s="149"/>
      <c r="I49" s="149"/>
      <c r="K49" s="14" t="s">
        <v>180</v>
      </c>
    </row>
    <row r="50" spans="1:22" ht="30" customHeight="1" thickBot="1" x14ac:dyDescent="0.3">
      <c r="B50" s="472" t="s">
        <v>106</v>
      </c>
      <c r="C50" s="473"/>
      <c r="D50" s="473"/>
      <c r="E50" s="474"/>
      <c r="F50" s="150"/>
      <c r="G50" s="150"/>
      <c r="H50" s="150"/>
      <c r="I50" s="150"/>
      <c r="J50" s="1" t="s">
        <v>104</v>
      </c>
      <c r="K50" s="408" t="s">
        <v>181</v>
      </c>
      <c r="L50" s="408"/>
      <c r="M50" s="408"/>
      <c r="N50" s="408"/>
      <c r="O50" s="408"/>
      <c r="P50" s="21"/>
      <c r="Q50" s="21"/>
      <c r="R50" s="21"/>
      <c r="S50" s="21"/>
      <c r="T50" s="21"/>
    </row>
    <row r="51" spans="1:22" ht="15.75" thickBot="1" x14ac:dyDescent="0.3">
      <c r="A51" s="14"/>
      <c r="B51" s="472" t="s">
        <v>107</v>
      </c>
      <c r="C51" s="473"/>
      <c r="D51" s="473"/>
      <c r="E51" s="474"/>
      <c r="F51" s="151"/>
      <c r="G51" s="151"/>
      <c r="H51" s="151"/>
      <c r="I51" s="151"/>
      <c r="J51" s="127"/>
      <c r="K51" s="49" t="s">
        <v>182</v>
      </c>
      <c r="N51" s="21"/>
      <c r="O51" s="21"/>
      <c r="P51" s="21"/>
      <c r="Q51" s="21"/>
      <c r="R51" s="21"/>
      <c r="S51" s="21"/>
      <c r="T51" s="21"/>
    </row>
    <row r="52" spans="1:22" ht="15.75" thickBot="1" x14ac:dyDescent="0.3">
      <c r="A52" s="15"/>
      <c r="B52" s="472" t="s">
        <v>108</v>
      </c>
      <c r="C52" s="473"/>
      <c r="D52" s="473"/>
      <c r="E52" s="474"/>
      <c r="F52" s="521"/>
      <c r="G52" s="522"/>
      <c r="H52" s="522"/>
      <c r="I52" s="523"/>
      <c r="J52" s="152" t="s">
        <v>104</v>
      </c>
      <c r="K52" s="110" t="s">
        <v>183</v>
      </c>
    </row>
    <row r="53" spans="1:22" ht="15.75" thickBot="1" x14ac:dyDescent="0.3">
      <c r="A53" s="15"/>
      <c r="B53" s="472" t="s">
        <v>74</v>
      </c>
      <c r="C53" s="473"/>
      <c r="D53" s="473"/>
      <c r="E53" s="474"/>
      <c r="F53" s="524"/>
      <c r="G53" s="525"/>
      <c r="H53" s="525"/>
      <c r="I53" s="526"/>
      <c r="J53" s="152" t="s">
        <v>104</v>
      </c>
      <c r="K53" s="49" t="s">
        <v>184</v>
      </c>
    </row>
    <row r="54" spans="1:22" ht="15.75" thickBot="1" x14ac:dyDescent="0.3">
      <c r="B54" s="472" t="s">
        <v>75</v>
      </c>
      <c r="C54" s="473"/>
      <c r="D54" s="473"/>
      <c r="E54" s="474"/>
      <c r="F54" s="524"/>
      <c r="G54" s="525"/>
      <c r="H54" s="525"/>
      <c r="I54" s="526"/>
      <c r="J54" s="1" t="s">
        <v>104</v>
      </c>
      <c r="K54" s="110" t="s">
        <v>185</v>
      </c>
    </row>
    <row r="55" spans="1:22" ht="15.75" thickBot="1" x14ac:dyDescent="0.3">
      <c r="B55" s="472" t="s">
        <v>76</v>
      </c>
      <c r="C55" s="473"/>
      <c r="D55" s="473"/>
      <c r="E55" s="474"/>
      <c r="F55" s="524"/>
      <c r="G55" s="525"/>
      <c r="H55" s="525"/>
      <c r="I55" s="526"/>
      <c r="J55" s="152" t="s">
        <v>104</v>
      </c>
      <c r="K55" s="110" t="s">
        <v>216</v>
      </c>
    </row>
    <row r="56" spans="1:22" ht="15.75" thickBot="1" x14ac:dyDescent="0.3">
      <c r="B56" s="472" t="s">
        <v>172</v>
      </c>
      <c r="C56" s="473"/>
      <c r="D56" s="473"/>
      <c r="E56" s="474"/>
      <c r="F56" s="524"/>
      <c r="G56" s="525"/>
      <c r="H56" s="525"/>
      <c r="I56" s="526"/>
      <c r="J56" s="152" t="s">
        <v>104</v>
      </c>
      <c r="K56" s="110" t="s">
        <v>217</v>
      </c>
      <c r="Q56" s="103"/>
    </row>
    <row r="57" spans="1:22" ht="15.75" thickBot="1" x14ac:dyDescent="0.3">
      <c r="B57" s="472" t="s">
        <v>173</v>
      </c>
      <c r="C57" s="473"/>
      <c r="D57" s="473"/>
      <c r="E57" s="474"/>
      <c r="F57" s="524"/>
      <c r="G57" s="525"/>
      <c r="H57" s="525"/>
      <c r="I57" s="526"/>
      <c r="J57" s="152" t="s">
        <v>104</v>
      </c>
      <c r="K57" s="110" t="s">
        <v>218</v>
      </c>
    </row>
    <row r="58" spans="1:22" ht="30" customHeight="1" x14ac:dyDescent="0.25">
      <c r="B58" s="112"/>
      <c r="C58" s="112"/>
      <c r="D58" s="112"/>
      <c r="E58" s="8"/>
      <c r="F58" s="8"/>
      <c r="G58" s="153"/>
      <c r="H58" s="8"/>
      <c r="I58" s="8"/>
      <c r="J58" s="124"/>
      <c r="K58" s="110"/>
    </row>
    <row r="59" spans="1:22" ht="15.75" thickBot="1" x14ac:dyDescent="0.3">
      <c r="B59" s="334" t="s">
        <v>171</v>
      </c>
      <c r="C59" s="334"/>
      <c r="D59" s="334"/>
      <c r="E59" s="334"/>
      <c r="F59" s="8"/>
      <c r="G59" s="8"/>
      <c r="H59" s="8"/>
      <c r="I59" s="8"/>
      <c r="J59" s="124"/>
      <c r="K59" s="404" t="s">
        <v>195</v>
      </c>
      <c r="L59" s="404"/>
      <c r="M59" s="404"/>
      <c r="N59" s="404"/>
      <c r="O59" s="404"/>
      <c r="P59" s="193"/>
      <c r="Q59" s="193"/>
      <c r="R59" s="193"/>
      <c r="S59" s="193"/>
      <c r="T59" s="193"/>
      <c r="U59" s="193"/>
      <c r="V59" s="193"/>
    </row>
    <row r="60" spans="1:22" ht="29.1" customHeight="1" thickBot="1" x14ac:dyDescent="0.3">
      <c r="B60" s="465" t="s">
        <v>121</v>
      </c>
      <c r="C60" s="466"/>
      <c r="D60" s="466"/>
      <c r="E60" s="466"/>
      <c r="F60" s="466"/>
      <c r="G60" s="466"/>
      <c r="H60" s="466"/>
      <c r="I60" s="467"/>
      <c r="J60" s="124"/>
      <c r="K60" s="404"/>
      <c r="L60" s="404"/>
      <c r="M60" s="404"/>
      <c r="N60" s="404"/>
      <c r="O60" s="404"/>
      <c r="P60" s="193"/>
      <c r="Q60" s="193"/>
      <c r="R60" s="193"/>
      <c r="S60" s="193"/>
      <c r="T60" s="193"/>
      <c r="U60" s="193"/>
      <c r="V60" s="193"/>
    </row>
    <row r="61" spans="1:22" ht="30" customHeight="1" thickBot="1" x14ac:dyDescent="0.3">
      <c r="B61" s="472" t="s">
        <v>122</v>
      </c>
      <c r="C61" s="473"/>
      <c r="D61" s="473"/>
      <c r="E61" s="474"/>
      <c r="F61" s="468"/>
      <c r="G61" s="469"/>
      <c r="H61" s="527"/>
      <c r="I61" s="528"/>
      <c r="J61" s="124"/>
      <c r="K61" s="408" t="s">
        <v>186</v>
      </c>
      <c r="L61" s="408"/>
      <c r="M61" s="408"/>
      <c r="N61" s="408"/>
      <c r="O61" s="408"/>
    </row>
    <row r="62" spans="1:22" ht="30" customHeight="1" thickBot="1" x14ac:dyDescent="0.3">
      <c r="B62" s="472" t="str">
        <f>B49</f>
        <v>Pack Identification</v>
      </c>
      <c r="C62" s="473"/>
      <c r="D62" s="473"/>
      <c r="E62" s="474"/>
      <c r="F62" s="192" t="str">
        <f>IF(ISBLANK(F49),"",F49)</f>
        <v/>
      </c>
      <c r="G62" s="192" t="str">
        <f t="shared" ref="G62:I62" si="0">IF(ISBLANK(G49),"",G49)</f>
        <v/>
      </c>
      <c r="H62" s="192" t="str">
        <f t="shared" si="0"/>
        <v/>
      </c>
      <c r="I62" s="192" t="str">
        <f t="shared" si="0"/>
        <v/>
      </c>
      <c r="J62" s="124"/>
      <c r="K62" s="408"/>
      <c r="L62" s="408"/>
      <c r="M62" s="408"/>
      <c r="N62" s="408"/>
      <c r="O62" s="408"/>
    </row>
    <row r="63" spans="1:22" ht="27.75" customHeight="1" thickBot="1" x14ac:dyDescent="0.3">
      <c r="B63" s="512" t="s">
        <v>123</v>
      </c>
      <c r="C63" s="513"/>
      <c r="D63" s="513"/>
      <c r="E63" s="514"/>
      <c r="F63" s="145"/>
      <c r="G63" s="154"/>
      <c r="H63" s="154"/>
      <c r="I63" s="154"/>
      <c r="J63" s="124"/>
      <c r="K63" s="408" t="s">
        <v>198</v>
      </c>
      <c r="L63" s="408"/>
      <c r="M63" s="408"/>
      <c r="N63" s="408"/>
      <c r="O63" s="408"/>
    </row>
    <row r="64" spans="1:22" ht="75.75" customHeight="1" x14ac:dyDescent="0.25">
      <c r="B64" s="223"/>
      <c r="C64" s="223"/>
      <c r="D64" s="223"/>
      <c r="E64" s="191"/>
      <c r="F64" s="8"/>
      <c r="G64" s="8"/>
      <c r="H64" s="8"/>
      <c r="I64" s="8"/>
      <c r="J64" s="124"/>
      <c r="K64" s="408"/>
      <c r="L64" s="408"/>
      <c r="M64" s="408"/>
      <c r="N64" s="408"/>
      <c r="O64" s="408"/>
    </row>
    <row r="65" spans="1:15" x14ac:dyDescent="0.25">
      <c r="B65" s="529"/>
      <c r="C65" s="529"/>
      <c r="D65" s="529"/>
      <c r="E65" s="529"/>
      <c r="F65" s="103"/>
      <c r="K65" s="408"/>
      <c r="L65" s="408"/>
      <c r="M65" s="408"/>
      <c r="N65" s="408"/>
      <c r="O65" s="408"/>
    </row>
    <row r="66" spans="1:15" x14ac:dyDescent="0.25">
      <c r="B66" s="228"/>
      <c r="C66" s="228"/>
      <c r="D66" s="228"/>
      <c r="E66" s="8"/>
      <c r="F66" s="103"/>
      <c r="O66" s="21"/>
    </row>
    <row r="67" spans="1:15" x14ac:dyDescent="0.25">
      <c r="A67" s="155"/>
      <c r="B67" s="224" t="s">
        <v>124</v>
      </c>
      <c r="C67" s="217"/>
      <c r="D67" s="66"/>
      <c r="E67" s="111"/>
      <c r="F67" s="390"/>
      <c r="G67" s="390"/>
      <c r="H67" s="390"/>
      <c r="I67" s="390"/>
      <c r="O67" s="21"/>
    </row>
    <row r="68" spans="1:15" x14ac:dyDescent="0.25">
      <c r="A68" s="14" t="s">
        <v>125</v>
      </c>
      <c r="B68" s="217"/>
      <c r="C68" s="217"/>
      <c r="D68" s="66"/>
      <c r="E68" s="111"/>
      <c r="F68" s="141"/>
      <c r="G68" s="141"/>
      <c r="H68" s="141"/>
      <c r="I68" s="141"/>
      <c r="O68" s="21"/>
    </row>
    <row r="69" spans="1:15" ht="15.75" thickBot="1" x14ac:dyDescent="0.3">
      <c r="B69" s="66"/>
      <c r="C69" s="66"/>
      <c r="D69" s="66"/>
      <c r="E69" s="111"/>
      <c r="F69" s="390" t="s">
        <v>126</v>
      </c>
      <c r="G69" s="390"/>
      <c r="H69" s="390"/>
      <c r="I69" s="390"/>
      <c r="O69" s="21"/>
    </row>
    <row r="70" spans="1:15" ht="15.75" thickBot="1" x14ac:dyDescent="0.3">
      <c r="B70" s="66"/>
      <c r="C70" s="66"/>
      <c r="D70" s="66"/>
      <c r="E70" s="111"/>
      <c r="F70" s="156" t="str">
        <f>IF(F49="","",F49)</f>
        <v/>
      </c>
      <c r="G70" s="156" t="str">
        <f>IF(G49="","",G49)</f>
        <v/>
      </c>
      <c r="H70" s="156" t="str">
        <f>IF(H49="","",H49)</f>
        <v/>
      </c>
      <c r="I70" s="156" t="str">
        <f>IF(I49="","",I49)</f>
        <v/>
      </c>
      <c r="O70" s="21"/>
    </row>
    <row r="71" spans="1:15" x14ac:dyDescent="0.25">
      <c r="A71" s="91" t="s">
        <v>77</v>
      </c>
      <c r="B71" s="475" t="s">
        <v>82</v>
      </c>
      <c r="C71" s="476"/>
      <c r="D71" s="476"/>
      <c r="E71" s="157"/>
      <c r="F71" s="114" t="str">
        <f>IF(OR(F50="",F51="",F52=""),"",IF(F50="Price to Wholesaler",F51,IF(F50="Reimbursement Price",(F73/(1+E72)*1),"Error")))</f>
        <v/>
      </c>
      <c r="G71" s="114" t="str">
        <f>IF(OR(G50="",G51="",F52=""),"",IF(G50="Price to Wholesaler",G51,IF(G50="Reimbursement Price",(G73/(1+E72)*1),"Error")))</f>
        <v/>
      </c>
      <c r="H71" s="114" t="str">
        <f>IF(OR(H50="",H51="",F52=""),"",IF(H50="Price to Wholesaler",H51,IF(H50="Reimbursement Price",(H73/(1+E72)*1),"Error")))</f>
        <v/>
      </c>
      <c r="I71" s="114" t="str">
        <f>IF(OR(I50="",I51="",F52=""),"",IF(I50="Price to Wholesaler",I51,IF(I50="Reimbursement Price",(I73/(1+E72)*1),"Error")))</f>
        <v/>
      </c>
      <c r="O71" s="21"/>
    </row>
    <row r="72" spans="1:15" x14ac:dyDescent="0.25">
      <c r="A72" s="92" t="s">
        <v>78</v>
      </c>
      <c r="B72" s="477" t="s">
        <v>83</v>
      </c>
      <c r="C72" s="478"/>
      <c r="D72" s="478"/>
      <c r="E72" s="93" t="str">
        <f>IF(OR(F52=""),"",IF(AND(F52="CDS",F53="Yes"),CYF,IF(AND(F52="CDS",F53="No"),CNF,IF(F52="HT",CHT,IF(F52="Hosp",CHO,"Error")))))</f>
        <v/>
      </c>
      <c r="F72" s="115" t="str">
        <f>IF(OR(F52="",F51="",F50=""),"",F71*E72)</f>
        <v/>
      </c>
      <c r="G72" s="115" t="str">
        <f>IF(OR(F52="",G51="",G50=""),"",G71*E72)</f>
        <v/>
      </c>
      <c r="H72" s="115" t="str">
        <f>IF(OR(F52="",H51="",H50=""),"",H71*E72)</f>
        <v/>
      </c>
      <c r="I72" s="115" t="str">
        <f>IF(OR(F52="",I51="",I50=""),"",I71*E72)</f>
        <v/>
      </c>
      <c r="O72" s="21"/>
    </row>
    <row r="73" spans="1:15" x14ac:dyDescent="0.25">
      <c r="A73" s="92" t="s">
        <v>79</v>
      </c>
      <c r="B73" s="477" t="str">
        <f>IF(F52="Hosp","Hospital Price", "Reimbursement Price")</f>
        <v>Reimbursement Price</v>
      </c>
      <c r="C73" s="478"/>
      <c r="D73" s="478"/>
      <c r="E73" s="158" t="str">
        <f>IF(F50="Price to Wholesaler","A+B","")</f>
        <v/>
      </c>
      <c r="F73" s="115" t="str">
        <f>IF(F50="Reimbursement Price",F51,IF(ISBLANK(E72),"",IF(F50="Price to Wholesaler",(F71+F72),IF(F50="","","Error"))))</f>
        <v/>
      </c>
      <c r="G73" s="115" t="str">
        <f>IF(G50="Reimbursement Price",G51,IF(ISBLANK(E72),"",IF(G50="Price to Wholesaler",(G71+G72),IF(G50="","","Error"))))</f>
        <v/>
      </c>
      <c r="H73" s="115" t="str">
        <f>IF(H50="Reimbursement Price",H51,IF(ISBLANK(E72),"",IF(H50="Price to Wholesaler",(H71+H72),IF(H50="","","Error"))))</f>
        <v/>
      </c>
      <c r="I73" s="115" t="str">
        <f>IF(I50="Reimbursement Price",I51,IF(ISBLANK(E72),"",IF(I50="Price to Wholesaler",(I71+I72),IF(I50="","","Error"))))</f>
        <v/>
      </c>
      <c r="O73" s="21"/>
    </row>
    <row r="74" spans="1:15" x14ac:dyDescent="0.25">
      <c r="A74" s="92" t="s">
        <v>80</v>
      </c>
      <c r="B74" s="477" t="s">
        <v>214</v>
      </c>
      <c r="C74" s="478"/>
      <c r="D74" s="478"/>
      <c r="E74" s="268" t="str">
        <f>IF(OR(F55="",AND(F55="Yes",F56=""),AND(F55="No",F57="")),"",IF(AND(F55="No",F57="Patented Exclusive or Off Patent Exclusive and subject to clause 10 of Framework Agreement"),MR,IF(AND(F55="No",F57="Off Patent Non-Exclusive or Generic"),"None",IF(AND(F55="Yes",F56="Biosimilar"),"None",IF(AND(F55="Yes",F56="Patented or Off Patent Exclusive"),MR,IF(AND(F55="Yes",F56="Off Patent Non-Exclusive 12.5% Rebate incorporated into Price to Wholesaler"),"None",IF(AND(F55="Yes",F56="Off Patent Non-Exclusive 12.5% Rebate"),MRB,"Error")))))))</f>
        <v/>
      </c>
      <c r="F74" s="115" t="str">
        <f>IF(OR(F55="",AND(F55="Yes",F56=""),AND(F55="No",F57=""),F50="",ISBLANK(F51)),"",IF(E74="None",0,(E74*F71)))</f>
        <v/>
      </c>
      <c r="G74" s="115" t="str">
        <f>IF(OR(F55="",AND(F55="Yes",F56=""),AND(F55="No",F57=""),G50="",ISBLANK(G51)),"",IF(E74="None",0,(E74*G71)))</f>
        <v/>
      </c>
      <c r="H74" s="115" t="str">
        <f>IF(OR(F55="",AND(F55="Yes",F56=""),AND(F55="No",F57=""),H50="",ISBLANK(H51)),"",IF(E74="None",0,(E74*H71)))</f>
        <v/>
      </c>
      <c r="I74" s="115" t="str">
        <f>IF(OR(F55="",AND(F55="Yes",F56=""),AND(F55="No",F57=""),I50="",ISBLANK(I51)),"",IF(E74="None",0,(E74*I71)))</f>
        <v/>
      </c>
      <c r="O74" s="21"/>
    </row>
    <row r="75" spans="1:15" ht="15.75" thickBot="1" x14ac:dyDescent="0.3">
      <c r="A75" s="159" t="s">
        <v>81</v>
      </c>
      <c r="B75" s="479" t="s">
        <v>94</v>
      </c>
      <c r="C75" s="480"/>
      <c r="D75" s="480"/>
      <c r="E75" s="160" t="str">
        <f>IF(F54="","",IF(F54="Yes",0,VT))</f>
        <v/>
      </c>
      <c r="F75" s="161" t="str">
        <f>IF(OR($B54="",F51="",ISBLANK(F51)),"",($E75*F73))</f>
        <v/>
      </c>
      <c r="G75" s="161" t="str">
        <f t="shared" ref="G75:I75" si="1">IF(OR($B54="",G51="",ISBLANK(G51)),"",($E75*G73))</f>
        <v/>
      </c>
      <c r="H75" s="161" t="str">
        <f t="shared" si="1"/>
        <v/>
      </c>
      <c r="I75" s="161" t="str">
        <f t="shared" si="1"/>
        <v/>
      </c>
      <c r="O75" s="21"/>
    </row>
    <row r="76" spans="1:15" ht="15.75" thickBot="1" x14ac:dyDescent="0.3">
      <c r="A76" s="162" t="s">
        <v>127</v>
      </c>
      <c r="B76" s="481" t="s">
        <v>128</v>
      </c>
      <c r="C76" s="481"/>
      <c r="D76" s="481"/>
      <c r="E76" s="18"/>
      <c r="F76" s="116" t="str">
        <f>IF(OR(F50="",$F52="",$F54="",$F55=""),"",SUM(F73:F75))</f>
        <v/>
      </c>
      <c r="G76" s="116" t="str">
        <f t="shared" ref="G76:I76" si="2">IF(OR(G50="",$F52="",$F54="",$F55=""),"",SUM(G73:G75))</f>
        <v/>
      </c>
      <c r="H76" s="116" t="str">
        <f t="shared" si="2"/>
        <v/>
      </c>
      <c r="I76" s="116" t="str">
        <f t="shared" si="2"/>
        <v/>
      </c>
      <c r="O76" s="21"/>
    </row>
    <row r="77" spans="1:15" ht="15.75" thickBot="1" x14ac:dyDescent="0.3">
      <c r="A77" s="18" t="s">
        <v>129</v>
      </c>
      <c r="B77" s="482" t="s">
        <v>130</v>
      </c>
      <c r="C77" s="482"/>
      <c r="D77" s="482"/>
      <c r="E77" s="116"/>
      <c r="F77" s="116" t="str">
        <f>IF(OR(F50="",$F52="",$F54="",$F55=""),"",SUM(F73:F74))</f>
        <v/>
      </c>
      <c r="G77" s="116" t="str">
        <f t="shared" ref="G77:I77" si="3">IF(OR(G50="",$F52="",$F54="",$F55=""),"",SUM(G73:G74))</f>
        <v/>
      </c>
      <c r="H77" s="116" t="str">
        <f t="shared" si="3"/>
        <v/>
      </c>
      <c r="I77" s="116" t="str">
        <f t="shared" si="3"/>
        <v/>
      </c>
      <c r="O77" s="21"/>
    </row>
    <row r="78" spans="1:15" x14ac:dyDescent="0.25">
      <c r="B78" s="66"/>
      <c r="C78" s="66"/>
      <c r="D78" s="66"/>
      <c r="E78" s="111"/>
      <c r="F78" s="103"/>
      <c r="K78" s="1" t="s">
        <v>131</v>
      </c>
      <c r="O78" s="21"/>
    </row>
    <row r="79" spans="1:15" x14ac:dyDescent="0.25">
      <c r="A79" s="155" t="s">
        <v>132</v>
      </c>
      <c r="B79" s="66"/>
      <c r="C79" s="66"/>
      <c r="D79" s="66"/>
      <c r="E79" s="111"/>
      <c r="F79" s="163"/>
      <c r="G79" s="163"/>
      <c r="H79" s="163"/>
      <c r="I79" s="163"/>
      <c r="O79" s="21"/>
    </row>
    <row r="80" spans="1:15" x14ac:dyDescent="0.25">
      <c r="A80" s="125"/>
      <c r="B80" s="125" t="s">
        <v>133</v>
      </c>
      <c r="C80" s="125"/>
      <c r="D80" s="125"/>
      <c r="E80" s="125"/>
      <c r="F80" s="125"/>
      <c r="G80" s="164"/>
      <c r="H80" s="125"/>
      <c r="J80" s="1"/>
      <c r="O80" s="21"/>
    </row>
    <row r="81" spans="1:20" x14ac:dyDescent="0.25">
      <c r="B81" s="21" t="s">
        <v>134</v>
      </c>
      <c r="C81" s="229"/>
      <c r="D81" s="229"/>
      <c r="E81" s="111"/>
      <c r="O81" s="21"/>
    </row>
    <row r="82" spans="1:20" ht="15.75" thickBot="1" x14ac:dyDescent="0.3">
      <c r="B82" s="165"/>
      <c r="C82" s="229"/>
      <c r="D82" s="229"/>
      <c r="E82" s="111"/>
      <c r="O82" s="21"/>
    </row>
    <row r="83" spans="1:20" ht="15.75" thickBot="1" x14ac:dyDescent="0.3">
      <c r="B83" s="230"/>
      <c r="C83" s="66"/>
      <c r="D83" s="66"/>
      <c r="E83" s="111"/>
      <c r="G83" s="13" t="s">
        <v>135</v>
      </c>
      <c r="H83" s="13" t="s">
        <v>136</v>
      </c>
      <c r="O83" s="21"/>
    </row>
    <row r="84" spans="1:20" x14ac:dyDescent="0.25">
      <c r="B84" s="483" t="s">
        <v>137</v>
      </c>
      <c r="C84" s="484"/>
      <c r="D84" s="484"/>
      <c r="E84" s="484"/>
      <c r="F84" s="485"/>
      <c r="G84" s="166" t="str">
        <f>IF(F52="","",IF(F52="CDS","per dispensing",IF(F52="HT","per month",IF(F52="Hosp","No Fee", ERROR))))</f>
        <v/>
      </c>
      <c r="H84" s="167" t="str">
        <f>IF(F52="","",IF(F52="CDS",DF,IF(F52="HT",PC,IF(F52="Hosp","No Fee",ERROR))))</f>
        <v/>
      </c>
      <c r="I84" s="1" t="s">
        <v>138</v>
      </c>
      <c r="O84" s="21"/>
    </row>
    <row r="85" spans="1:20" ht="15.75" thickBot="1" x14ac:dyDescent="0.3">
      <c r="B85" s="486" t="s">
        <v>92</v>
      </c>
      <c r="C85" s="487"/>
      <c r="D85" s="487"/>
      <c r="E85" s="487"/>
      <c r="F85" s="488"/>
      <c r="G85" s="168" t="str">
        <f>IF(OR(F52="",F54=""),"",IF(F52="Hosp","No Fee",IF(F52="HT","No VAT",IF(AND(F52="CDS",F54="No"),VT,"No VAT"))))</f>
        <v/>
      </c>
      <c r="H85" s="366" t="str">
        <f>IF(OR(F54="",F52="Hosp"),"",IF(OR(F54="Yes",F52="HT"),0,H84*G85))</f>
        <v/>
      </c>
      <c r="O85" s="21"/>
    </row>
    <row r="86" spans="1:20" x14ac:dyDescent="0.25">
      <c r="B86" s="230"/>
      <c r="C86" s="66"/>
      <c r="D86" s="66"/>
      <c r="E86" s="111"/>
      <c r="O86" s="21"/>
    </row>
    <row r="87" spans="1:20" x14ac:dyDescent="0.25">
      <c r="B87" s="230"/>
      <c r="C87" s="66"/>
      <c r="D87" s="66"/>
      <c r="E87" s="111"/>
      <c r="O87" s="21"/>
    </row>
    <row r="88" spans="1:20" ht="33.950000000000003" customHeight="1" thickBot="1" x14ac:dyDescent="0.3">
      <c r="A88" s="165" t="s">
        <v>193</v>
      </c>
      <c r="B88" s="230"/>
      <c r="C88" s="66"/>
      <c r="D88" s="66"/>
      <c r="E88" s="111"/>
      <c r="K88" s="408" t="s">
        <v>197</v>
      </c>
      <c r="L88" s="408"/>
      <c r="M88" s="408"/>
      <c r="N88" s="408"/>
      <c r="O88" s="408"/>
      <c r="P88" s="195"/>
      <c r="Q88" s="195"/>
      <c r="R88" s="195"/>
      <c r="S88" s="195"/>
      <c r="T88" s="195"/>
    </row>
    <row r="89" spans="1:20" ht="17.100000000000001" customHeight="1" thickBot="1" x14ac:dyDescent="0.3">
      <c r="A89" s="14" t="s">
        <v>194</v>
      </c>
      <c r="B89" s="230"/>
      <c r="C89" s="66"/>
      <c r="D89" s="66"/>
      <c r="E89" s="111"/>
      <c r="G89" s="13" t="s">
        <v>101</v>
      </c>
      <c r="H89" s="13" t="s">
        <v>136</v>
      </c>
      <c r="K89" s="408" t="str">
        <f>IF(F52="HT","For High tech, if a treatment cycle =28 days the corresponding pharmacy fee is =62.03*12/365.25*28.  The pharmacy fee remains the same regardless of the number of products dispensed that month.",IF(F52="CDS","For CDS, if 2 packets of the same pack presentation are required per treatment cycle, one dispensing fee applies (€5.48). If multiple pack presentations are required, multiple dispensing fees apply",""))</f>
        <v/>
      </c>
      <c r="L89" s="408"/>
      <c r="M89" s="408"/>
      <c r="N89" s="408"/>
      <c r="O89" s="408"/>
      <c r="P89" s="195"/>
      <c r="Q89" s="195"/>
      <c r="R89" s="195"/>
      <c r="S89" s="195"/>
      <c r="T89" s="195"/>
    </row>
    <row r="90" spans="1:20" ht="16.5" customHeight="1" x14ac:dyDescent="0.25">
      <c r="A90" s="170" t="s">
        <v>139</v>
      </c>
      <c r="B90" s="532" t="s">
        <v>140</v>
      </c>
      <c r="C90" s="532"/>
      <c r="D90" s="532"/>
      <c r="E90" s="532"/>
      <c r="F90" s="532"/>
      <c r="G90" s="171"/>
      <c r="H90" s="172"/>
      <c r="K90" s="408"/>
      <c r="L90" s="408"/>
      <c r="M90" s="408"/>
      <c r="N90" s="408"/>
      <c r="O90" s="408"/>
      <c r="P90" s="195"/>
      <c r="Q90" s="195"/>
      <c r="R90" s="195"/>
      <c r="S90" s="195"/>
      <c r="T90" s="195"/>
    </row>
    <row r="91" spans="1:20" x14ac:dyDescent="0.25">
      <c r="A91" s="173" t="s">
        <v>141</v>
      </c>
      <c r="B91" s="530" t="s">
        <v>142</v>
      </c>
      <c r="C91" s="530"/>
      <c r="D91" s="530"/>
      <c r="E91" s="530"/>
      <c r="F91" s="530"/>
      <c r="G91" s="174"/>
      <c r="H91" s="175"/>
      <c r="K91" s="14" t="s">
        <v>188</v>
      </c>
      <c r="O91" s="21"/>
    </row>
    <row r="92" spans="1:20" x14ac:dyDescent="0.25">
      <c r="A92" s="173" t="s">
        <v>143</v>
      </c>
      <c r="B92" s="530" t="s">
        <v>144</v>
      </c>
      <c r="C92" s="530"/>
      <c r="D92" s="530"/>
      <c r="E92" s="530"/>
      <c r="F92" s="530"/>
      <c r="G92" s="174"/>
      <c r="H92" s="175" t="str">
        <f xml:space="preserve"> H85</f>
        <v/>
      </c>
      <c r="K92" s="14" t="s">
        <v>189</v>
      </c>
      <c r="O92" s="21"/>
    </row>
    <row r="93" spans="1:20" x14ac:dyDescent="0.25">
      <c r="A93" s="173" t="s">
        <v>145</v>
      </c>
      <c r="B93" s="530" t="s">
        <v>146</v>
      </c>
      <c r="C93" s="530"/>
      <c r="D93" s="530"/>
      <c r="E93" s="530"/>
      <c r="F93" s="530"/>
      <c r="G93" s="176"/>
      <c r="H93" s="177" t="str">
        <f>IF(ISBLANK(H90),"",SUM(H90:H92))</f>
        <v/>
      </c>
      <c r="O93" s="21"/>
    </row>
    <row r="94" spans="1:20" ht="15.75" thickBot="1" x14ac:dyDescent="0.3">
      <c r="A94" s="178" t="s">
        <v>147</v>
      </c>
      <c r="B94" s="531" t="s">
        <v>196</v>
      </c>
      <c r="C94" s="531"/>
      <c r="D94" s="531"/>
      <c r="E94" s="531"/>
      <c r="F94" s="531"/>
      <c r="G94" s="179"/>
      <c r="H94" s="169" t="str">
        <f>IF(ISBLANK(H90),"",SUM(H90:H91))</f>
        <v/>
      </c>
      <c r="O94" s="21"/>
    </row>
    <row r="95" spans="1:20" x14ac:dyDescent="0.25">
      <c r="B95" s="66"/>
      <c r="C95" s="66"/>
      <c r="D95" s="66"/>
      <c r="E95" s="111"/>
      <c r="O95" s="21"/>
    </row>
    <row r="96" spans="1:20" x14ac:dyDescent="0.25">
      <c r="B96" s="66"/>
      <c r="C96" s="66"/>
      <c r="D96" s="66"/>
      <c r="E96" s="111"/>
      <c r="O96" s="21"/>
    </row>
    <row r="97" spans="1:15" x14ac:dyDescent="0.25">
      <c r="A97" s="155" t="s">
        <v>148</v>
      </c>
      <c r="B97" s="66"/>
      <c r="C97" s="66"/>
      <c r="D97" s="66"/>
      <c r="E97" s="111"/>
      <c r="O97" s="21"/>
    </row>
    <row r="98" spans="1:15" ht="15.75" thickBot="1" x14ac:dyDescent="0.3">
      <c r="B98" s="66"/>
      <c r="C98" s="66"/>
      <c r="D98" s="66"/>
      <c r="E98" s="111"/>
      <c r="O98" s="21"/>
    </row>
    <row r="99" spans="1:15" ht="29.1" customHeight="1" x14ac:dyDescent="0.25">
      <c r="A99" s="5"/>
      <c r="B99" s="228"/>
      <c r="C99" s="228"/>
      <c r="D99" s="228"/>
      <c r="E99" s="8"/>
      <c r="F99" s="506" t="s">
        <v>149</v>
      </c>
      <c r="G99" s="180" t="s">
        <v>150</v>
      </c>
      <c r="H99" s="508" t="s">
        <v>151</v>
      </c>
      <c r="I99" s="180" t="s">
        <v>152</v>
      </c>
      <c r="J99" s="181"/>
      <c r="K99" s="408" t="s">
        <v>269</v>
      </c>
      <c r="L99" s="408"/>
      <c r="M99" s="408"/>
      <c r="N99" s="408"/>
      <c r="O99" s="408"/>
    </row>
    <row r="100" spans="1:15" x14ac:dyDescent="0.25">
      <c r="A100" s="5"/>
      <c r="B100" s="228"/>
      <c r="C100" s="228"/>
      <c r="D100" s="228"/>
      <c r="E100" s="8"/>
      <c r="F100" s="507"/>
      <c r="G100" s="174"/>
      <c r="H100" s="509"/>
      <c r="I100" s="182"/>
      <c r="J100" s="181"/>
      <c r="K100" s="408"/>
      <c r="L100" s="408"/>
      <c r="M100" s="408"/>
      <c r="N100" s="408"/>
      <c r="O100" s="408"/>
    </row>
    <row r="101" spans="1:15" ht="15.75" thickBot="1" x14ac:dyDescent="0.3">
      <c r="A101" s="5"/>
      <c r="B101" s="228"/>
      <c r="C101" s="228"/>
      <c r="D101" s="228"/>
      <c r="E101" s="8"/>
      <c r="F101" s="507"/>
      <c r="G101" s="183" t="s">
        <v>153</v>
      </c>
      <c r="H101" s="510"/>
      <c r="I101" s="184"/>
      <c r="J101" s="181"/>
      <c r="K101" s="408"/>
      <c r="L101" s="408"/>
      <c r="M101" s="408"/>
      <c r="N101" s="408"/>
      <c r="O101" s="408"/>
    </row>
    <row r="102" spans="1:15" x14ac:dyDescent="0.25">
      <c r="A102" s="166" t="s">
        <v>77</v>
      </c>
      <c r="B102" s="533" t="str">
        <f>B71</f>
        <v>Price to Wholesaler</v>
      </c>
      <c r="C102" s="533"/>
      <c r="D102" s="533"/>
      <c r="E102" s="533"/>
      <c r="F102" s="177">
        <f>SUMPRODUCT(F71:I71,F63:I63)</f>
        <v>0</v>
      </c>
      <c r="G102" s="177">
        <f>F102*G100</f>
        <v>0</v>
      </c>
      <c r="H102" s="177" t="str">
        <f>IF(H61="Days",F102/F61*365.25,IF(H61="Months",F102/F61*12,""))</f>
        <v/>
      </c>
      <c r="I102" s="177" t="str">
        <f>IF(AND(H61="Days",I101="Days"),F102/F61*I100,IF(AND(H61="Months",I101="Months"),F102/F61*I100,IF(AND(H61="Days",I101="Months"),F102/F61*30.4375*I100,IF(AND(H61="Months",I101="Days"),F102/F61/30.4375*I100,""))))</f>
        <v/>
      </c>
      <c r="O102" s="21"/>
    </row>
    <row r="103" spans="1:15" x14ac:dyDescent="0.25">
      <c r="A103" s="176" t="s">
        <v>78</v>
      </c>
      <c r="B103" s="534" t="str">
        <f>B72</f>
        <v>Wholesale Mark-up</v>
      </c>
      <c r="C103" s="534"/>
      <c r="D103" s="534"/>
      <c r="E103" s="534"/>
      <c r="F103" s="177">
        <f>SUMPRODUCT(F72:I72,F63:I63)</f>
        <v>0</v>
      </c>
      <c r="G103" s="177">
        <f>F103*G100</f>
        <v>0</v>
      </c>
      <c r="H103" s="177" t="str">
        <f>IF(H61="Days",F103/F61*365.25,IF(H61="Months",F103/F61*12,""))</f>
        <v/>
      </c>
      <c r="I103" s="177" t="str">
        <f>IF(AND(H61="Days",I101="Days"),F103/F61*I100,IF(AND(H61="Months",I101="Months"),F103/F61*I100,IF(AND(H61="Days",I101="Months"),F103/F61*30.4375*I100,IF(AND(H61="Months",I101="Days"),F103/F61/30.4375*I100,""))))</f>
        <v/>
      </c>
      <c r="O103" s="21"/>
    </row>
    <row r="104" spans="1:15" x14ac:dyDescent="0.25">
      <c r="A104" s="176" t="s">
        <v>79</v>
      </c>
      <c r="B104" s="231" t="str">
        <f>B73</f>
        <v>Reimbursement Price</v>
      </c>
      <c r="C104" s="232"/>
      <c r="D104" s="233"/>
      <c r="E104" s="185"/>
      <c r="F104" s="177">
        <f>SUMPRODUCT(F73:I73,F63:I63)</f>
        <v>0</v>
      </c>
      <c r="G104" s="177">
        <f>F104*G100</f>
        <v>0</v>
      </c>
      <c r="H104" s="177" t="str">
        <f>IF(H61="Days",F104/F61*365.25,IF(H61="Months",F104/F61*12,""))</f>
        <v/>
      </c>
      <c r="I104" s="177" t="str">
        <f>IF(AND(H61="Days",I101="Days"),F104/F61*I100,IF(AND(H61="Months",I101="Months"),F104/F61*I100,IF(AND(H61="Days",I101="Months"),F104/F61*30.4375*I100,IF(AND(H61="Months",I101="Days"),F104/F61/30.4375*I100,""))))</f>
        <v/>
      </c>
      <c r="O104" s="21"/>
    </row>
    <row r="105" spans="1:15" x14ac:dyDescent="0.25">
      <c r="A105" s="176" t="s">
        <v>80</v>
      </c>
      <c r="B105" s="535" t="str">
        <f>B74</f>
        <v>Framework Agreement Rebate</v>
      </c>
      <c r="C105" s="536"/>
      <c r="D105" s="536"/>
      <c r="E105" s="537"/>
      <c r="F105" s="177">
        <f>SUMPRODUCT(F74:I74,F63:I63)</f>
        <v>0</v>
      </c>
      <c r="G105" s="177">
        <f>F105*G100</f>
        <v>0</v>
      </c>
      <c r="H105" s="177" t="str">
        <f>IF(H61="Days",F105/F61*365.25,IF(H61="Months",F105/F61*12,""))</f>
        <v/>
      </c>
      <c r="I105" s="177" t="str">
        <f>IF(AND(H61="Days",I101="Days"),F105/F61*I100,IF(AND(H61="Months",I101="Months"),F105/F61*I100,IF(AND(H61="Days",I101="Months"),F105/F61*30.4375*I100,IF(AND(H61="Months",I101="Days"),F105/F61/30.4375*I100,""))))</f>
        <v/>
      </c>
      <c r="O105" s="21"/>
    </row>
    <row r="106" spans="1:15" x14ac:dyDescent="0.25">
      <c r="A106" s="176" t="s">
        <v>81</v>
      </c>
      <c r="B106" s="535" t="str">
        <f>B75</f>
        <v xml:space="preserve">VAT on Drug Cost </v>
      </c>
      <c r="C106" s="536"/>
      <c r="D106" s="536"/>
      <c r="E106" s="537"/>
      <c r="F106" s="177">
        <f>SUMPRODUCT(F75:I75,F63:I63)</f>
        <v>0</v>
      </c>
      <c r="G106" s="177">
        <f>F106*G100</f>
        <v>0</v>
      </c>
      <c r="H106" s="177" t="str">
        <f>IF(H61="Days",F106/F61*365.25,IF(H61="Months",F106/F61*12,""))</f>
        <v/>
      </c>
      <c r="I106" s="177" t="str">
        <f>IF(AND(H61="Days",I101="Days"),F106/F61*I100,IF(AND(H61="Months",I101="Months"),F106/F61*I100,IF(AND(H61="Days",I101="Months"),F106/F61*30.4375*I100,IF(AND(H61="Months",I101="Days"),F106/F61/30.4375*I100,""))))</f>
        <v/>
      </c>
      <c r="O106" s="21"/>
    </row>
    <row r="107" spans="1:15" x14ac:dyDescent="0.25">
      <c r="A107" s="176" t="s">
        <v>154</v>
      </c>
      <c r="B107" s="535" t="s">
        <v>155</v>
      </c>
      <c r="C107" s="536"/>
      <c r="D107" s="536"/>
      <c r="E107" s="537"/>
      <c r="F107" s="177" t="str">
        <f>IF(H93="","",H93)</f>
        <v/>
      </c>
      <c r="G107" s="177" t="str">
        <f>IF(F107="","",F107*G100)</f>
        <v/>
      </c>
      <c r="H107" s="177" t="str">
        <f>IF(F107="","",IF(H61="Days",F107/F61*365.25,IF(H61="Months",F107/F61*12,"")))</f>
        <v/>
      </c>
      <c r="I107" s="177" t="str">
        <f>IF(F107="","",IF(AND(H61="Days",I101="Days"),F107/F61*I100,IF(AND(H61="Months",I101="Months"),F107/F61*I100,IF(AND(H61="Days",I101="Months"),F107/F61*30.4375*I100,IF(AND(H61="Months",I101="Days"),F107/F61/30.4375*I100,"")))))</f>
        <v/>
      </c>
      <c r="O107" s="21"/>
    </row>
    <row r="108" spans="1:15" x14ac:dyDescent="0.25">
      <c r="A108" s="176" t="s">
        <v>156</v>
      </c>
      <c r="B108" s="535" t="s">
        <v>157</v>
      </c>
      <c r="C108" s="536"/>
      <c r="D108" s="536"/>
      <c r="E108" s="537"/>
      <c r="F108" s="177" t="str">
        <f>IF(H94="","",H94)</f>
        <v/>
      </c>
      <c r="G108" s="177" t="str">
        <f>IF(F108="","",F108*G100)</f>
        <v/>
      </c>
      <c r="H108" s="177" t="str">
        <f>IF(F108="","",IF(H61="Days",F108/F61*365.25,IF(H61="Months",F108/F61*12,"")))</f>
        <v/>
      </c>
      <c r="I108" s="177" t="str">
        <f>IF(F108="","",IF(AND(H61="Days",I101="Days"),F108/F61*I100,IF(AND(H61="Months",I101="Months"),F108/F61*I100,IF(AND(H61="Days",I101="Months"),F108/F61*30.4375*I100,IF(AND(H61="Months",I101="Days"),F108/F61/30.4375*I100,"")))))</f>
        <v/>
      </c>
      <c r="O108" s="21"/>
    </row>
    <row r="109" spans="1:15" s="155" customFormat="1" x14ac:dyDescent="0.25">
      <c r="A109" s="186" t="s">
        <v>158</v>
      </c>
      <c r="B109" s="498" t="s">
        <v>159</v>
      </c>
      <c r="C109" s="499"/>
      <c r="D109" s="499"/>
      <c r="E109" s="500"/>
      <c r="F109" s="187">
        <f>SUM(F104:F107)</f>
        <v>0</v>
      </c>
      <c r="G109" s="187">
        <f t="shared" ref="G109:I109" si="4">SUM(G104:G107)</f>
        <v>0</v>
      </c>
      <c r="H109" s="187">
        <f t="shared" si="4"/>
        <v>0</v>
      </c>
      <c r="I109" s="187">
        <f t="shared" si="4"/>
        <v>0</v>
      </c>
      <c r="J109" s="188"/>
      <c r="K109" s="98" t="s">
        <v>191</v>
      </c>
      <c r="O109" s="189"/>
    </row>
    <row r="110" spans="1:15" ht="15.75" thickBot="1" x14ac:dyDescent="0.3">
      <c r="A110" s="179" t="s">
        <v>160</v>
      </c>
      <c r="B110" s="501" t="s">
        <v>161</v>
      </c>
      <c r="C110" s="502"/>
      <c r="D110" s="502"/>
      <c r="E110" s="503"/>
      <c r="F110" s="169">
        <f>IF(F108="",SUM(F104+F105),F104+F105+F108)</f>
        <v>0</v>
      </c>
      <c r="G110" s="169">
        <f t="shared" ref="G110:I110" si="5">IF(G108="",SUM(G104+G105),G104+G105+G108)</f>
        <v>0</v>
      </c>
      <c r="H110" s="169" t="e">
        <f>IF(H108="",SUM(H104+H105),H104+H105+H108)</f>
        <v>#VALUE!</v>
      </c>
      <c r="I110" s="169" t="e">
        <f t="shared" si="5"/>
        <v>#VALUE!</v>
      </c>
      <c r="K110" s="14" t="s">
        <v>192</v>
      </c>
      <c r="O110" s="21"/>
    </row>
    <row r="111" spans="1:15" x14ac:dyDescent="0.25">
      <c r="B111" s="229"/>
      <c r="C111" s="66"/>
      <c r="D111" s="66"/>
      <c r="E111" s="111"/>
      <c r="O111" s="21"/>
    </row>
    <row r="113" spans="2:19" x14ac:dyDescent="0.25">
      <c r="B113" s="224" t="s">
        <v>101</v>
      </c>
      <c r="C113" s="224"/>
      <c r="D113" s="224"/>
      <c r="E113" s="147"/>
    </row>
    <row r="114" spans="2:19" ht="15.75" customHeight="1" x14ac:dyDescent="0.25"/>
    <row r="115" spans="2:19" x14ac:dyDescent="0.25">
      <c r="B115" s="234"/>
      <c r="C115" s="234"/>
      <c r="D115" s="234"/>
      <c r="E115" s="22"/>
      <c r="F115" s="22"/>
      <c r="G115" s="22"/>
      <c r="H115" s="22"/>
      <c r="I115" s="22"/>
      <c r="J115" s="109"/>
      <c r="K115" s="22"/>
      <c r="L115" s="22"/>
      <c r="M115" s="22"/>
      <c r="N115" s="22"/>
      <c r="O115" s="22"/>
      <c r="P115" s="22"/>
      <c r="Q115" s="22"/>
      <c r="R115" s="22"/>
      <c r="S115" s="22"/>
    </row>
    <row r="116" spans="2:19" x14ac:dyDescent="0.25">
      <c r="B116" s="234"/>
      <c r="C116" s="234"/>
      <c r="D116" s="234"/>
      <c r="E116" s="22"/>
      <c r="F116" s="22"/>
      <c r="G116" s="22"/>
      <c r="H116" s="22"/>
      <c r="I116" s="22"/>
      <c r="J116" s="109"/>
      <c r="K116" s="22"/>
      <c r="L116" s="22"/>
      <c r="M116" s="22"/>
      <c r="N116" s="22"/>
      <c r="O116" s="22"/>
      <c r="P116" s="22"/>
      <c r="Q116" s="22"/>
      <c r="R116" s="22"/>
      <c r="S116" s="22"/>
    </row>
    <row r="117" spans="2:19" x14ac:dyDescent="0.25">
      <c r="B117" s="234"/>
      <c r="C117" s="234"/>
      <c r="D117" s="234"/>
      <c r="E117" s="22"/>
      <c r="F117" s="22"/>
      <c r="G117" s="22"/>
      <c r="H117" s="22"/>
      <c r="I117" s="22"/>
      <c r="J117" s="109"/>
      <c r="K117" s="22"/>
      <c r="L117" s="22"/>
      <c r="M117" s="22"/>
      <c r="N117" s="22"/>
      <c r="O117" s="22"/>
      <c r="P117" s="22"/>
      <c r="Q117" s="22"/>
      <c r="R117" s="22"/>
      <c r="S117" s="22"/>
    </row>
    <row r="118" spans="2:19" x14ac:dyDescent="0.25">
      <c r="B118" s="234"/>
      <c r="C118" s="234"/>
      <c r="D118" s="234"/>
      <c r="E118" s="22"/>
      <c r="F118" s="22"/>
      <c r="G118" s="22"/>
      <c r="H118" s="22"/>
      <c r="I118" s="22"/>
      <c r="J118" s="109"/>
      <c r="K118" s="22"/>
      <c r="L118" s="22"/>
      <c r="M118" s="22"/>
      <c r="N118" s="22"/>
      <c r="O118" s="22"/>
      <c r="P118" s="22"/>
      <c r="Q118" s="22"/>
      <c r="R118" s="22"/>
      <c r="S118" s="22"/>
    </row>
    <row r="119" spans="2:19" x14ac:dyDescent="0.25">
      <c r="B119" s="234"/>
      <c r="C119" s="234"/>
      <c r="D119" s="234"/>
      <c r="E119" s="22"/>
      <c r="F119" s="22"/>
      <c r="G119" s="22"/>
      <c r="H119" s="22"/>
      <c r="I119" s="22"/>
      <c r="J119" s="109"/>
      <c r="K119" s="22"/>
      <c r="L119" s="22"/>
      <c r="M119" s="22"/>
      <c r="N119" s="22"/>
      <c r="O119" s="22"/>
      <c r="P119" s="22"/>
      <c r="Q119" s="22"/>
      <c r="R119" s="22"/>
      <c r="S119" s="22"/>
    </row>
    <row r="120" spans="2:19" x14ac:dyDescent="0.25">
      <c r="B120" s="234"/>
      <c r="C120" s="234"/>
      <c r="D120" s="234"/>
      <c r="E120" s="22"/>
      <c r="F120" s="22"/>
      <c r="G120" s="22"/>
      <c r="H120" s="22"/>
      <c r="I120" s="22"/>
      <c r="J120" s="109"/>
      <c r="K120" s="22"/>
      <c r="L120" s="22"/>
      <c r="M120" s="22"/>
      <c r="N120" s="22"/>
      <c r="O120" s="22"/>
      <c r="P120" s="22"/>
      <c r="Q120" s="22"/>
      <c r="R120" s="22"/>
      <c r="S120" s="22"/>
    </row>
    <row r="121" spans="2:19" x14ac:dyDescent="0.25">
      <c r="B121" s="234"/>
      <c r="C121" s="234"/>
      <c r="D121" s="234"/>
      <c r="E121" s="22"/>
      <c r="F121" s="22"/>
      <c r="G121" s="22"/>
      <c r="H121" s="22"/>
      <c r="I121" s="22"/>
      <c r="J121" s="109"/>
      <c r="K121" s="22"/>
      <c r="L121" s="22"/>
      <c r="M121" s="22"/>
      <c r="N121" s="22"/>
      <c r="O121" s="22"/>
      <c r="P121" s="22"/>
      <c r="Q121" s="22"/>
      <c r="R121" s="22"/>
      <c r="S121" s="22"/>
    </row>
    <row r="122" spans="2:19" x14ac:dyDescent="0.25">
      <c r="B122" s="234"/>
      <c r="C122" s="234"/>
      <c r="D122" s="234"/>
      <c r="E122" s="22"/>
      <c r="F122" s="22"/>
      <c r="G122" s="22"/>
      <c r="H122" s="22"/>
      <c r="I122" s="22"/>
      <c r="J122" s="109"/>
      <c r="K122" s="22"/>
      <c r="L122" s="22"/>
      <c r="M122" s="22"/>
      <c r="N122" s="22"/>
      <c r="O122" s="22"/>
      <c r="P122" s="22"/>
      <c r="Q122" s="22"/>
      <c r="R122" s="22"/>
      <c r="S122" s="22"/>
    </row>
    <row r="123" spans="2:19" x14ac:dyDescent="0.25">
      <c r="B123" s="234"/>
      <c r="C123" s="234"/>
      <c r="D123" s="234"/>
      <c r="E123" s="22"/>
      <c r="F123" s="22"/>
      <c r="G123" s="22"/>
      <c r="H123" s="22"/>
      <c r="I123" s="22"/>
      <c r="J123" s="109"/>
      <c r="K123" s="22"/>
      <c r="L123" s="22"/>
      <c r="M123" s="22"/>
      <c r="N123" s="22"/>
      <c r="O123" s="22"/>
      <c r="P123" s="22"/>
      <c r="Q123" s="22"/>
      <c r="R123" s="22"/>
      <c r="S123" s="22"/>
    </row>
    <row r="124" spans="2:19" x14ac:dyDescent="0.25">
      <c r="B124" s="234"/>
      <c r="C124" s="234"/>
      <c r="D124" s="234"/>
      <c r="E124" s="22"/>
      <c r="F124" s="22"/>
      <c r="G124" s="22"/>
      <c r="H124" s="22"/>
      <c r="I124" s="22"/>
      <c r="J124" s="109"/>
      <c r="K124" s="22"/>
      <c r="L124" s="22"/>
      <c r="M124" s="22"/>
      <c r="N124" s="22"/>
      <c r="O124" s="22"/>
      <c r="P124" s="22"/>
      <c r="Q124" s="22"/>
      <c r="R124" s="22"/>
      <c r="S124" s="22"/>
    </row>
    <row r="125" spans="2:19" s="26" customFormat="1" x14ac:dyDescent="0.25"/>
    <row r="126" spans="2:19" s="26" customFormat="1" x14ac:dyDescent="0.25"/>
    <row r="127" spans="2:19" s="26" customFormat="1" ht="15.75" thickBot="1" x14ac:dyDescent="0.3"/>
    <row r="128" spans="2:19" s="26" customFormat="1" ht="15.75" thickBot="1" x14ac:dyDescent="0.3">
      <c r="B128" s="410" t="str">
        <f>CONCATENATE("Comparator 1: ",NameComparator1)</f>
        <v xml:space="preserve">Comparator 1: </v>
      </c>
      <c r="C128" s="411"/>
      <c r="D128" s="411"/>
      <c r="E128" s="411"/>
      <c r="F128" s="411"/>
      <c r="G128" s="412"/>
    </row>
    <row r="129" spans="1:22" s="26" customFormat="1" x14ac:dyDescent="0.25">
      <c r="B129" s="227"/>
      <c r="C129" s="227"/>
      <c r="D129" s="227"/>
      <c r="F129" s="228"/>
      <c r="G129" s="228"/>
      <c r="H129" s="228"/>
      <c r="I129" s="228"/>
      <c r="J129" s="228"/>
    </row>
    <row r="130" spans="1:22" s="26" customFormat="1" x14ac:dyDescent="0.25"/>
    <row r="131" spans="1:22" s="26" customFormat="1" ht="28.5" customHeight="1" thickBot="1" x14ac:dyDescent="0.3">
      <c r="B131" s="334" t="s">
        <v>118</v>
      </c>
      <c r="C131" s="334"/>
      <c r="D131" s="334"/>
      <c r="E131" s="334"/>
      <c r="K131" s="408" t="s">
        <v>209</v>
      </c>
      <c r="L131" s="408"/>
      <c r="M131" s="408"/>
      <c r="N131" s="408"/>
      <c r="O131" s="408"/>
      <c r="P131" s="225"/>
      <c r="Q131" s="225"/>
      <c r="R131" s="225"/>
      <c r="S131" s="225"/>
      <c r="T131" s="225"/>
      <c r="U131" s="225"/>
      <c r="V131" s="225"/>
    </row>
    <row r="132" spans="1:22" s="26" customFormat="1" ht="18.95" customHeight="1" thickBot="1" x14ac:dyDescent="0.3">
      <c r="B132" s="465" t="s">
        <v>119</v>
      </c>
      <c r="C132" s="466"/>
      <c r="D132" s="466"/>
      <c r="E132" s="466"/>
      <c r="F132" s="466"/>
      <c r="G132" s="466"/>
      <c r="H132" s="466"/>
      <c r="I132" s="467"/>
      <c r="K132" s="408"/>
      <c r="L132" s="408"/>
      <c r="M132" s="408"/>
      <c r="N132" s="408"/>
      <c r="O132" s="408"/>
      <c r="P132" s="225"/>
      <c r="Q132" s="225"/>
      <c r="R132" s="225"/>
      <c r="S132" s="225"/>
      <c r="T132" s="225"/>
      <c r="U132" s="225"/>
      <c r="V132" s="225"/>
    </row>
    <row r="133" spans="1:22" s="26" customFormat="1" ht="15.75" thickBot="1" x14ac:dyDescent="0.3">
      <c r="B133" s="220"/>
      <c r="C133" s="221"/>
      <c r="D133" s="221"/>
      <c r="E133" s="221"/>
      <c r="F133" s="466" t="s">
        <v>120</v>
      </c>
      <c r="G133" s="466"/>
      <c r="H133" s="466"/>
      <c r="I133" s="467"/>
      <c r="K133" s="14"/>
    </row>
    <row r="134" spans="1:22" s="26" customFormat="1" ht="15.75" thickBot="1" x14ac:dyDescent="0.3">
      <c r="B134" s="472" t="s">
        <v>174</v>
      </c>
      <c r="C134" s="473"/>
      <c r="D134" s="473"/>
      <c r="E134" s="474"/>
      <c r="F134" s="149"/>
      <c r="G134" s="149"/>
      <c r="H134" s="149"/>
      <c r="I134" s="149"/>
      <c r="K134" s="14" t="s">
        <v>180</v>
      </c>
    </row>
    <row r="135" spans="1:22" s="26" customFormat="1" ht="30" customHeight="1" thickBot="1" x14ac:dyDescent="0.3">
      <c r="B135" s="472" t="s">
        <v>106</v>
      </c>
      <c r="C135" s="473"/>
      <c r="D135" s="473"/>
      <c r="E135" s="474"/>
      <c r="F135" s="235"/>
      <c r="G135" s="235"/>
      <c r="H135" s="235"/>
      <c r="I135" s="235"/>
      <c r="J135" s="26" t="s">
        <v>104</v>
      </c>
      <c r="K135" s="408" t="s">
        <v>181</v>
      </c>
      <c r="L135" s="408"/>
      <c r="M135" s="408"/>
      <c r="N135" s="408"/>
      <c r="O135" s="408"/>
      <c r="P135" s="21"/>
      <c r="Q135" s="21"/>
      <c r="R135" s="21"/>
      <c r="S135" s="21"/>
      <c r="T135" s="21"/>
    </row>
    <row r="136" spans="1:22" s="26" customFormat="1" ht="15.75" thickBot="1" x14ac:dyDescent="0.3">
      <c r="A136" s="14"/>
      <c r="B136" s="472" t="s">
        <v>107</v>
      </c>
      <c r="C136" s="473"/>
      <c r="D136" s="473"/>
      <c r="E136" s="474"/>
      <c r="F136" s="151"/>
      <c r="G136" s="151"/>
      <c r="H136" s="151"/>
      <c r="I136" s="151"/>
      <c r="J136" s="236"/>
      <c r="K136" s="110" t="s">
        <v>182</v>
      </c>
      <c r="N136" s="21"/>
      <c r="O136" s="21"/>
      <c r="P136" s="21"/>
      <c r="Q136" s="21"/>
      <c r="R136" s="21"/>
      <c r="S136" s="21"/>
      <c r="T136" s="21"/>
    </row>
    <row r="137" spans="1:22" s="26" customFormat="1" ht="15.75" thickBot="1" x14ac:dyDescent="0.3">
      <c r="A137" s="15"/>
      <c r="B137" s="472" t="s">
        <v>108</v>
      </c>
      <c r="C137" s="473"/>
      <c r="D137" s="473"/>
      <c r="E137" s="474"/>
      <c r="F137" s="489"/>
      <c r="G137" s="490"/>
      <c r="H137" s="490"/>
      <c r="I137" s="491"/>
      <c r="J137" s="237" t="s">
        <v>104</v>
      </c>
      <c r="K137" s="110" t="s">
        <v>210</v>
      </c>
    </row>
    <row r="138" spans="1:22" s="26" customFormat="1" ht="15.75" thickBot="1" x14ac:dyDescent="0.3">
      <c r="A138" s="15"/>
      <c r="B138" s="472" t="s">
        <v>74</v>
      </c>
      <c r="C138" s="473"/>
      <c r="D138" s="473"/>
      <c r="E138" s="474"/>
      <c r="F138" s="492"/>
      <c r="G138" s="493"/>
      <c r="H138" s="493"/>
      <c r="I138" s="494"/>
      <c r="J138" s="237" t="s">
        <v>104</v>
      </c>
      <c r="K138" s="110" t="s">
        <v>184</v>
      </c>
    </row>
    <row r="139" spans="1:22" s="26" customFormat="1" ht="15.75" thickBot="1" x14ac:dyDescent="0.3">
      <c r="B139" s="472" t="s">
        <v>75</v>
      </c>
      <c r="C139" s="473"/>
      <c r="D139" s="473"/>
      <c r="E139" s="474"/>
      <c r="F139" s="492"/>
      <c r="G139" s="493"/>
      <c r="H139" s="493"/>
      <c r="I139" s="494"/>
      <c r="J139" s="26" t="s">
        <v>104</v>
      </c>
      <c r="K139" s="110" t="s">
        <v>185</v>
      </c>
    </row>
    <row r="140" spans="1:22" s="26" customFormat="1" ht="15.75" thickBot="1" x14ac:dyDescent="0.3">
      <c r="B140" s="472" t="s">
        <v>76</v>
      </c>
      <c r="C140" s="473"/>
      <c r="D140" s="473"/>
      <c r="E140" s="474"/>
      <c r="F140" s="492"/>
      <c r="G140" s="493"/>
      <c r="H140" s="493"/>
      <c r="I140" s="494"/>
      <c r="J140" s="237" t="s">
        <v>104</v>
      </c>
      <c r="K140" s="110" t="s">
        <v>219</v>
      </c>
    </row>
    <row r="141" spans="1:22" s="26" customFormat="1" ht="15.75" thickBot="1" x14ac:dyDescent="0.3">
      <c r="B141" s="472" t="s">
        <v>172</v>
      </c>
      <c r="C141" s="473"/>
      <c r="D141" s="473"/>
      <c r="E141" s="474"/>
      <c r="F141" s="492"/>
      <c r="G141" s="493"/>
      <c r="H141" s="493"/>
      <c r="I141" s="494"/>
      <c r="J141" s="237" t="s">
        <v>104</v>
      </c>
      <c r="K141" s="110" t="s">
        <v>217</v>
      </c>
    </row>
    <row r="142" spans="1:22" s="26" customFormat="1" ht="15.75" thickBot="1" x14ac:dyDescent="0.3">
      <c r="B142" s="472" t="s">
        <v>173</v>
      </c>
      <c r="C142" s="473"/>
      <c r="D142" s="473"/>
      <c r="E142" s="474"/>
      <c r="F142" s="492"/>
      <c r="G142" s="493"/>
      <c r="H142" s="493"/>
      <c r="I142" s="494"/>
      <c r="J142" s="237" t="s">
        <v>104</v>
      </c>
      <c r="K142" s="110" t="s">
        <v>218</v>
      </c>
    </row>
    <row r="143" spans="1:22" s="26" customFormat="1" ht="30" customHeight="1" x14ac:dyDescent="0.25">
      <c r="B143" s="112"/>
      <c r="C143" s="112"/>
      <c r="D143" s="112"/>
      <c r="E143" s="228"/>
      <c r="F143" s="228"/>
      <c r="G143" s="238"/>
      <c r="H143" s="228"/>
      <c r="I143" s="228"/>
      <c r="J143" s="239"/>
      <c r="K143" s="110"/>
    </row>
    <row r="144" spans="1:22" s="26" customFormat="1" ht="15.75" thickBot="1" x14ac:dyDescent="0.3">
      <c r="B144" s="334" t="s">
        <v>171</v>
      </c>
      <c r="C144" s="334"/>
      <c r="D144" s="334"/>
      <c r="E144" s="334"/>
      <c r="F144" s="228"/>
      <c r="G144" s="228"/>
      <c r="H144" s="228"/>
      <c r="I144" s="228"/>
      <c r="J144" s="239"/>
      <c r="K144" s="404" t="s">
        <v>195</v>
      </c>
      <c r="L144" s="404"/>
      <c r="M144" s="404"/>
      <c r="N144" s="404"/>
      <c r="O144" s="404"/>
      <c r="P144" s="219"/>
      <c r="Q144" s="219"/>
      <c r="R144" s="219"/>
      <c r="S144" s="219"/>
      <c r="T144" s="219"/>
      <c r="U144" s="219"/>
      <c r="V144" s="219"/>
    </row>
    <row r="145" spans="1:22" s="26" customFormat="1" ht="29.1" customHeight="1" thickBot="1" x14ac:dyDescent="0.3">
      <c r="B145" s="465" t="s">
        <v>121</v>
      </c>
      <c r="C145" s="466"/>
      <c r="D145" s="466"/>
      <c r="E145" s="466"/>
      <c r="F145" s="466"/>
      <c r="G145" s="466"/>
      <c r="H145" s="466"/>
      <c r="I145" s="467"/>
      <c r="J145" s="239"/>
      <c r="K145" s="404"/>
      <c r="L145" s="404"/>
      <c r="M145" s="404"/>
      <c r="N145" s="404"/>
      <c r="O145" s="404"/>
      <c r="P145" s="219"/>
      <c r="Q145" s="219"/>
      <c r="R145" s="219"/>
      <c r="S145" s="219"/>
      <c r="T145" s="219"/>
      <c r="U145" s="219"/>
      <c r="V145" s="219"/>
    </row>
    <row r="146" spans="1:22" s="26" customFormat="1" ht="30" customHeight="1" thickBot="1" x14ac:dyDescent="0.3">
      <c r="B146" s="472" t="s">
        <v>122</v>
      </c>
      <c r="C146" s="473"/>
      <c r="D146" s="473"/>
      <c r="E146" s="474"/>
      <c r="F146" s="468"/>
      <c r="G146" s="469"/>
      <c r="H146" s="470"/>
      <c r="I146" s="471"/>
      <c r="J146" s="239"/>
      <c r="K146" s="408" t="s">
        <v>186</v>
      </c>
      <c r="L146" s="408"/>
      <c r="M146" s="408"/>
      <c r="N146" s="408"/>
      <c r="O146" s="408"/>
    </row>
    <row r="147" spans="1:22" s="26" customFormat="1" ht="23.1" customHeight="1" thickBot="1" x14ac:dyDescent="0.3">
      <c r="B147" s="472" t="str">
        <f>B134</f>
        <v>Pack Identification</v>
      </c>
      <c r="C147" s="473"/>
      <c r="D147" s="473"/>
      <c r="E147" s="474"/>
      <c r="F147" s="192" t="str">
        <f>IF(ISBLANK(F134),"",F134)</f>
        <v/>
      </c>
      <c r="G147" s="192" t="str">
        <f t="shared" ref="G147:I147" si="6">IF(ISBLANK(G134),"",G134)</f>
        <v/>
      </c>
      <c r="H147" s="192" t="str">
        <f t="shared" si="6"/>
        <v/>
      </c>
      <c r="I147" s="192" t="str">
        <f t="shared" si="6"/>
        <v/>
      </c>
      <c r="J147" s="239"/>
      <c r="K147" s="408"/>
      <c r="L147" s="408"/>
      <c r="M147" s="408"/>
      <c r="N147" s="408"/>
      <c r="O147" s="408"/>
    </row>
    <row r="148" spans="1:22" s="26" customFormat="1" ht="15.75" thickBot="1" x14ac:dyDescent="0.3">
      <c r="B148" s="512" t="s">
        <v>123</v>
      </c>
      <c r="C148" s="513"/>
      <c r="D148" s="513"/>
      <c r="E148" s="514"/>
      <c r="F148" s="145"/>
      <c r="G148" s="154"/>
      <c r="H148" s="154"/>
      <c r="I148" s="154"/>
      <c r="J148" s="239"/>
      <c r="K148" s="408" t="s">
        <v>187</v>
      </c>
      <c r="L148" s="408"/>
      <c r="M148" s="408"/>
      <c r="N148" s="408"/>
      <c r="O148" s="408"/>
    </row>
    <row r="149" spans="1:22" s="26" customFormat="1" ht="75.75" customHeight="1" x14ac:dyDescent="0.25">
      <c r="B149" s="223"/>
      <c r="C149" s="223"/>
      <c r="D149" s="223"/>
      <c r="E149" s="223"/>
      <c r="F149" s="228"/>
      <c r="G149" s="228"/>
      <c r="H149" s="228"/>
      <c r="I149" s="228"/>
      <c r="J149" s="239"/>
      <c r="K149" s="408"/>
      <c r="L149" s="408"/>
      <c r="M149" s="408"/>
      <c r="N149" s="408"/>
      <c r="O149" s="408"/>
    </row>
    <row r="150" spans="1:22" s="26" customFormat="1" x14ac:dyDescent="0.25">
      <c r="B150" s="511"/>
      <c r="C150" s="511"/>
      <c r="D150" s="511"/>
      <c r="E150" s="511"/>
      <c r="K150" s="408"/>
      <c r="L150" s="408"/>
      <c r="M150" s="408"/>
      <c r="N150" s="408"/>
      <c r="O150" s="408"/>
    </row>
    <row r="151" spans="1:22" s="26" customFormat="1" x14ac:dyDescent="0.25">
      <c r="B151" s="228"/>
      <c r="C151" s="228"/>
      <c r="D151" s="228"/>
      <c r="E151" s="228"/>
      <c r="O151" s="21"/>
    </row>
    <row r="152" spans="1:22" s="26" customFormat="1" x14ac:dyDescent="0.25">
      <c r="A152" s="155"/>
      <c r="B152" s="224" t="s">
        <v>124</v>
      </c>
      <c r="C152" s="217"/>
      <c r="D152" s="66"/>
      <c r="E152" s="66"/>
      <c r="F152" s="390"/>
      <c r="G152" s="390"/>
      <c r="H152" s="390"/>
      <c r="I152" s="390"/>
      <c r="O152" s="21"/>
    </row>
    <row r="153" spans="1:22" s="26" customFormat="1" x14ac:dyDescent="0.25">
      <c r="A153" s="14" t="s">
        <v>125</v>
      </c>
      <c r="B153" s="217"/>
      <c r="C153" s="217"/>
      <c r="D153" s="66"/>
      <c r="E153" s="66"/>
      <c r="F153" s="217"/>
      <c r="G153" s="217"/>
      <c r="H153" s="217"/>
      <c r="I153" s="217"/>
      <c r="O153" s="21"/>
    </row>
    <row r="154" spans="1:22" s="26" customFormat="1" ht="15.75" thickBot="1" x14ac:dyDescent="0.3">
      <c r="B154" s="66"/>
      <c r="C154" s="66"/>
      <c r="D154" s="66"/>
      <c r="E154" s="66"/>
      <c r="F154" s="390" t="s">
        <v>126</v>
      </c>
      <c r="G154" s="390"/>
      <c r="H154" s="390"/>
      <c r="I154" s="390"/>
      <c r="O154" s="21"/>
    </row>
    <row r="155" spans="1:22" s="26" customFormat="1" ht="15.75" thickBot="1" x14ac:dyDescent="0.3">
      <c r="B155" s="66"/>
      <c r="C155" s="66"/>
      <c r="D155" s="66"/>
      <c r="E155" s="66"/>
      <c r="F155" s="156" t="str">
        <f>IF(F134="","",F134)</f>
        <v/>
      </c>
      <c r="G155" s="156" t="str">
        <f>IF(G134="","",G134)</f>
        <v/>
      </c>
      <c r="H155" s="156" t="str">
        <f>IF(H134="","",H134)</f>
        <v/>
      </c>
      <c r="I155" s="156" t="str">
        <f>IF(I134="","",I134)</f>
        <v/>
      </c>
      <c r="O155" s="21"/>
    </row>
    <row r="156" spans="1:22" s="26" customFormat="1" x14ac:dyDescent="0.25">
      <c r="A156" s="91" t="s">
        <v>77</v>
      </c>
      <c r="B156" s="475" t="s">
        <v>82</v>
      </c>
      <c r="C156" s="476"/>
      <c r="D156" s="476"/>
      <c r="E156" s="240"/>
      <c r="F156" s="241" t="str">
        <f>IF(OR(F135="",F136="",F137=""),"",IF(F135="Price to Wholesaler",F136,IF(F135="Reimbursement Price",(F158/(1+E157)*1),"Error")))</f>
        <v/>
      </c>
      <c r="G156" s="241" t="str">
        <f>IF(OR(G135="",G136="",F137=""),"",IF(G135="Price to Wholesaler",G136,IF(G135="Reimbursement Price",(G158/(1+E157)*1),"Error")))</f>
        <v/>
      </c>
      <c r="H156" s="241" t="str">
        <f>IF(OR(H135="",H136="",F137=""),"",IF(H135="Price to Wholesaler",H136,IF(H135="Reimbursement Price",(H158/(1+E157)*1),"Error")))</f>
        <v/>
      </c>
      <c r="I156" s="241" t="str">
        <f>IF(OR(I135="",I136="",F137=""),"",IF(I135="Price to Wholesaler",I136,IF(I135="Reimbursement Price",(I158/(1+E157)*1),"Error")))</f>
        <v/>
      </c>
      <c r="O156" s="21"/>
    </row>
    <row r="157" spans="1:22" s="26" customFormat="1" x14ac:dyDescent="0.25">
      <c r="A157" s="92" t="s">
        <v>78</v>
      </c>
      <c r="B157" s="477" t="s">
        <v>83</v>
      </c>
      <c r="C157" s="478"/>
      <c r="D157" s="478"/>
      <c r="E157" s="93" t="str">
        <f>IF(OR(F137=""),"",IF(AND(F137="CDS",F138="Yes"),CYF,IF(AND(F137="CDS",F138="No"),CNF,IF(F137="HT",CHT,IF(F137="Hosp",CHO,"Error")))))</f>
        <v/>
      </c>
      <c r="F157" s="242" t="str">
        <f>IF(OR(F137="",F136="",F135=""),"",F156*E157)</f>
        <v/>
      </c>
      <c r="G157" s="242" t="str">
        <f>IF(OR(F137="",G136="",G135=""),"",G156*E157)</f>
        <v/>
      </c>
      <c r="H157" s="242" t="str">
        <f>IF(OR(F137="",H136="",H135=""),"",H156*E157)</f>
        <v/>
      </c>
      <c r="I157" s="242" t="str">
        <f>IF(OR(F137="",I136="",I135=""),"",I156*E157)</f>
        <v/>
      </c>
      <c r="O157" s="21"/>
    </row>
    <row r="158" spans="1:22" s="26" customFormat="1" x14ac:dyDescent="0.25">
      <c r="A158" s="92" t="s">
        <v>79</v>
      </c>
      <c r="B158" s="477" t="str">
        <f>IF(F137="Hosp","Hospital Price", "Reimbursement Price")</f>
        <v>Reimbursement Price</v>
      </c>
      <c r="C158" s="478"/>
      <c r="D158" s="478"/>
      <c r="E158" s="243" t="str">
        <f>IF(F135="Price to Wholesaler","A+B","")</f>
        <v/>
      </c>
      <c r="F158" s="242" t="str">
        <f>IF(F135="Reimbursement Price",F136,IF(ISBLANK(E157),"",IF(F135="Price to Wholesaler",(F156+F157),IF(F135="","","Error"))))</f>
        <v/>
      </c>
      <c r="G158" s="242" t="str">
        <f>IF(G135="Reimbursement Price",G136,IF(ISBLANK(E157),"",IF(G135="Price to Wholesaler",(G156+G157),IF(G135="","","Error"))))</f>
        <v/>
      </c>
      <c r="H158" s="242" t="str">
        <f>IF(H135="Reimbursement Price",H136,IF(ISBLANK(E157),"",IF(H135="Price to Wholesaler",(H156+H157),IF(H135="","","Error"))))</f>
        <v/>
      </c>
      <c r="I158" s="242" t="str">
        <f>IF(I135="Reimbursement Price",I136,IF(ISBLANK(E157),"",IF(I135="Price to Wholesaler",(I156+I157),IF(I135="","","Error"))))</f>
        <v/>
      </c>
      <c r="O158" s="21"/>
    </row>
    <row r="159" spans="1:22" s="26" customFormat="1" x14ac:dyDescent="0.25">
      <c r="A159" s="92" t="s">
        <v>80</v>
      </c>
      <c r="B159" s="477" t="s">
        <v>214</v>
      </c>
      <c r="C159" s="478"/>
      <c r="D159" s="478"/>
      <c r="E159" s="268" t="str">
        <f>IF(OR(F140="",AND(F140="Yes",F141=""),AND(F140="No",F142="")),"",IF(AND(F140="No",F142="Patented Exclusive or Off Patent Exclusive and subject to clause 10 of Framework Agreement"),MR,IF(AND(F140="No",F142="Off Patent Non-Exclusive or Generic"),"None",IF(AND(F140="Yes",F141="Biosimilar"),"None",IF(AND(F140="Yes",F141="Patented or Off Patent Exclusive"),MR,IF(AND(F140="Yes",F141="Off Patent Non-Exclusive 12.5% Rebate incorporated into Price to Wholesaler"),"None",IF(AND(F140="Yes",F141="Off Patent Non-Exclusive 12.5% Rebate"),MRB,"Error")))))))</f>
        <v/>
      </c>
      <c r="F159" s="242" t="str">
        <f>IF(OR(F140="",AND(F140="Yes",F141=""),AND(F140="No",F142=""),F135="",ISBLANK(F136)),"",IF(E159="None",0,(E159*F156)))</f>
        <v/>
      </c>
      <c r="G159" s="242" t="str">
        <f>IF(OR(F140="",AND(F140="Yes",F141=""),AND(F140="No",F142=""),G135="",ISBLANK(G136)),"",IF(E159="None",0,(E159*G156)))</f>
        <v/>
      </c>
      <c r="H159" s="242" t="str">
        <f>IF(OR(F140="",AND(F140="Yes",F141=""),AND(F140="No",F142=""),H135="",ISBLANK(H136)),"",IF(E159="None",0,(E159*H156)))</f>
        <v/>
      </c>
      <c r="I159" s="242" t="str">
        <f>IF(OR(F140="",AND(F140="Yes",F141=""),AND(F140="No",F142=""),I135="",ISBLANK(I136)),"",IF(E159="None",0,(E159*I156)))</f>
        <v/>
      </c>
      <c r="O159" s="21"/>
    </row>
    <row r="160" spans="1:22" s="26" customFormat="1" ht="15.75" thickBot="1" x14ac:dyDescent="0.3">
      <c r="A160" s="159" t="s">
        <v>81</v>
      </c>
      <c r="B160" s="479" t="s">
        <v>94</v>
      </c>
      <c r="C160" s="480"/>
      <c r="D160" s="480"/>
      <c r="E160" s="160" t="str">
        <f>IF(F139="","",IF(F139="Yes",0,VT))</f>
        <v/>
      </c>
      <c r="F160" s="244" t="str">
        <f>IF(OR($B139="",F136="",ISBLANK(F136)),"",($E160*F158))</f>
        <v/>
      </c>
      <c r="G160" s="244" t="str">
        <f t="shared" ref="G160:I160" si="7">IF(OR($B139="",G136="",ISBLANK(G136)),"",($E160*G158))</f>
        <v/>
      </c>
      <c r="H160" s="244" t="str">
        <f t="shared" si="7"/>
        <v/>
      </c>
      <c r="I160" s="244" t="str">
        <f t="shared" si="7"/>
        <v/>
      </c>
      <c r="O160" s="21"/>
    </row>
    <row r="161" spans="1:20" s="26" customFormat="1" ht="15.75" thickBot="1" x14ac:dyDescent="0.3">
      <c r="A161" s="222" t="s">
        <v>127</v>
      </c>
      <c r="B161" s="481" t="s">
        <v>128</v>
      </c>
      <c r="C161" s="481"/>
      <c r="D161" s="481"/>
      <c r="E161" s="222"/>
      <c r="F161" s="245" t="str">
        <f>IF(OR(F135="",$F137="",$F139="",$F140=""),"",SUM(F158:F160))</f>
        <v/>
      </c>
      <c r="G161" s="245" t="str">
        <f t="shared" ref="G161" si="8">IF(OR(G135="",$F137="",$F139="",$F140=""),"",SUM(G158:G160))</f>
        <v/>
      </c>
      <c r="H161" s="245" t="str">
        <f t="shared" ref="H161" si="9">IF(OR(H135="",$F137="",$F139="",$F140=""),"",SUM(H158:H160))</f>
        <v/>
      </c>
      <c r="I161" s="245" t="str">
        <f t="shared" ref="I161" si="10">IF(OR(I135="",$F137="",$F139="",$F140=""),"",SUM(I158:I160))</f>
        <v/>
      </c>
      <c r="O161" s="21"/>
    </row>
    <row r="162" spans="1:20" s="26" customFormat="1" ht="15.75" thickBot="1" x14ac:dyDescent="0.3">
      <c r="A162" s="222" t="s">
        <v>129</v>
      </c>
      <c r="B162" s="482" t="s">
        <v>130</v>
      </c>
      <c r="C162" s="482"/>
      <c r="D162" s="482"/>
      <c r="E162" s="245"/>
      <c r="F162" s="245" t="str">
        <f>IF(OR(F135="",$F137="",$F139="",$F140=""),"",SUM(F158:F159))</f>
        <v/>
      </c>
      <c r="G162" s="245" t="str">
        <f t="shared" ref="G162:I162" si="11">IF(OR(G135="",$F137="",$F139="",$F140=""),"",SUM(G158:G159))</f>
        <v/>
      </c>
      <c r="H162" s="245" t="str">
        <f t="shared" si="11"/>
        <v/>
      </c>
      <c r="I162" s="245" t="str">
        <f t="shared" si="11"/>
        <v/>
      </c>
      <c r="O162" s="21"/>
    </row>
    <row r="163" spans="1:20" s="26" customFormat="1" x14ac:dyDescent="0.25">
      <c r="B163" s="66"/>
      <c r="C163" s="66"/>
      <c r="D163" s="66"/>
      <c r="E163" s="66"/>
      <c r="K163" s="26" t="s">
        <v>131</v>
      </c>
      <c r="O163" s="21"/>
    </row>
    <row r="164" spans="1:20" s="26" customFormat="1" x14ac:dyDescent="0.25">
      <c r="A164" s="155" t="s">
        <v>132</v>
      </c>
      <c r="B164" s="66"/>
      <c r="C164" s="66"/>
      <c r="D164" s="66"/>
      <c r="E164" s="66"/>
      <c r="F164" s="246"/>
      <c r="G164" s="246"/>
      <c r="H164" s="246"/>
      <c r="I164" s="246"/>
      <c r="O164" s="21"/>
    </row>
    <row r="165" spans="1:20" s="26" customFormat="1" x14ac:dyDescent="0.25">
      <c r="A165" s="125"/>
      <c r="B165" s="125" t="s">
        <v>133</v>
      </c>
      <c r="C165" s="125"/>
      <c r="D165" s="125"/>
      <c r="E165" s="125"/>
      <c r="F165" s="125"/>
      <c r="G165" s="125"/>
      <c r="H165" s="125"/>
      <c r="O165" s="21"/>
    </row>
    <row r="166" spans="1:20" s="26" customFormat="1" x14ac:dyDescent="0.25">
      <c r="B166" s="21" t="s">
        <v>134</v>
      </c>
      <c r="C166" s="229"/>
      <c r="D166" s="229"/>
      <c r="E166" s="66"/>
      <c r="O166" s="21"/>
    </row>
    <row r="167" spans="1:20" s="26" customFormat="1" ht="15.75" thickBot="1" x14ac:dyDescent="0.3">
      <c r="B167" s="165"/>
      <c r="C167" s="229"/>
      <c r="D167" s="229"/>
      <c r="E167" s="66"/>
      <c r="O167" s="21"/>
    </row>
    <row r="168" spans="1:20" s="26" customFormat="1" ht="15.75" thickBot="1" x14ac:dyDescent="0.3">
      <c r="B168" s="230"/>
      <c r="C168" s="66"/>
      <c r="D168" s="66"/>
      <c r="E168" s="66"/>
      <c r="G168" s="13" t="s">
        <v>135</v>
      </c>
      <c r="H168" s="13" t="s">
        <v>136</v>
      </c>
      <c r="O168" s="21"/>
    </row>
    <row r="169" spans="1:20" s="26" customFormat="1" x14ac:dyDescent="0.25">
      <c r="B169" s="483" t="s">
        <v>137</v>
      </c>
      <c r="C169" s="484"/>
      <c r="D169" s="484"/>
      <c r="E169" s="484"/>
      <c r="F169" s="485"/>
      <c r="G169" s="247" t="str">
        <f>IF(F137="","",IF(F137="CDS","per dispensing",IF(F137="HT","per month",IF(F137="Hosp","No Fee", ERROR))))</f>
        <v/>
      </c>
      <c r="H169" s="248" t="str">
        <f>IF(F137="","",IF(F137="CDS",DF,IF(F137="HT",PC,IF(F137="Hosp","No Fee",ERROR))))</f>
        <v/>
      </c>
      <c r="I169" s="26" t="s">
        <v>138</v>
      </c>
      <c r="O169" s="21"/>
    </row>
    <row r="170" spans="1:20" s="26" customFormat="1" ht="15.75" thickBot="1" x14ac:dyDescent="0.3">
      <c r="B170" s="486" t="s">
        <v>92</v>
      </c>
      <c r="C170" s="487"/>
      <c r="D170" s="487"/>
      <c r="E170" s="487"/>
      <c r="F170" s="488"/>
      <c r="G170" s="249" t="str">
        <f>IF(OR(F137="",F139=""),"",IF(F137="Hosp","No Fee",IF(F137="HT","No VAT",IF(AND(F137="CDS",F139="No"),VT,"No VAT"))))</f>
        <v/>
      </c>
      <c r="H170" s="250" t="str">
        <f>IF(OR(F139="",F137="Hosp"),"",IF(OR(F139="Yes",F137="HT"),0,H169*G170))</f>
        <v/>
      </c>
      <c r="O170" s="21"/>
    </row>
    <row r="171" spans="1:20" s="26" customFormat="1" x14ac:dyDescent="0.25">
      <c r="B171" s="230"/>
      <c r="C171" s="66"/>
      <c r="D171" s="66"/>
      <c r="E171" s="66"/>
      <c r="O171" s="21"/>
    </row>
    <row r="172" spans="1:20" s="26" customFormat="1" x14ac:dyDescent="0.25">
      <c r="B172" s="230"/>
      <c r="C172" s="66"/>
      <c r="D172" s="66"/>
      <c r="E172" s="66"/>
      <c r="O172" s="21"/>
    </row>
    <row r="173" spans="1:20" s="26" customFormat="1" ht="33.950000000000003" customHeight="1" thickBot="1" x14ac:dyDescent="0.3">
      <c r="A173" s="165" t="s">
        <v>193</v>
      </c>
      <c r="B173" s="230"/>
      <c r="C173" s="66"/>
      <c r="D173" s="66"/>
      <c r="E173" s="66"/>
      <c r="K173" s="408" t="s">
        <v>197</v>
      </c>
      <c r="L173" s="408"/>
      <c r="M173" s="408"/>
      <c r="N173" s="408"/>
      <c r="O173" s="408"/>
      <c r="P173" s="195"/>
      <c r="Q173" s="195"/>
      <c r="R173" s="195"/>
      <c r="S173" s="195"/>
      <c r="T173" s="195"/>
    </row>
    <row r="174" spans="1:20" s="26" customFormat="1" ht="17.100000000000001" customHeight="1" thickBot="1" x14ac:dyDescent="0.3">
      <c r="A174" s="14" t="s">
        <v>194</v>
      </c>
      <c r="B174" s="230"/>
      <c r="C174" s="66"/>
      <c r="D174" s="66"/>
      <c r="E174" s="66"/>
      <c r="G174" s="13" t="s">
        <v>101</v>
      </c>
      <c r="H174" s="13" t="s">
        <v>136</v>
      </c>
      <c r="K174" s="408" t="str">
        <f>IF(F137="HT","For High tech, if a treatment cycle =28 days the corresponding pharmacy fee is =62.03*12/365.25*28.  The pharmacy fee remains the same regardless of the number of products dispensed that month.",IF(F137="CDS","For CDS, if 2 packets of the same pack presentation are required per treatment cycle, one dispensing fee applies (€5.48). If multiple pack presentations are required, multiple dispensing fees apply",""))</f>
        <v/>
      </c>
      <c r="L174" s="408"/>
      <c r="M174" s="408"/>
      <c r="N174" s="408"/>
      <c r="O174" s="408"/>
      <c r="P174" s="195"/>
      <c r="Q174" s="195"/>
      <c r="R174" s="195"/>
      <c r="S174" s="195"/>
      <c r="T174" s="195"/>
    </row>
    <row r="175" spans="1:20" s="26" customFormat="1" ht="16.5" customHeight="1" x14ac:dyDescent="0.25">
      <c r="A175" s="170" t="s">
        <v>139</v>
      </c>
      <c r="B175" s="504" t="s">
        <v>140</v>
      </c>
      <c r="C175" s="504"/>
      <c r="D175" s="504"/>
      <c r="E175" s="504"/>
      <c r="F175" s="504"/>
      <c r="G175" s="251"/>
      <c r="H175" s="252"/>
      <c r="K175" s="408"/>
      <c r="L175" s="408"/>
      <c r="M175" s="408"/>
      <c r="N175" s="408"/>
      <c r="O175" s="408"/>
      <c r="P175" s="195"/>
      <c r="Q175" s="195"/>
      <c r="R175" s="195"/>
      <c r="S175" s="195"/>
      <c r="T175" s="195"/>
    </row>
    <row r="176" spans="1:20" s="26" customFormat="1" x14ac:dyDescent="0.25">
      <c r="A176" s="173" t="s">
        <v>141</v>
      </c>
      <c r="B176" s="505" t="s">
        <v>142</v>
      </c>
      <c r="C176" s="505"/>
      <c r="D176" s="505"/>
      <c r="E176" s="505"/>
      <c r="F176" s="505"/>
      <c r="G176" s="253"/>
      <c r="H176" s="254"/>
      <c r="K176" s="14" t="s">
        <v>188</v>
      </c>
      <c r="O176" s="21"/>
    </row>
    <row r="177" spans="1:15" s="26" customFormat="1" x14ac:dyDescent="0.25">
      <c r="A177" s="173" t="s">
        <v>143</v>
      </c>
      <c r="B177" s="505" t="s">
        <v>144</v>
      </c>
      <c r="C177" s="505"/>
      <c r="D177" s="505"/>
      <c r="E177" s="505"/>
      <c r="F177" s="505"/>
      <c r="G177" s="253"/>
      <c r="H177" s="254"/>
      <c r="K177" s="14" t="s">
        <v>189</v>
      </c>
      <c r="O177" s="21"/>
    </row>
    <row r="178" spans="1:15" s="26" customFormat="1" x14ac:dyDescent="0.25">
      <c r="A178" s="173" t="s">
        <v>145</v>
      </c>
      <c r="B178" s="505" t="s">
        <v>146</v>
      </c>
      <c r="C178" s="505"/>
      <c r="D178" s="505"/>
      <c r="E178" s="505"/>
      <c r="F178" s="505"/>
      <c r="G178" s="255"/>
      <c r="H178" s="256" t="str">
        <f>IF(ISBLANK(H175),"",SUM(H175:H177))</f>
        <v/>
      </c>
      <c r="O178" s="21"/>
    </row>
    <row r="179" spans="1:15" s="26" customFormat="1" ht="15.75" thickBot="1" x14ac:dyDescent="0.3">
      <c r="A179" s="178" t="s">
        <v>147</v>
      </c>
      <c r="B179" s="515" t="s">
        <v>196</v>
      </c>
      <c r="C179" s="515"/>
      <c r="D179" s="515"/>
      <c r="E179" s="515"/>
      <c r="F179" s="515"/>
      <c r="G179" s="257"/>
      <c r="H179" s="250" t="str">
        <f>IF(ISBLANK(H175),"",SUM(H175:H176))</f>
        <v/>
      </c>
      <c r="O179" s="21"/>
    </row>
    <row r="180" spans="1:15" s="26" customFormat="1" x14ac:dyDescent="0.25">
      <c r="B180" s="66"/>
      <c r="C180" s="66"/>
      <c r="D180" s="66"/>
      <c r="E180" s="66"/>
      <c r="O180" s="21"/>
    </row>
    <row r="181" spans="1:15" s="26" customFormat="1" x14ac:dyDescent="0.25">
      <c r="B181" s="66"/>
      <c r="C181" s="66"/>
      <c r="D181" s="66"/>
      <c r="E181" s="66"/>
      <c r="O181" s="21"/>
    </row>
    <row r="182" spans="1:15" s="26" customFormat="1" x14ac:dyDescent="0.25">
      <c r="A182" s="155" t="s">
        <v>148</v>
      </c>
      <c r="B182" s="66"/>
      <c r="C182" s="66"/>
      <c r="D182" s="66"/>
      <c r="E182" s="66"/>
      <c r="O182" s="21"/>
    </row>
    <row r="183" spans="1:15" s="26" customFormat="1" ht="15.75" thickBot="1" x14ac:dyDescent="0.3">
      <c r="B183" s="66"/>
      <c r="C183" s="66"/>
      <c r="D183" s="66"/>
      <c r="E183" s="66"/>
      <c r="O183" s="21"/>
    </row>
    <row r="184" spans="1:15" s="26" customFormat="1" ht="29.1" customHeight="1" x14ac:dyDescent="0.25">
      <c r="A184" s="65"/>
      <c r="B184" s="228"/>
      <c r="C184" s="228"/>
      <c r="D184" s="228"/>
      <c r="E184" s="228"/>
      <c r="F184" s="506" t="s">
        <v>149</v>
      </c>
      <c r="G184" s="180" t="s">
        <v>150</v>
      </c>
      <c r="H184" s="508" t="s">
        <v>151</v>
      </c>
      <c r="I184" s="180" t="s">
        <v>152</v>
      </c>
      <c r="J184" s="66"/>
      <c r="K184" s="408" t="s">
        <v>269</v>
      </c>
      <c r="L184" s="408"/>
      <c r="M184" s="408"/>
      <c r="N184" s="408"/>
      <c r="O184" s="408"/>
    </row>
    <row r="185" spans="1:15" s="26" customFormat="1" x14ac:dyDescent="0.25">
      <c r="A185" s="65"/>
      <c r="B185" s="228"/>
      <c r="C185" s="228"/>
      <c r="D185" s="228"/>
      <c r="E185" s="228"/>
      <c r="F185" s="507"/>
      <c r="G185" s="253"/>
      <c r="H185" s="509"/>
      <c r="I185" s="182"/>
      <c r="J185" s="66"/>
      <c r="K185" s="408"/>
      <c r="L185" s="408"/>
      <c r="M185" s="408"/>
      <c r="N185" s="408"/>
      <c r="O185" s="408"/>
    </row>
    <row r="186" spans="1:15" s="26" customFormat="1" ht="15.75" thickBot="1" x14ac:dyDescent="0.3">
      <c r="A186" s="65"/>
      <c r="B186" s="228"/>
      <c r="C186" s="228"/>
      <c r="D186" s="228"/>
      <c r="E186" s="228"/>
      <c r="F186" s="507"/>
      <c r="G186" s="183" t="s">
        <v>153</v>
      </c>
      <c r="H186" s="510"/>
      <c r="I186" s="184"/>
      <c r="J186" s="66"/>
      <c r="K186" s="408"/>
      <c r="L186" s="408"/>
      <c r="M186" s="408"/>
      <c r="N186" s="408"/>
      <c r="O186" s="408"/>
    </row>
    <row r="187" spans="1:15" s="26" customFormat="1" x14ac:dyDescent="0.25">
      <c r="A187" s="247" t="s">
        <v>77</v>
      </c>
      <c r="B187" s="463" t="str">
        <f>B156</f>
        <v>Price to Wholesaler</v>
      </c>
      <c r="C187" s="463"/>
      <c r="D187" s="463"/>
      <c r="E187" s="463"/>
      <c r="F187" s="256">
        <f>SUMPRODUCT(F156:I156,F148:I148)</f>
        <v>0</v>
      </c>
      <c r="G187" s="256">
        <f>F187*G185</f>
        <v>0</v>
      </c>
      <c r="H187" s="256" t="str">
        <f>IF(H146="Days",F187/F146*365.25,IF(H146="Months",F187/F146*12,""))</f>
        <v/>
      </c>
      <c r="I187" s="256" t="str">
        <f>IF(AND(H146="Days",I186="Days"),F187/F146*I185,IF(AND(H146="Months",I186="Months"),F187/F146*I185,IF(AND(H146="Days",I186="Months"),F187/F146*30.4375*I185,IF(AND(H146="Months",I186="Days"),F187/F146/30.4375*I185,""))))</f>
        <v/>
      </c>
      <c r="O187" s="21"/>
    </row>
    <row r="188" spans="1:15" s="26" customFormat="1" x14ac:dyDescent="0.25">
      <c r="A188" s="255" t="s">
        <v>78</v>
      </c>
      <c r="B188" s="464" t="str">
        <f>B157</f>
        <v>Wholesale Mark-up</v>
      </c>
      <c r="C188" s="464"/>
      <c r="D188" s="464"/>
      <c r="E188" s="464"/>
      <c r="F188" s="256">
        <f>SUMPRODUCT(F157:I157,F148:I148)</f>
        <v>0</v>
      </c>
      <c r="G188" s="256">
        <f>F188*G185</f>
        <v>0</v>
      </c>
      <c r="H188" s="256" t="str">
        <f>IF(H146="Days",F188/F146*365.25,IF(H146="Months",F188/F146*12,""))</f>
        <v/>
      </c>
      <c r="I188" s="256" t="str">
        <f>IF(AND(H146="Days",I186="Days"),F188/F146*I185,IF(AND(H146="Months",I186="Months"),F188/F146*I185,IF(AND(H146="Days",I186="Months"),F188/F146*30.4375*I185,IF(AND(H146="Months",I186="Days"),F188/F146/30.4375*I185,""))))</f>
        <v/>
      </c>
      <c r="O188" s="21"/>
    </row>
    <row r="189" spans="1:15" s="26" customFormat="1" x14ac:dyDescent="0.25">
      <c r="A189" s="255" t="s">
        <v>79</v>
      </c>
      <c r="B189" s="231" t="str">
        <f>B158</f>
        <v>Reimbursement Price</v>
      </c>
      <c r="C189" s="232"/>
      <c r="D189" s="233"/>
      <c r="E189" s="258"/>
      <c r="F189" s="256">
        <f>SUMPRODUCT(F158:I158,F148:I148)</f>
        <v>0</v>
      </c>
      <c r="G189" s="256">
        <f>F189*G185</f>
        <v>0</v>
      </c>
      <c r="H189" s="256" t="str">
        <f>IF(H146="Days",F189/F146*365.25,IF(H146="Months",F189/F146*12,""))</f>
        <v/>
      </c>
      <c r="I189" s="256" t="str">
        <f>IF(AND(H146="Days",I186="Days"),F189/F146*I185,IF(AND(H146="Months",I186="Months"),F189/F146*I185,IF(AND(H146="Days",I186="Months"),F189/F146*30.4375*I185,IF(AND(H146="Months",I186="Days"),F189/F146/30.4375*I185,""))))</f>
        <v/>
      </c>
      <c r="O189" s="21"/>
    </row>
    <row r="190" spans="1:15" s="26" customFormat="1" x14ac:dyDescent="0.25">
      <c r="A190" s="255" t="s">
        <v>80</v>
      </c>
      <c r="B190" s="495" t="str">
        <f>B159</f>
        <v>Framework Agreement Rebate</v>
      </c>
      <c r="C190" s="496"/>
      <c r="D190" s="496"/>
      <c r="E190" s="497"/>
      <c r="F190" s="256">
        <f>SUMPRODUCT(F159:I159,F148:I148)</f>
        <v>0</v>
      </c>
      <c r="G190" s="256">
        <f>F190*G185</f>
        <v>0</v>
      </c>
      <c r="H190" s="256" t="str">
        <f>IF(H146="Days",F190/F146*365.25,IF(H146="Months",F190/F146*12,""))</f>
        <v/>
      </c>
      <c r="I190" s="256" t="str">
        <f>IF(AND(H146="Days",I186="Days"),F190/F146*I185,IF(AND(H146="Months",I186="Months"),F190/F146*I185,IF(AND(H146="Days",I186="Months"),F190/F146*30.4375*I185,IF(AND(H146="Months",I186="Days"),F190/F146/30.4375*I185,""))))</f>
        <v/>
      </c>
      <c r="O190" s="21"/>
    </row>
    <row r="191" spans="1:15" s="26" customFormat="1" x14ac:dyDescent="0.25">
      <c r="A191" s="255" t="s">
        <v>81</v>
      </c>
      <c r="B191" s="495" t="str">
        <f>B160</f>
        <v xml:space="preserve">VAT on Drug Cost </v>
      </c>
      <c r="C191" s="496"/>
      <c r="D191" s="496"/>
      <c r="E191" s="497"/>
      <c r="F191" s="256">
        <f>SUMPRODUCT(F160:I160,F148:I148)</f>
        <v>0</v>
      </c>
      <c r="G191" s="256">
        <f>F191*G185</f>
        <v>0</v>
      </c>
      <c r="H191" s="256" t="str">
        <f>IF(H146="Days",F191/F146*365.25,IF(H146="Months",F191/F146*12,""))</f>
        <v/>
      </c>
      <c r="I191" s="256" t="str">
        <f>IF(AND(H146="Days",I186="Days"),F191/F146*I185,IF(AND(H146="Months",I186="Months"),F191/F146*I185,IF(AND(H146="Days",I186="Months"),F191/F146*30.4375*I185,IF(AND(H146="Months",I186="Days"),F191/F146/30.4375*I185,""))))</f>
        <v/>
      </c>
      <c r="O191" s="21"/>
    </row>
    <row r="192" spans="1:15" s="26" customFormat="1" x14ac:dyDescent="0.25">
      <c r="A192" s="255" t="s">
        <v>154</v>
      </c>
      <c r="B192" s="495" t="s">
        <v>155</v>
      </c>
      <c r="C192" s="496"/>
      <c r="D192" s="496"/>
      <c r="E192" s="497"/>
      <c r="F192" s="256" t="str">
        <f>IF(H178="","",H178)</f>
        <v/>
      </c>
      <c r="G192" s="256" t="str">
        <f>IF(F192="","",F192*G185)</f>
        <v/>
      </c>
      <c r="H192" s="256" t="str">
        <f>IF(F192="","",IF(H146="Days",F192/F146*365.25,IF(H146="Months",F192/F146*12,"")))</f>
        <v/>
      </c>
      <c r="I192" s="256" t="str">
        <f>IF(F192="","",IF(AND(H146="Days",I186="Days"),F192/F146*I185,IF(AND(H146="Months",I186="Months"),F192/F146*I185,IF(AND(H146="Days",I186="Months"),F192/F146*30.4375*I185,IF(AND(H146="Months",I186="Days"),F192/F146/30.4375*I185,"")))))</f>
        <v/>
      </c>
      <c r="O192" s="21"/>
    </row>
    <row r="193" spans="1:19" s="26" customFormat="1" x14ac:dyDescent="0.25">
      <c r="A193" s="255" t="s">
        <v>156</v>
      </c>
      <c r="B193" s="495" t="s">
        <v>157</v>
      </c>
      <c r="C193" s="496"/>
      <c r="D193" s="496"/>
      <c r="E193" s="497"/>
      <c r="F193" s="256" t="str">
        <f>IF(H179="","",H179)</f>
        <v/>
      </c>
      <c r="G193" s="256" t="str">
        <f>IF(F193="","",F193*G185)</f>
        <v/>
      </c>
      <c r="H193" s="256" t="str">
        <f>IF(F193="","",IF(H146="Days",F193/F146*365.25,IF(H146="Months",F193/F146*12,"")))</f>
        <v/>
      </c>
      <c r="I193" s="256" t="str">
        <f>IF(F193="","",IF(AND(H146="Days",I186="Days"),F193/F146*I185,IF(AND(H146="Months",I186="Months"),F193/F146*I185,IF(AND(H146="Days",I186="Months"),F193/F146*30.4375*I185,IF(AND(H146="Months",I186="Days"),F193/F146/30.4375*I185,"")))))</f>
        <v/>
      </c>
      <c r="O193" s="21"/>
    </row>
    <row r="194" spans="1:19" s="155" customFormat="1" x14ac:dyDescent="0.25">
      <c r="A194" s="186" t="s">
        <v>158</v>
      </c>
      <c r="B194" s="498" t="s">
        <v>159</v>
      </c>
      <c r="C194" s="499"/>
      <c r="D194" s="499"/>
      <c r="E194" s="500"/>
      <c r="F194" s="187">
        <f>SUM(F189:F192)</f>
        <v>0</v>
      </c>
      <c r="G194" s="187">
        <f t="shared" ref="G194:I194" si="12">SUM(G189:G192)</f>
        <v>0</v>
      </c>
      <c r="H194" s="187">
        <f t="shared" si="12"/>
        <v>0</v>
      </c>
      <c r="I194" s="187">
        <f t="shared" si="12"/>
        <v>0</v>
      </c>
      <c r="K194" s="98" t="s">
        <v>191</v>
      </c>
      <c r="O194" s="189"/>
    </row>
    <row r="195" spans="1:19" s="26" customFormat="1" ht="15.75" thickBot="1" x14ac:dyDescent="0.3">
      <c r="A195" s="257" t="s">
        <v>160</v>
      </c>
      <c r="B195" s="501" t="s">
        <v>161</v>
      </c>
      <c r="C195" s="502"/>
      <c r="D195" s="502"/>
      <c r="E195" s="503"/>
      <c r="F195" s="250">
        <f>IF(F193="",SUM(F189+F190),F189+F190+F193)</f>
        <v>0</v>
      </c>
      <c r="G195" s="250">
        <f t="shared" ref="G195" si="13">IF(G193="",SUM(G189+G190),G189+G190+G193)</f>
        <v>0</v>
      </c>
      <c r="H195" s="250" t="e">
        <f>IF(H193="",SUM(H189+H190),H189+H190+H193)</f>
        <v>#VALUE!</v>
      </c>
      <c r="I195" s="250" t="e">
        <f t="shared" ref="I195" si="14">IF(I193="",SUM(I189+I190),I189+I190+I193)</f>
        <v>#VALUE!</v>
      </c>
      <c r="K195" s="14" t="s">
        <v>192</v>
      </c>
      <c r="O195" s="21"/>
    </row>
    <row r="196" spans="1:19" s="26" customFormat="1" x14ac:dyDescent="0.25">
      <c r="B196" s="229"/>
      <c r="C196" s="66"/>
      <c r="D196" s="66"/>
      <c r="E196" s="66"/>
      <c r="O196" s="21"/>
    </row>
    <row r="197" spans="1:19" s="26" customFormat="1" x14ac:dyDescent="0.25"/>
    <row r="198" spans="1:19" s="26" customFormat="1" x14ac:dyDescent="0.25">
      <c r="B198" s="224" t="s">
        <v>101</v>
      </c>
      <c r="C198" s="224"/>
      <c r="D198" s="224"/>
      <c r="E198" s="224"/>
    </row>
    <row r="199" spans="1:19" s="26" customFormat="1" ht="15.75" customHeight="1" x14ac:dyDescent="0.25"/>
    <row r="200" spans="1:19" s="26" customFormat="1" x14ac:dyDescent="0.25">
      <c r="B200" s="234"/>
      <c r="C200" s="234"/>
      <c r="D200" s="234"/>
      <c r="E200" s="234"/>
      <c r="F200" s="234"/>
      <c r="G200" s="234"/>
      <c r="H200" s="234"/>
      <c r="I200" s="234"/>
      <c r="J200" s="234"/>
      <c r="K200" s="234"/>
      <c r="L200" s="234"/>
      <c r="M200" s="234"/>
      <c r="N200" s="234"/>
      <c r="O200" s="234"/>
      <c r="P200" s="234"/>
      <c r="Q200" s="234"/>
      <c r="R200" s="234"/>
      <c r="S200" s="234"/>
    </row>
    <row r="201" spans="1:19" s="26" customFormat="1" x14ac:dyDescent="0.25">
      <c r="B201" s="234"/>
      <c r="C201" s="234"/>
      <c r="D201" s="234"/>
      <c r="E201" s="234"/>
      <c r="F201" s="234"/>
      <c r="G201" s="234"/>
      <c r="H201" s="234"/>
      <c r="I201" s="234"/>
      <c r="J201" s="234"/>
      <c r="K201" s="234"/>
      <c r="L201" s="234"/>
      <c r="M201" s="234"/>
      <c r="N201" s="234"/>
      <c r="O201" s="234"/>
      <c r="P201" s="234"/>
      <c r="Q201" s="234"/>
      <c r="R201" s="234"/>
      <c r="S201" s="234"/>
    </row>
    <row r="202" spans="1:19" s="26" customFormat="1" x14ac:dyDescent="0.25">
      <c r="B202" s="234"/>
      <c r="C202" s="234"/>
      <c r="D202" s="234"/>
      <c r="E202" s="234"/>
      <c r="F202" s="234"/>
      <c r="G202" s="234"/>
      <c r="H202" s="234"/>
      <c r="I202" s="234"/>
      <c r="J202" s="234"/>
      <c r="K202" s="234"/>
      <c r="L202" s="234"/>
      <c r="M202" s="234"/>
      <c r="N202" s="234"/>
      <c r="O202" s="234"/>
      <c r="P202" s="234"/>
      <c r="Q202" s="234"/>
      <c r="R202" s="234"/>
      <c r="S202" s="234"/>
    </row>
    <row r="203" spans="1:19" s="26" customFormat="1" x14ac:dyDescent="0.25">
      <c r="B203" s="234"/>
      <c r="C203" s="234"/>
      <c r="D203" s="234"/>
      <c r="E203" s="234"/>
      <c r="F203" s="234"/>
      <c r="G203" s="234"/>
      <c r="H203" s="234"/>
      <c r="I203" s="234"/>
      <c r="J203" s="234"/>
      <c r="K203" s="234"/>
      <c r="L203" s="234"/>
      <c r="M203" s="234"/>
      <c r="N203" s="234"/>
      <c r="O203" s="234"/>
      <c r="P203" s="234"/>
      <c r="Q203" s="234"/>
      <c r="R203" s="234"/>
      <c r="S203" s="234"/>
    </row>
    <row r="204" spans="1:19" s="26" customFormat="1" x14ac:dyDescent="0.25">
      <c r="B204" s="234"/>
      <c r="C204" s="234"/>
      <c r="D204" s="234"/>
      <c r="E204" s="234"/>
      <c r="F204" s="234"/>
      <c r="G204" s="234"/>
      <c r="H204" s="234"/>
      <c r="I204" s="234"/>
      <c r="J204" s="234"/>
      <c r="K204" s="234"/>
      <c r="L204" s="234"/>
      <c r="M204" s="234"/>
      <c r="N204" s="234"/>
      <c r="O204" s="234"/>
      <c r="P204" s="234"/>
      <c r="Q204" s="234"/>
      <c r="R204" s="234"/>
      <c r="S204" s="234"/>
    </row>
    <row r="205" spans="1:19" s="26" customFormat="1" x14ac:dyDescent="0.25">
      <c r="B205" s="234"/>
      <c r="C205" s="234"/>
      <c r="D205" s="234"/>
      <c r="E205" s="234"/>
      <c r="F205" s="234"/>
      <c r="G205" s="234"/>
      <c r="H205" s="234"/>
      <c r="I205" s="234"/>
      <c r="J205" s="234"/>
      <c r="K205" s="234"/>
      <c r="L205" s="234"/>
      <c r="M205" s="234"/>
      <c r="N205" s="234"/>
      <c r="O205" s="234"/>
      <c r="P205" s="234"/>
      <c r="Q205" s="234"/>
      <c r="R205" s="234"/>
      <c r="S205" s="234"/>
    </row>
    <row r="206" spans="1:19" s="26" customFormat="1" x14ac:dyDescent="0.25">
      <c r="B206" s="234"/>
      <c r="C206" s="234"/>
      <c r="D206" s="234"/>
      <c r="E206" s="234"/>
      <c r="F206" s="234"/>
      <c r="G206" s="234"/>
      <c r="H206" s="234"/>
      <c r="I206" s="234"/>
      <c r="J206" s="234"/>
      <c r="K206" s="234"/>
      <c r="L206" s="234"/>
      <c r="M206" s="234"/>
      <c r="N206" s="234"/>
      <c r="O206" s="234"/>
      <c r="P206" s="234"/>
      <c r="Q206" s="234"/>
      <c r="R206" s="234"/>
      <c r="S206" s="234"/>
    </row>
    <row r="207" spans="1:19" s="26" customFormat="1" x14ac:dyDescent="0.25">
      <c r="B207" s="234"/>
      <c r="C207" s="234"/>
      <c r="D207" s="234"/>
      <c r="E207" s="234"/>
      <c r="F207" s="234"/>
      <c r="G207" s="234"/>
      <c r="H207" s="234"/>
      <c r="I207" s="234"/>
      <c r="J207" s="234"/>
      <c r="K207" s="234"/>
      <c r="L207" s="234"/>
      <c r="M207" s="234"/>
      <c r="N207" s="234"/>
      <c r="O207" s="234"/>
      <c r="P207" s="234"/>
      <c r="Q207" s="234"/>
      <c r="R207" s="234"/>
      <c r="S207" s="234"/>
    </row>
    <row r="208" spans="1:19" s="26" customFormat="1" x14ac:dyDescent="0.25">
      <c r="B208" s="234"/>
      <c r="C208" s="234"/>
      <c r="D208" s="234"/>
      <c r="E208" s="234"/>
      <c r="F208" s="234"/>
      <c r="G208" s="234"/>
      <c r="H208" s="234"/>
      <c r="I208" s="234"/>
      <c r="J208" s="234"/>
      <c r="K208" s="234"/>
      <c r="L208" s="234"/>
      <c r="M208" s="234"/>
      <c r="N208" s="234"/>
      <c r="O208" s="234"/>
      <c r="P208" s="234"/>
      <c r="Q208" s="234"/>
      <c r="R208" s="234"/>
      <c r="S208" s="234"/>
    </row>
    <row r="209" spans="1:22" s="26" customFormat="1" x14ac:dyDescent="0.25">
      <c r="B209" s="234"/>
      <c r="C209" s="234"/>
      <c r="D209" s="234"/>
      <c r="E209" s="234"/>
      <c r="F209" s="234"/>
      <c r="G209" s="234"/>
      <c r="H209" s="234"/>
      <c r="I209" s="234"/>
      <c r="J209" s="234"/>
      <c r="K209" s="234"/>
      <c r="L209" s="234"/>
      <c r="M209" s="234"/>
      <c r="N209" s="234"/>
      <c r="O209" s="234"/>
      <c r="P209" s="234"/>
      <c r="Q209" s="234"/>
      <c r="R209" s="234"/>
      <c r="S209" s="234"/>
    </row>
    <row r="210" spans="1:22" s="26" customFormat="1" x14ac:dyDescent="0.25"/>
    <row r="211" spans="1:22" s="26" customFormat="1" x14ac:dyDescent="0.25"/>
    <row r="212" spans="1:22" s="26" customFormat="1" ht="15.75" thickBot="1" x14ac:dyDescent="0.3"/>
    <row r="213" spans="1:22" s="26" customFormat="1" ht="15.75" thickBot="1" x14ac:dyDescent="0.3">
      <c r="B213" s="410" t="str">
        <f>CONCATENATE("Comparator 2: ",NameComparator2)</f>
        <v xml:space="preserve">Comparator 2: </v>
      </c>
      <c r="C213" s="411"/>
      <c r="D213" s="411"/>
      <c r="E213" s="411"/>
      <c r="F213" s="411"/>
      <c r="G213" s="412"/>
    </row>
    <row r="214" spans="1:22" s="26" customFormat="1" x14ac:dyDescent="0.25">
      <c r="B214" s="227"/>
      <c r="C214" s="227"/>
      <c r="D214" s="227"/>
      <c r="F214" s="228"/>
      <c r="G214" s="228"/>
      <c r="H214" s="228"/>
      <c r="I214" s="228"/>
      <c r="J214" s="228"/>
    </row>
    <row r="215" spans="1:22" s="26" customFormat="1" x14ac:dyDescent="0.25"/>
    <row r="216" spans="1:22" s="26" customFormat="1" ht="28.5" customHeight="1" thickBot="1" x14ac:dyDescent="0.3">
      <c r="B216" s="334" t="s">
        <v>118</v>
      </c>
      <c r="C216" s="334"/>
      <c r="D216" s="334"/>
      <c r="E216" s="334"/>
      <c r="K216" s="408" t="s">
        <v>209</v>
      </c>
      <c r="L216" s="408"/>
      <c r="M216" s="408"/>
      <c r="N216" s="408"/>
      <c r="O216" s="408"/>
      <c r="P216" s="225"/>
      <c r="Q216" s="225"/>
      <c r="R216" s="225"/>
      <c r="S216" s="225"/>
      <c r="T216" s="225"/>
      <c r="U216" s="225"/>
      <c r="V216" s="225"/>
    </row>
    <row r="217" spans="1:22" s="26" customFormat="1" ht="18.95" customHeight="1" thickBot="1" x14ac:dyDescent="0.3">
      <c r="B217" s="465" t="s">
        <v>119</v>
      </c>
      <c r="C217" s="466"/>
      <c r="D217" s="466"/>
      <c r="E217" s="466"/>
      <c r="F217" s="466"/>
      <c r="G217" s="466"/>
      <c r="H217" s="466"/>
      <c r="I217" s="467"/>
      <c r="K217" s="408"/>
      <c r="L217" s="408"/>
      <c r="M217" s="408"/>
      <c r="N217" s="408"/>
      <c r="O217" s="408"/>
      <c r="P217" s="225"/>
      <c r="Q217" s="225"/>
      <c r="R217" s="225"/>
      <c r="S217" s="225"/>
      <c r="T217" s="225"/>
      <c r="U217" s="225"/>
      <c r="V217" s="225"/>
    </row>
    <row r="218" spans="1:22" s="26" customFormat="1" ht="15.75" thickBot="1" x14ac:dyDescent="0.3">
      <c r="B218" s="220"/>
      <c r="C218" s="221"/>
      <c r="D218" s="221"/>
      <c r="E218" s="221"/>
      <c r="F218" s="466" t="s">
        <v>120</v>
      </c>
      <c r="G218" s="466"/>
      <c r="H218" s="466"/>
      <c r="I218" s="467"/>
      <c r="K218" s="14"/>
    </row>
    <row r="219" spans="1:22" s="26" customFormat="1" ht="15.75" thickBot="1" x14ac:dyDescent="0.3">
      <c r="B219" s="472" t="s">
        <v>174</v>
      </c>
      <c r="C219" s="473"/>
      <c r="D219" s="473"/>
      <c r="E219" s="474"/>
      <c r="F219" s="149"/>
      <c r="G219" s="149"/>
      <c r="H219" s="149"/>
      <c r="I219" s="149"/>
      <c r="K219" s="14" t="s">
        <v>180</v>
      </c>
    </row>
    <row r="220" spans="1:22" s="26" customFormat="1" ht="30" customHeight="1" thickBot="1" x14ac:dyDescent="0.3">
      <c r="B220" s="472" t="s">
        <v>106</v>
      </c>
      <c r="C220" s="473"/>
      <c r="D220" s="473"/>
      <c r="E220" s="474"/>
      <c r="F220" s="235"/>
      <c r="G220" s="235"/>
      <c r="H220" s="235"/>
      <c r="I220" s="235"/>
      <c r="J220" s="26" t="s">
        <v>104</v>
      </c>
      <c r="K220" s="408" t="s">
        <v>181</v>
      </c>
      <c r="L220" s="408"/>
      <c r="M220" s="408"/>
      <c r="N220" s="408"/>
      <c r="O220" s="408"/>
      <c r="P220" s="21"/>
      <c r="Q220" s="21"/>
      <c r="R220" s="21"/>
      <c r="S220" s="21"/>
      <c r="T220" s="21"/>
    </row>
    <row r="221" spans="1:22" s="26" customFormat="1" ht="15.75" thickBot="1" x14ac:dyDescent="0.3">
      <c r="A221" s="14"/>
      <c r="B221" s="472" t="s">
        <v>107</v>
      </c>
      <c r="C221" s="473"/>
      <c r="D221" s="473"/>
      <c r="E221" s="474"/>
      <c r="F221" s="151"/>
      <c r="G221" s="151"/>
      <c r="H221" s="151"/>
      <c r="I221" s="151"/>
      <c r="J221" s="236"/>
      <c r="K221" s="110" t="s">
        <v>182</v>
      </c>
      <c r="N221" s="21"/>
      <c r="O221" s="21"/>
      <c r="P221" s="21"/>
      <c r="Q221" s="21"/>
      <c r="R221" s="21"/>
      <c r="S221" s="21"/>
      <c r="T221" s="21"/>
    </row>
    <row r="222" spans="1:22" s="26" customFormat="1" ht="15.75" thickBot="1" x14ac:dyDescent="0.3">
      <c r="A222" s="15"/>
      <c r="B222" s="472" t="s">
        <v>108</v>
      </c>
      <c r="C222" s="473"/>
      <c r="D222" s="473"/>
      <c r="E222" s="474"/>
      <c r="F222" s="489"/>
      <c r="G222" s="490"/>
      <c r="H222" s="490"/>
      <c r="I222" s="491"/>
      <c r="J222" s="237" t="s">
        <v>104</v>
      </c>
      <c r="K222" s="110" t="s">
        <v>210</v>
      </c>
    </row>
    <row r="223" spans="1:22" s="26" customFormat="1" ht="15.75" thickBot="1" x14ac:dyDescent="0.3">
      <c r="A223" s="15"/>
      <c r="B223" s="472" t="s">
        <v>74</v>
      </c>
      <c r="C223" s="473"/>
      <c r="D223" s="473"/>
      <c r="E223" s="474"/>
      <c r="F223" s="492"/>
      <c r="G223" s="493"/>
      <c r="H223" s="493"/>
      <c r="I223" s="494"/>
      <c r="J223" s="237" t="s">
        <v>104</v>
      </c>
      <c r="K223" s="110" t="s">
        <v>184</v>
      </c>
    </row>
    <row r="224" spans="1:22" s="26" customFormat="1" ht="15.75" thickBot="1" x14ac:dyDescent="0.3">
      <c r="B224" s="472" t="s">
        <v>75</v>
      </c>
      <c r="C224" s="473"/>
      <c r="D224" s="473"/>
      <c r="E224" s="474"/>
      <c r="F224" s="492"/>
      <c r="G224" s="493"/>
      <c r="H224" s="493"/>
      <c r="I224" s="494"/>
      <c r="J224" s="26" t="s">
        <v>104</v>
      </c>
      <c r="K224" s="110" t="s">
        <v>185</v>
      </c>
    </row>
    <row r="225" spans="1:22" s="26" customFormat="1" ht="15.75" thickBot="1" x14ac:dyDescent="0.3">
      <c r="B225" s="472" t="s">
        <v>76</v>
      </c>
      <c r="C225" s="473"/>
      <c r="D225" s="473"/>
      <c r="E225" s="474"/>
      <c r="F225" s="492"/>
      <c r="G225" s="493"/>
      <c r="H225" s="493"/>
      <c r="I225" s="494"/>
      <c r="J225" s="237" t="s">
        <v>104</v>
      </c>
      <c r="K225" s="110" t="s">
        <v>216</v>
      </c>
    </row>
    <row r="226" spans="1:22" s="26" customFormat="1" ht="15.75" thickBot="1" x14ac:dyDescent="0.3">
      <c r="B226" s="472" t="s">
        <v>172</v>
      </c>
      <c r="C226" s="473"/>
      <c r="D226" s="473"/>
      <c r="E226" s="474"/>
      <c r="F226" s="492"/>
      <c r="G226" s="493"/>
      <c r="H226" s="493"/>
      <c r="I226" s="494"/>
      <c r="J226" s="237" t="s">
        <v>104</v>
      </c>
      <c r="K226" s="110" t="s">
        <v>217</v>
      </c>
    </row>
    <row r="227" spans="1:22" s="26" customFormat="1" ht="15.75" thickBot="1" x14ac:dyDescent="0.3">
      <c r="B227" s="472" t="s">
        <v>173</v>
      </c>
      <c r="C227" s="473"/>
      <c r="D227" s="473"/>
      <c r="E227" s="474"/>
      <c r="F227" s="492"/>
      <c r="G227" s="493"/>
      <c r="H227" s="493"/>
      <c r="I227" s="494"/>
      <c r="J227" s="237" t="s">
        <v>104</v>
      </c>
      <c r="K227" s="110" t="s">
        <v>218</v>
      </c>
    </row>
    <row r="228" spans="1:22" s="26" customFormat="1" ht="30" customHeight="1" x14ac:dyDescent="0.25">
      <c r="B228" s="112"/>
      <c r="C228" s="112"/>
      <c r="D228" s="112"/>
      <c r="E228" s="228"/>
      <c r="F228" s="228"/>
      <c r="G228" s="238"/>
      <c r="H228" s="228"/>
      <c r="I228" s="228"/>
      <c r="J228" s="239"/>
      <c r="K228" s="110"/>
    </row>
    <row r="229" spans="1:22" s="26" customFormat="1" ht="15.75" thickBot="1" x14ac:dyDescent="0.3">
      <c r="B229" s="334" t="s">
        <v>171</v>
      </c>
      <c r="C229" s="334"/>
      <c r="D229" s="334"/>
      <c r="E229" s="334"/>
      <c r="F229" s="228"/>
      <c r="G229" s="228"/>
      <c r="H229" s="228"/>
      <c r="I229" s="228"/>
      <c r="J229" s="239"/>
      <c r="K229" s="404" t="s">
        <v>195</v>
      </c>
      <c r="L229" s="404"/>
      <c r="M229" s="404"/>
      <c r="N229" s="404"/>
      <c r="O229" s="404"/>
      <c r="P229" s="219"/>
      <c r="Q229" s="219"/>
      <c r="R229" s="219"/>
      <c r="S229" s="219"/>
      <c r="T229" s="219"/>
      <c r="U229" s="219"/>
      <c r="V229" s="219"/>
    </row>
    <row r="230" spans="1:22" s="26" customFormat="1" ht="29.1" customHeight="1" thickBot="1" x14ac:dyDescent="0.3">
      <c r="B230" s="465" t="s">
        <v>121</v>
      </c>
      <c r="C230" s="466"/>
      <c r="D230" s="466"/>
      <c r="E230" s="466"/>
      <c r="F230" s="466"/>
      <c r="G230" s="466"/>
      <c r="H230" s="466"/>
      <c r="I230" s="467"/>
      <c r="J230" s="239"/>
      <c r="K230" s="404"/>
      <c r="L230" s="404"/>
      <c r="M230" s="404"/>
      <c r="N230" s="404"/>
      <c r="O230" s="404"/>
      <c r="P230" s="219"/>
      <c r="Q230" s="219"/>
      <c r="R230" s="219"/>
      <c r="S230" s="219"/>
      <c r="T230" s="219"/>
      <c r="U230" s="219"/>
      <c r="V230" s="219"/>
    </row>
    <row r="231" spans="1:22" s="26" customFormat="1" ht="30" customHeight="1" thickBot="1" x14ac:dyDescent="0.3">
      <c r="B231" s="472" t="s">
        <v>122</v>
      </c>
      <c r="C231" s="473"/>
      <c r="D231" s="473"/>
      <c r="E231" s="474"/>
      <c r="F231" s="468"/>
      <c r="G231" s="469"/>
      <c r="H231" s="470"/>
      <c r="I231" s="471"/>
      <c r="J231" s="239"/>
      <c r="K231" s="408" t="s">
        <v>186</v>
      </c>
      <c r="L231" s="408"/>
      <c r="M231" s="408"/>
      <c r="N231" s="408"/>
      <c r="O231" s="408"/>
    </row>
    <row r="232" spans="1:22" s="26" customFormat="1" ht="23.1" customHeight="1" thickBot="1" x14ac:dyDescent="0.3">
      <c r="B232" s="472" t="str">
        <f>B219</f>
        <v>Pack Identification</v>
      </c>
      <c r="C232" s="473"/>
      <c r="D232" s="473"/>
      <c r="E232" s="474"/>
      <c r="F232" s="192" t="str">
        <f>IF(ISBLANK(F219),"",F219)</f>
        <v/>
      </c>
      <c r="G232" s="192" t="str">
        <f t="shared" ref="G232:I232" si="15">IF(ISBLANK(G219),"",G219)</f>
        <v/>
      </c>
      <c r="H232" s="192" t="str">
        <f t="shared" si="15"/>
        <v/>
      </c>
      <c r="I232" s="192" t="str">
        <f t="shared" si="15"/>
        <v/>
      </c>
      <c r="J232" s="239"/>
      <c r="K232" s="408"/>
      <c r="L232" s="408"/>
      <c r="M232" s="408"/>
      <c r="N232" s="408"/>
      <c r="O232" s="408"/>
    </row>
    <row r="233" spans="1:22" s="26" customFormat="1" ht="15.75" thickBot="1" x14ac:dyDescent="0.3">
      <c r="B233" s="512" t="s">
        <v>123</v>
      </c>
      <c r="C233" s="513"/>
      <c r="D233" s="513"/>
      <c r="E233" s="514"/>
      <c r="F233" s="145"/>
      <c r="G233" s="154"/>
      <c r="H233" s="154"/>
      <c r="I233" s="154"/>
      <c r="J233" s="239"/>
      <c r="K233" s="408" t="s">
        <v>187</v>
      </c>
      <c r="L233" s="408"/>
      <c r="M233" s="408"/>
      <c r="N233" s="408"/>
      <c r="O233" s="408"/>
    </row>
    <row r="234" spans="1:22" s="26" customFormat="1" ht="75.75" customHeight="1" x14ac:dyDescent="0.25">
      <c r="B234" s="223"/>
      <c r="C234" s="223"/>
      <c r="D234" s="223"/>
      <c r="E234" s="223"/>
      <c r="F234" s="228"/>
      <c r="G234" s="228"/>
      <c r="H234" s="228"/>
      <c r="I234" s="228"/>
      <c r="J234" s="239"/>
      <c r="K234" s="408"/>
      <c r="L234" s="408"/>
      <c r="M234" s="408"/>
      <c r="N234" s="408"/>
      <c r="O234" s="408"/>
    </row>
    <row r="235" spans="1:22" s="26" customFormat="1" x14ac:dyDescent="0.25">
      <c r="B235" s="511"/>
      <c r="C235" s="511"/>
      <c r="D235" s="511"/>
      <c r="E235" s="511"/>
      <c r="K235" s="408"/>
      <c r="L235" s="408"/>
      <c r="M235" s="408"/>
      <c r="N235" s="408"/>
      <c r="O235" s="408"/>
    </row>
    <row r="236" spans="1:22" s="26" customFormat="1" x14ac:dyDescent="0.25">
      <c r="B236" s="228"/>
      <c r="C236" s="228"/>
      <c r="D236" s="228"/>
      <c r="E236" s="228"/>
      <c r="O236" s="21"/>
    </row>
    <row r="237" spans="1:22" s="26" customFormat="1" x14ac:dyDescent="0.25">
      <c r="A237" s="155"/>
      <c r="B237" s="224" t="s">
        <v>124</v>
      </c>
      <c r="C237" s="217"/>
      <c r="D237" s="66"/>
      <c r="E237" s="66"/>
      <c r="F237" s="390"/>
      <c r="G237" s="390"/>
      <c r="H237" s="390"/>
      <c r="I237" s="390"/>
      <c r="O237" s="21"/>
    </row>
    <row r="238" spans="1:22" s="26" customFormat="1" x14ac:dyDescent="0.25">
      <c r="A238" s="14" t="s">
        <v>125</v>
      </c>
      <c r="B238" s="217"/>
      <c r="C238" s="217"/>
      <c r="D238" s="66"/>
      <c r="E238" s="66"/>
      <c r="F238" s="217"/>
      <c r="G238" s="217"/>
      <c r="H238" s="217"/>
      <c r="I238" s="217"/>
      <c r="O238" s="21"/>
    </row>
    <row r="239" spans="1:22" s="26" customFormat="1" ht="15.75" thickBot="1" x14ac:dyDescent="0.3">
      <c r="B239" s="66"/>
      <c r="C239" s="66"/>
      <c r="D239" s="66"/>
      <c r="E239" s="66"/>
      <c r="F239" s="390" t="s">
        <v>126</v>
      </c>
      <c r="G239" s="390"/>
      <c r="H239" s="390"/>
      <c r="I239" s="390"/>
      <c r="O239" s="21"/>
    </row>
    <row r="240" spans="1:22" s="26" customFormat="1" ht="15.75" thickBot="1" x14ac:dyDescent="0.3">
      <c r="B240" s="66"/>
      <c r="C240" s="66"/>
      <c r="D240" s="66"/>
      <c r="E240" s="66"/>
      <c r="F240" s="156" t="str">
        <f>IF(F219="","",F219)</f>
        <v/>
      </c>
      <c r="G240" s="156" t="str">
        <f>IF(G219="","",G219)</f>
        <v/>
      </c>
      <c r="H240" s="156" t="str">
        <f>IF(H219="","",H219)</f>
        <v/>
      </c>
      <c r="I240" s="156" t="str">
        <f>IF(I219="","",I219)</f>
        <v/>
      </c>
      <c r="O240" s="21"/>
    </row>
    <row r="241" spans="1:15" s="26" customFormat="1" x14ac:dyDescent="0.25">
      <c r="A241" s="91" t="s">
        <v>77</v>
      </c>
      <c r="B241" s="475" t="s">
        <v>82</v>
      </c>
      <c r="C241" s="476"/>
      <c r="D241" s="476"/>
      <c r="E241" s="240"/>
      <c r="F241" s="241" t="str">
        <f>IF(OR(F220="",F221="",F222=""),"",IF(F220="Price to Wholesaler",F221,IF(F220="Reimbursement Price",(F243/(1+E242)*1),"Error")))</f>
        <v/>
      </c>
      <c r="G241" s="241" t="str">
        <f>IF(OR(G220="",G221="",F222=""),"",IF(G220="Price to Wholesaler",G221,IF(G220="Reimbursement Price",(G243/(1+E242)*1),"Error")))</f>
        <v/>
      </c>
      <c r="H241" s="241" t="str">
        <f>IF(OR(H220="",H221="",F222=""),"",IF(H220="Price to Wholesaler",H221,IF(H220="Reimbursement Price",(H243/(1+E242)*1),"Error")))</f>
        <v/>
      </c>
      <c r="I241" s="241" t="str">
        <f>IF(OR(I220="",I221="",F222=""),"",IF(I220="Price to Wholesaler",I221,IF(I220="Reimbursement Price",(I243/(1+E242)*1),"Error")))</f>
        <v/>
      </c>
      <c r="O241" s="21"/>
    </row>
    <row r="242" spans="1:15" s="26" customFormat="1" x14ac:dyDescent="0.25">
      <c r="A242" s="92" t="s">
        <v>78</v>
      </c>
      <c r="B242" s="477" t="s">
        <v>83</v>
      </c>
      <c r="C242" s="478"/>
      <c r="D242" s="478"/>
      <c r="E242" s="93" t="str">
        <f>IF(OR(F222=""),"",IF(AND(F222="CDS",F223="Yes"),CYF,IF(AND(F222="CDS",F223="No"),CNF,IF(F222="HT",CHT,IF(F222="Hosp",CHO,"Error")))))</f>
        <v/>
      </c>
      <c r="F242" s="242" t="str">
        <f>IF(OR(F222="",F221="",F220=""),"",F241*E242)</f>
        <v/>
      </c>
      <c r="G242" s="242" t="str">
        <f>IF(OR(F222="",G221="",G220=""),"",G241*E242)</f>
        <v/>
      </c>
      <c r="H242" s="242" t="str">
        <f>IF(OR(F222="",H221="",H220=""),"",H241*E242)</f>
        <v/>
      </c>
      <c r="I242" s="242" t="str">
        <f>IF(OR(F222="",I221="",I220=""),"",I241*E242)</f>
        <v/>
      </c>
      <c r="O242" s="21"/>
    </row>
    <row r="243" spans="1:15" s="26" customFormat="1" x14ac:dyDescent="0.25">
      <c r="A243" s="92" t="s">
        <v>79</v>
      </c>
      <c r="B243" s="477" t="str">
        <f>IF(F222="Hosp","Hospital Price", "Reimbursement Price")</f>
        <v>Reimbursement Price</v>
      </c>
      <c r="C243" s="478"/>
      <c r="D243" s="478"/>
      <c r="E243" s="243" t="str">
        <f>IF(F220="Price to Wholesaler","A+B","")</f>
        <v/>
      </c>
      <c r="F243" s="242" t="str">
        <f>IF(F220="Reimbursement Price",F221,IF(ISBLANK(E242),"",IF(F220="Price to Wholesaler",(F241+F242),IF(F220="","","Error"))))</f>
        <v/>
      </c>
      <c r="G243" s="242" t="str">
        <f>IF(G220="Reimbursement Price",G221,IF(ISBLANK(E242),"",IF(G220="Price to Wholesaler",(G241+G242),IF(G220="","","Error"))))</f>
        <v/>
      </c>
      <c r="H243" s="242" t="str">
        <f>IF(H220="Reimbursement Price",H221,IF(ISBLANK(E242),"",IF(H220="Price to Wholesaler",(H241+H242),IF(H220="","","Error"))))</f>
        <v/>
      </c>
      <c r="I243" s="242" t="str">
        <f>IF(I220="Reimbursement Price",I221,IF(ISBLANK(E242),"",IF(I220="Price to Wholesaler",(I241+I242),IF(I220="","","Error"))))</f>
        <v/>
      </c>
      <c r="O243" s="21"/>
    </row>
    <row r="244" spans="1:15" s="26" customFormat="1" x14ac:dyDescent="0.25">
      <c r="A244" s="92" t="s">
        <v>80</v>
      </c>
      <c r="B244" s="477" t="s">
        <v>214</v>
      </c>
      <c r="C244" s="478"/>
      <c r="D244" s="478"/>
      <c r="E244" s="268" t="str">
        <f>IF(OR(F225="",AND(F225="Yes",F226=""),AND(F225="No",F227="")),"",IF(AND(F225="No",F227="Patented Exclusive or Off Patent Exclusive and subject to clause 10 of Framework Agreement"),MR,IF(AND(F225="No",F227="Off Patent Non-Exclusive or Generic"),"None",IF(AND(F225="Yes",F226="Biosimilar"),"None",IF(AND(F225="Yes",F226="Patented or Off Patent Exclusive"),MR,IF(AND(F225="Yes",F226="Off Patent Non-Exclusive 12.5% Rebate incorporated into Price to Wholesaler"),"None",IF(AND(F225="Yes",F226="Off Patent Non-Exclusive 12.5% Rebate"),MRB,"Error")))))))</f>
        <v/>
      </c>
      <c r="F244" s="242" t="str">
        <f>IF(OR(F225="",AND(F225="Yes",F226=""),AND(F225="No",F227=""),F220="",ISBLANK(F221)),"",IF(E244="None",0,(E244*F241)))</f>
        <v/>
      </c>
      <c r="G244" s="242" t="str">
        <f>IF(OR(F225="",AND(F225="Yes",F226=""),AND(F225="No",F227=""),G220="",ISBLANK(G221)),"",IF(E244="None",0,(E244*G241)))</f>
        <v/>
      </c>
      <c r="H244" s="242" t="str">
        <f>IF(OR(F225="",AND(F225="Yes",F226=""),AND(F225="No",F227=""),H220="",ISBLANK(H221)),"",IF(E244="None",0,(E244*H241)))</f>
        <v/>
      </c>
      <c r="I244" s="242" t="str">
        <f>IF(OR(F225="",AND(F225="Yes",F226=""),AND(F225="No",F227=""),I220="",ISBLANK(I221)),"",IF(E244="None",0,(E244*I241)))</f>
        <v/>
      </c>
      <c r="O244" s="21"/>
    </row>
    <row r="245" spans="1:15" s="26" customFormat="1" ht="15.75" thickBot="1" x14ac:dyDescent="0.3">
      <c r="A245" s="159" t="s">
        <v>81</v>
      </c>
      <c r="B245" s="479" t="s">
        <v>94</v>
      </c>
      <c r="C245" s="480"/>
      <c r="D245" s="480"/>
      <c r="E245" s="160" t="str">
        <f>IF(F224="","",IF(F224="Yes",0,VT))</f>
        <v/>
      </c>
      <c r="F245" s="244" t="str">
        <f>IF(OR($B224="",F221="",ISBLANK(F221)),"",($E245*F243))</f>
        <v/>
      </c>
      <c r="G245" s="244" t="str">
        <f t="shared" ref="G245:I245" si="16">IF(OR($B224="",G221="",ISBLANK(G221)),"",($E245*G243))</f>
        <v/>
      </c>
      <c r="H245" s="244" t="str">
        <f t="shared" si="16"/>
        <v/>
      </c>
      <c r="I245" s="244" t="str">
        <f t="shared" si="16"/>
        <v/>
      </c>
      <c r="O245" s="21"/>
    </row>
    <row r="246" spans="1:15" s="26" customFormat="1" ht="15.75" thickBot="1" x14ac:dyDescent="0.3">
      <c r="A246" s="222" t="s">
        <v>127</v>
      </c>
      <c r="B246" s="481" t="s">
        <v>128</v>
      </c>
      <c r="C246" s="481"/>
      <c r="D246" s="481"/>
      <c r="E246" s="222"/>
      <c r="F246" s="245" t="str">
        <f>IF(OR(F220="",$F222="",$F224="",$F225=""),"",SUM(F243:F245))</f>
        <v/>
      </c>
      <c r="G246" s="245" t="str">
        <f t="shared" ref="G246" si="17">IF(OR(G220="",$F222="",$F224="",$F225=""),"",SUM(G243:G245))</f>
        <v/>
      </c>
      <c r="H246" s="245" t="str">
        <f t="shared" ref="H246" si="18">IF(OR(H220="",$F222="",$F224="",$F225=""),"",SUM(H243:H245))</f>
        <v/>
      </c>
      <c r="I246" s="245" t="str">
        <f t="shared" ref="I246" si="19">IF(OR(I220="",$F222="",$F224="",$F225=""),"",SUM(I243:I245))</f>
        <v/>
      </c>
      <c r="O246" s="21"/>
    </row>
    <row r="247" spans="1:15" s="26" customFormat="1" ht="15.75" thickBot="1" x14ac:dyDescent="0.3">
      <c r="A247" s="222" t="s">
        <v>129</v>
      </c>
      <c r="B247" s="482" t="s">
        <v>130</v>
      </c>
      <c r="C247" s="482"/>
      <c r="D247" s="482"/>
      <c r="E247" s="245"/>
      <c r="F247" s="245" t="str">
        <f>IF(OR(F220="",$F222="",$F224="",$F225=""),"",SUM(F243:F244))</f>
        <v/>
      </c>
      <c r="G247" s="245" t="str">
        <f t="shared" ref="G247:I247" si="20">IF(OR(G220="",$F222="",$F224="",$F225=""),"",SUM(G243:G244))</f>
        <v/>
      </c>
      <c r="H247" s="245" t="str">
        <f t="shared" si="20"/>
        <v/>
      </c>
      <c r="I247" s="245" t="str">
        <f t="shared" si="20"/>
        <v/>
      </c>
      <c r="O247" s="21"/>
    </row>
    <row r="248" spans="1:15" s="26" customFormat="1" x14ac:dyDescent="0.25">
      <c r="B248" s="66"/>
      <c r="C248" s="66"/>
      <c r="D248" s="66"/>
      <c r="E248" s="66"/>
      <c r="K248" s="26" t="s">
        <v>131</v>
      </c>
      <c r="O248" s="21"/>
    </row>
    <row r="249" spans="1:15" s="26" customFormat="1" x14ac:dyDescent="0.25">
      <c r="A249" s="155" t="s">
        <v>132</v>
      </c>
      <c r="B249" s="66"/>
      <c r="C249" s="66"/>
      <c r="D249" s="66"/>
      <c r="E249" s="66"/>
      <c r="F249" s="246"/>
      <c r="G249" s="246"/>
      <c r="H249" s="246"/>
      <c r="I249" s="246"/>
      <c r="O249" s="21"/>
    </row>
    <row r="250" spans="1:15" s="26" customFormat="1" x14ac:dyDescent="0.25">
      <c r="A250" s="125"/>
      <c r="B250" s="125" t="s">
        <v>133</v>
      </c>
      <c r="C250" s="125"/>
      <c r="D250" s="125"/>
      <c r="E250" s="125"/>
      <c r="F250" s="125"/>
      <c r="G250" s="125"/>
      <c r="H250" s="125"/>
      <c r="O250" s="21"/>
    </row>
    <row r="251" spans="1:15" s="26" customFormat="1" x14ac:dyDescent="0.25">
      <c r="B251" s="21" t="s">
        <v>134</v>
      </c>
      <c r="C251" s="229"/>
      <c r="D251" s="229"/>
      <c r="E251" s="66"/>
      <c r="O251" s="21"/>
    </row>
    <row r="252" spans="1:15" s="26" customFormat="1" ht="15.75" thickBot="1" x14ac:dyDescent="0.3">
      <c r="B252" s="165"/>
      <c r="C252" s="229"/>
      <c r="D252" s="229"/>
      <c r="E252" s="66"/>
      <c r="O252" s="21"/>
    </row>
    <row r="253" spans="1:15" s="26" customFormat="1" ht="15.75" thickBot="1" x14ac:dyDescent="0.3">
      <c r="B253" s="230"/>
      <c r="C253" s="66"/>
      <c r="D253" s="66"/>
      <c r="E253" s="66"/>
      <c r="G253" s="13" t="s">
        <v>135</v>
      </c>
      <c r="H253" s="13" t="s">
        <v>136</v>
      </c>
      <c r="O253" s="21"/>
    </row>
    <row r="254" spans="1:15" s="26" customFormat="1" x14ac:dyDescent="0.25">
      <c r="B254" s="483" t="s">
        <v>137</v>
      </c>
      <c r="C254" s="484"/>
      <c r="D254" s="484"/>
      <c r="E254" s="484"/>
      <c r="F254" s="485"/>
      <c r="G254" s="247" t="str">
        <f>IF(F222="","",IF(F222="CDS","per dispensing",IF(F222="HT","per month",IF(F222="Hosp","No Fee", ERROR))))</f>
        <v/>
      </c>
      <c r="H254" s="248" t="str">
        <f>IF(F222="","",IF(F222="CDS",DF,IF(F222="HT",PC,IF(F222="Hosp","No Fee",ERROR))))</f>
        <v/>
      </c>
      <c r="I254" s="26" t="s">
        <v>138</v>
      </c>
      <c r="O254" s="21"/>
    </row>
    <row r="255" spans="1:15" s="26" customFormat="1" ht="15.75" thickBot="1" x14ac:dyDescent="0.3">
      <c r="B255" s="486" t="s">
        <v>92</v>
      </c>
      <c r="C255" s="487"/>
      <c r="D255" s="487"/>
      <c r="E255" s="487"/>
      <c r="F255" s="488"/>
      <c r="G255" s="249" t="str">
        <f>IF(OR(F222="",F224=""),"",IF(F222="Hosp","No Fee",IF(F222="HT","No VAT",IF(AND(F222="CDS",F224="No"),VT,"No VAT"))))</f>
        <v/>
      </c>
      <c r="H255" s="250" t="str">
        <f>IF(OR(F224="",F222="Hosp"),"",IF(OR(F224="Yes",F222="HT"),0,H254*G255))</f>
        <v/>
      </c>
      <c r="O255" s="21"/>
    </row>
    <row r="256" spans="1:15" s="26" customFormat="1" x14ac:dyDescent="0.25">
      <c r="B256" s="230"/>
      <c r="C256" s="66"/>
      <c r="D256" s="66"/>
      <c r="E256" s="66"/>
      <c r="O256" s="21"/>
    </row>
    <row r="257" spans="1:20" s="26" customFormat="1" x14ac:dyDescent="0.25">
      <c r="B257" s="230"/>
      <c r="C257" s="66"/>
      <c r="D257" s="66"/>
      <c r="E257" s="66"/>
      <c r="O257" s="21"/>
    </row>
    <row r="258" spans="1:20" s="26" customFormat="1" ht="33.950000000000003" customHeight="1" thickBot="1" x14ac:dyDescent="0.3">
      <c r="A258" s="165" t="s">
        <v>193</v>
      </c>
      <c r="B258" s="230"/>
      <c r="C258" s="66"/>
      <c r="D258" s="66"/>
      <c r="E258" s="66"/>
      <c r="K258" s="408" t="s">
        <v>197</v>
      </c>
      <c r="L258" s="408"/>
      <c r="M258" s="408"/>
      <c r="N258" s="408"/>
      <c r="O258" s="408"/>
      <c r="P258" s="195"/>
      <c r="Q258" s="195"/>
      <c r="R258" s="195"/>
      <c r="S258" s="195"/>
      <c r="T258" s="195"/>
    </row>
    <row r="259" spans="1:20" s="26" customFormat="1" ht="17.100000000000001" customHeight="1" thickBot="1" x14ac:dyDescent="0.3">
      <c r="A259" s="14" t="s">
        <v>194</v>
      </c>
      <c r="B259" s="230"/>
      <c r="C259" s="66"/>
      <c r="D259" s="66"/>
      <c r="E259" s="66"/>
      <c r="G259" s="13" t="s">
        <v>101</v>
      </c>
      <c r="H259" s="13" t="s">
        <v>136</v>
      </c>
      <c r="K259" s="408" t="str">
        <f>IF(F222="HT","For High tech, if a treatment cycle =28 days the corresponding pharmacy fee is =62.03*12/365.25*28.  The pharmacy fee remains the same regardless of the number of products dispensed that month.",IF(F222="CDS","For CDS, if 2 packets of the same pack presentation are required per treatment cycle, one dispensing fee applies (€5.48). If multiple pack presentations are required, multiple dispensing fees apply",""))</f>
        <v/>
      </c>
      <c r="L259" s="408"/>
      <c r="M259" s="408"/>
      <c r="N259" s="408"/>
      <c r="O259" s="408"/>
      <c r="P259" s="195"/>
      <c r="Q259" s="195"/>
      <c r="R259" s="195"/>
      <c r="S259" s="195"/>
      <c r="T259" s="195"/>
    </row>
    <row r="260" spans="1:20" s="26" customFormat="1" ht="16.5" customHeight="1" x14ac:dyDescent="0.25">
      <c r="A260" s="170" t="s">
        <v>139</v>
      </c>
      <c r="B260" s="504" t="s">
        <v>140</v>
      </c>
      <c r="C260" s="504"/>
      <c r="D260" s="504"/>
      <c r="E260" s="504"/>
      <c r="F260" s="504"/>
      <c r="G260" s="251"/>
      <c r="H260" s="252"/>
      <c r="K260" s="408"/>
      <c r="L260" s="408"/>
      <c r="M260" s="408"/>
      <c r="N260" s="408"/>
      <c r="O260" s="408"/>
      <c r="P260" s="195"/>
      <c r="Q260" s="195"/>
      <c r="R260" s="195"/>
      <c r="S260" s="195"/>
      <c r="T260" s="195"/>
    </row>
    <row r="261" spans="1:20" s="26" customFormat="1" x14ac:dyDescent="0.25">
      <c r="A261" s="173" t="s">
        <v>141</v>
      </c>
      <c r="B261" s="505" t="s">
        <v>142</v>
      </c>
      <c r="C261" s="505"/>
      <c r="D261" s="505"/>
      <c r="E261" s="505"/>
      <c r="F261" s="505"/>
      <c r="G261" s="253"/>
      <c r="H261" s="254"/>
      <c r="K261" s="14" t="s">
        <v>188</v>
      </c>
      <c r="O261" s="21"/>
    </row>
    <row r="262" spans="1:20" s="26" customFormat="1" x14ac:dyDescent="0.25">
      <c r="A262" s="173" t="s">
        <v>143</v>
      </c>
      <c r="B262" s="505" t="s">
        <v>144</v>
      </c>
      <c r="C262" s="505"/>
      <c r="D262" s="505"/>
      <c r="E262" s="505"/>
      <c r="F262" s="505"/>
      <c r="G262" s="253"/>
      <c r="H262" s="254"/>
      <c r="K262" s="14" t="s">
        <v>189</v>
      </c>
      <c r="O262" s="21"/>
    </row>
    <row r="263" spans="1:20" s="26" customFormat="1" x14ac:dyDescent="0.25">
      <c r="A263" s="173" t="s">
        <v>145</v>
      </c>
      <c r="B263" s="505" t="s">
        <v>146</v>
      </c>
      <c r="C263" s="505"/>
      <c r="D263" s="505"/>
      <c r="E263" s="505"/>
      <c r="F263" s="505"/>
      <c r="G263" s="255"/>
      <c r="H263" s="256" t="str">
        <f>IF(ISBLANK(H260),"",SUM(H260:H262))</f>
        <v/>
      </c>
      <c r="O263" s="21"/>
    </row>
    <row r="264" spans="1:20" s="26" customFormat="1" ht="15.75" thickBot="1" x14ac:dyDescent="0.3">
      <c r="A264" s="178" t="s">
        <v>147</v>
      </c>
      <c r="B264" s="515" t="s">
        <v>196</v>
      </c>
      <c r="C264" s="515"/>
      <c r="D264" s="515"/>
      <c r="E264" s="515"/>
      <c r="F264" s="515"/>
      <c r="G264" s="257"/>
      <c r="H264" s="250" t="str">
        <f>IF(ISBLANK(H260),"",SUM(H260:H261))</f>
        <v/>
      </c>
      <c r="O264" s="21"/>
    </row>
    <row r="265" spans="1:20" s="26" customFormat="1" x14ac:dyDescent="0.25">
      <c r="B265" s="66"/>
      <c r="C265" s="66"/>
      <c r="D265" s="66"/>
      <c r="E265" s="66"/>
      <c r="O265" s="21"/>
    </row>
    <row r="266" spans="1:20" s="26" customFormat="1" x14ac:dyDescent="0.25">
      <c r="B266" s="66"/>
      <c r="C266" s="66"/>
      <c r="D266" s="66"/>
      <c r="E266" s="66"/>
      <c r="O266" s="21"/>
    </row>
    <row r="267" spans="1:20" s="26" customFormat="1" x14ac:dyDescent="0.25">
      <c r="A267" s="155" t="s">
        <v>148</v>
      </c>
      <c r="B267" s="66"/>
      <c r="C267" s="66"/>
      <c r="D267" s="66"/>
      <c r="E267" s="66"/>
      <c r="O267" s="21"/>
    </row>
    <row r="268" spans="1:20" s="26" customFormat="1" ht="15.75" thickBot="1" x14ac:dyDescent="0.3">
      <c r="B268" s="66"/>
      <c r="C268" s="66"/>
      <c r="D268" s="66"/>
      <c r="E268" s="66"/>
      <c r="O268" s="21"/>
    </row>
    <row r="269" spans="1:20" s="26" customFormat="1" ht="29.1" customHeight="1" x14ac:dyDescent="0.25">
      <c r="A269" s="65"/>
      <c r="B269" s="228"/>
      <c r="C269" s="228"/>
      <c r="D269" s="228"/>
      <c r="E269" s="228"/>
      <c r="F269" s="506" t="s">
        <v>149</v>
      </c>
      <c r="G269" s="180" t="s">
        <v>150</v>
      </c>
      <c r="H269" s="508" t="s">
        <v>151</v>
      </c>
      <c r="I269" s="180" t="s">
        <v>152</v>
      </c>
      <c r="J269" s="66"/>
      <c r="K269" s="408" t="s">
        <v>269</v>
      </c>
      <c r="L269" s="408"/>
      <c r="M269" s="408"/>
      <c r="N269" s="408"/>
      <c r="O269" s="408"/>
    </row>
    <row r="270" spans="1:20" s="26" customFormat="1" x14ac:dyDescent="0.25">
      <c r="A270" s="65"/>
      <c r="B270" s="228"/>
      <c r="C270" s="228"/>
      <c r="D270" s="228"/>
      <c r="E270" s="228"/>
      <c r="F270" s="507"/>
      <c r="G270" s="253"/>
      <c r="H270" s="509"/>
      <c r="I270" s="182"/>
      <c r="J270" s="66"/>
      <c r="K270" s="408"/>
      <c r="L270" s="408"/>
      <c r="M270" s="408"/>
      <c r="N270" s="408"/>
      <c r="O270" s="408"/>
    </row>
    <row r="271" spans="1:20" s="26" customFormat="1" ht="15.75" thickBot="1" x14ac:dyDescent="0.3">
      <c r="A271" s="65"/>
      <c r="B271" s="228"/>
      <c r="C271" s="228"/>
      <c r="D271" s="228"/>
      <c r="E271" s="228"/>
      <c r="F271" s="507"/>
      <c r="G271" s="183" t="s">
        <v>153</v>
      </c>
      <c r="H271" s="510"/>
      <c r="I271" s="184"/>
      <c r="J271" s="66"/>
      <c r="K271" s="408"/>
      <c r="L271" s="408"/>
      <c r="M271" s="408"/>
      <c r="N271" s="408"/>
      <c r="O271" s="408"/>
    </row>
    <row r="272" spans="1:20" s="26" customFormat="1" x14ac:dyDescent="0.25">
      <c r="A272" s="247" t="s">
        <v>77</v>
      </c>
      <c r="B272" s="463" t="str">
        <f>B241</f>
        <v>Price to Wholesaler</v>
      </c>
      <c r="C272" s="463"/>
      <c r="D272" s="463"/>
      <c r="E272" s="463"/>
      <c r="F272" s="256">
        <f>SUMPRODUCT(F241:I241,F233:I233)</f>
        <v>0</v>
      </c>
      <c r="G272" s="256">
        <f>F272*G270</f>
        <v>0</v>
      </c>
      <c r="H272" s="256" t="str">
        <f>IF(H231="Days",F272/F231*365.25,IF(H231="Months",F272/F231*12,""))</f>
        <v/>
      </c>
      <c r="I272" s="256" t="str">
        <f>IF(AND(H231="Days",I271="Days"),F272/F231*I270,IF(AND(H231="Months",I271="Months"),F272/F231*I270,IF(AND(H231="Days",I271="Months"),F272/F231*30.4375*I270,IF(AND(H231="Months",I271="Days"),F272/F231/30.4375*I270,""))))</f>
        <v/>
      </c>
      <c r="O272" s="21"/>
    </row>
    <row r="273" spans="1:19" s="26" customFormat="1" x14ac:dyDescent="0.25">
      <c r="A273" s="255" t="s">
        <v>78</v>
      </c>
      <c r="B273" s="464" t="str">
        <f>B242</f>
        <v>Wholesale Mark-up</v>
      </c>
      <c r="C273" s="464"/>
      <c r="D273" s="464"/>
      <c r="E273" s="464"/>
      <c r="F273" s="256">
        <f>SUMPRODUCT(F242:I242,F233:I233)</f>
        <v>0</v>
      </c>
      <c r="G273" s="256">
        <f>F273*G270</f>
        <v>0</v>
      </c>
      <c r="H273" s="256" t="str">
        <f>IF(H231="Days",F273/F231*365.25,IF(H231="Months",F273/F231*12,""))</f>
        <v/>
      </c>
      <c r="I273" s="256" t="str">
        <f>IF(AND(H231="Days",I271="Days"),F273/F231*I270,IF(AND(H231="Months",I271="Months"),F273/F231*I270,IF(AND(H231="Days",I271="Months"),F273/F231*30.4375*I270,IF(AND(H231="Months",I271="Days"),F273/F231/30.4375*I270,""))))</f>
        <v/>
      </c>
      <c r="O273" s="21"/>
    </row>
    <row r="274" spans="1:19" s="26" customFormat="1" x14ac:dyDescent="0.25">
      <c r="A274" s="255" t="s">
        <v>79</v>
      </c>
      <c r="B274" s="231" t="str">
        <f>B243</f>
        <v>Reimbursement Price</v>
      </c>
      <c r="C274" s="232"/>
      <c r="D274" s="233"/>
      <c r="E274" s="258"/>
      <c r="F274" s="256">
        <f>SUMPRODUCT(F243:I243,F233:I233)</f>
        <v>0</v>
      </c>
      <c r="G274" s="256">
        <f>F274*G270</f>
        <v>0</v>
      </c>
      <c r="H274" s="256" t="str">
        <f>IF(H231="Days",F274/F231*365.25,IF(H231="Months",F274/F231*12,""))</f>
        <v/>
      </c>
      <c r="I274" s="256" t="str">
        <f>IF(AND(H231="Days",I271="Days"),F274/F231*I270,IF(AND(H231="Months",I271="Months"),F274/F231*I270,IF(AND(H231="Days",I271="Months"),F274/F231*30.4375*I270,IF(AND(H231="Months",I271="Days"),F274/F231/30.4375*I270,""))))</f>
        <v/>
      </c>
      <c r="O274" s="21"/>
    </row>
    <row r="275" spans="1:19" s="26" customFormat="1" x14ac:dyDescent="0.25">
      <c r="A275" s="255" t="s">
        <v>80</v>
      </c>
      <c r="B275" s="495" t="str">
        <f>B244</f>
        <v>Framework Agreement Rebate</v>
      </c>
      <c r="C275" s="496"/>
      <c r="D275" s="496"/>
      <c r="E275" s="497"/>
      <c r="F275" s="256">
        <f>SUMPRODUCT(F244:I244,F233:I233)</f>
        <v>0</v>
      </c>
      <c r="G275" s="256">
        <f>F275*G270</f>
        <v>0</v>
      </c>
      <c r="H275" s="256" t="str">
        <f>IF(H231="Days",F275/F231*365.25,IF(H231="Months",F275/F231*12,""))</f>
        <v/>
      </c>
      <c r="I275" s="256" t="str">
        <f>IF(AND(H231="Days",I271="Days"),F275/F231*I270,IF(AND(H231="Months",I271="Months"),F275/F231*I270,IF(AND(H231="Days",I271="Months"),F275/F231*30.4375*I270,IF(AND(H231="Months",I271="Days"),F275/F231/30.4375*I270,""))))</f>
        <v/>
      </c>
      <c r="O275" s="21"/>
    </row>
    <row r="276" spans="1:19" s="26" customFormat="1" x14ac:dyDescent="0.25">
      <c r="A276" s="255" t="s">
        <v>81</v>
      </c>
      <c r="B276" s="495" t="str">
        <f>B245</f>
        <v xml:space="preserve">VAT on Drug Cost </v>
      </c>
      <c r="C276" s="496"/>
      <c r="D276" s="496"/>
      <c r="E276" s="497"/>
      <c r="F276" s="256">
        <f>SUMPRODUCT(F245:I245,F233:I233)</f>
        <v>0</v>
      </c>
      <c r="G276" s="256">
        <f>F276*G270</f>
        <v>0</v>
      </c>
      <c r="H276" s="256" t="str">
        <f>IF(H231="Days",F276/F231*365.25,IF(H231="Months",F276/F231*12,""))</f>
        <v/>
      </c>
      <c r="I276" s="256" t="str">
        <f>IF(AND(H231="Days",I271="Days"),F276/F231*I270,IF(AND(H231="Months",I271="Months"),F276/F231*I270,IF(AND(H231="Days",I271="Months"),F276/F231*30.4375*I270,IF(AND(H231="Months",I271="Days"),F276/F231/30.4375*I270,""))))</f>
        <v/>
      </c>
      <c r="O276" s="21"/>
    </row>
    <row r="277" spans="1:19" s="26" customFormat="1" x14ac:dyDescent="0.25">
      <c r="A277" s="255" t="s">
        <v>154</v>
      </c>
      <c r="B277" s="495" t="s">
        <v>155</v>
      </c>
      <c r="C277" s="496"/>
      <c r="D277" s="496"/>
      <c r="E277" s="497"/>
      <c r="F277" s="256" t="str">
        <f>IF(H263="","",H263)</f>
        <v/>
      </c>
      <c r="G277" s="256" t="str">
        <f>IF(F277="","",F277*G270)</f>
        <v/>
      </c>
      <c r="H277" s="256" t="str">
        <f>IF(F277="","",IF(H231="Days",F277/F231*365.25,IF(H231="Months",F277/F231*12,"")))</f>
        <v/>
      </c>
      <c r="I277" s="256" t="str">
        <f>IF(F277="","",IF(AND(H231="Days",I271="Days"),F277/F231*I270,IF(AND(H231="Months",I271="Months"),F277/F231*I270,IF(AND(H231="Days",I271="Months"),F277/F231*30.4375*I270,IF(AND(H231="Months",I271="Days"),F277/F231/30.4375*I270,"")))))</f>
        <v/>
      </c>
      <c r="O277" s="21"/>
    </row>
    <row r="278" spans="1:19" s="26" customFormat="1" x14ac:dyDescent="0.25">
      <c r="A278" s="255" t="s">
        <v>156</v>
      </c>
      <c r="B278" s="495" t="s">
        <v>157</v>
      </c>
      <c r="C278" s="496"/>
      <c r="D278" s="496"/>
      <c r="E278" s="497"/>
      <c r="F278" s="256" t="str">
        <f>IF(H264="","",H264)</f>
        <v/>
      </c>
      <c r="G278" s="256" t="str">
        <f>IF(F278="","",F278*G270)</f>
        <v/>
      </c>
      <c r="H278" s="256" t="str">
        <f>IF(F278="","",IF(H231="Days",F278/F231*365.25,IF(H231="Months",F278/F231*12,"")))</f>
        <v/>
      </c>
      <c r="I278" s="256" t="str">
        <f>IF(F278="","",IF(AND(H231="Days",I271="Days"),F278/F231*I270,IF(AND(H231="Months",I271="Months"),F278/F231*I270,IF(AND(H231="Days",I271="Months"),F278/F231*30.4375*I270,IF(AND(H231="Months",I271="Days"),F278/F231/30.4375*I270,"")))))</f>
        <v/>
      </c>
      <c r="O278" s="21"/>
    </row>
    <row r="279" spans="1:19" s="155" customFormat="1" x14ac:dyDescent="0.25">
      <c r="A279" s="186" t="s">
        <v>158</v>
      </c>
      <c r="B279" s="498" t="s">
        <v>159</v>
      </c>
      <c r="C279" s="499"/>
      <c r="D279" s="499"/>
      <c r="E279" s="500"/>
      <c r="F279" s="187">
        <f>SUM(F274:F277)</f>
        <v>0</v>
      </c>
      <c r="G279" s="187">
        <f t="shared" ref="G279:I279" si="21">SUM(G274:G277)</f>
        <v>0</v>
      </c>
      <c r="H279" s="187">
        <f t="shared" si="21"/>
        <v>0</v>
      </c>
      <c r="I279" s="187">
        <f t="shared" si="21"/>
        <v>0</v>
      </c>
      <c r="K279" s="98" t="s">
        <v>191</v>
      </c>
      <c r="O279" s="189"/>
    </row>
    <row r="280" spans="1:19" s="26" customFormat="1" ht="15.75" thickBot="1" x14ac:dyDescent="0.3">
      <c r="A280" s="257" t="s">
        <v>160</v>
      </c>
      <c r="B280" s="501" t="s">
        <v>161</v>
      </c>
      <c r="C280" s="502"/>
      <c r="D280" s="502"/>
      <c r="E280" s="503"/>
      <c r="F280" s="250">
        <f>IF(F278="",SUM(F274+F275),F274+F275+F278)</f>
        <v>0</v>
      </c>
      <c r="G280" s="250">
        <f t="shared" ref="G280" si="22">IF(G278="",SUM(G274+G275),G274+G275+G278)</f>
        <v>0</v>
      </c>
      <c r="H280" s="250" t="e">
        <f>IF(H278="",SUM(H274+H275),H274+H275+H278)</f>
        <v>#VALUE!</v>
      </c>
      <c r="I280" s="250" t="e">
        <f t="shared" ref="I280" si="23">IF(I278="",SUM(I274+I275),I274+I275+I278)</f>
        <v>#VALUE!</v>
      </c>
      <c r="K280" s="14" t="s">
        <v>192</v>
      </c>
      <c r="O280" s="21"/>
    </row>
    <row r="281" spans="1:19" s="26" customFormat="1" x14ac:dyDescent="0.25">
      <c r="B281" s="229"/>
      <c r="C281" s="66"/>
      <c r="D281" s="66"/>
      <c r="E281" s="66"/>
      <c r="O281" s="21"/>
    </row>
    <row r="282" spans="1:19" s="26" customFormat="1" x14ac:dyDescent="0.25"/>
    <row r="283" spans="1:19" s="26" customFormat="1" x14ac:dyDescent="0.25">
      <c r="B283" s="224" t="s">
        <v>101</v>
      </c>
      <c r="C283" s="224"/>
      <c r="D283" s="224"/>
      <c r="E283" s="224"/>
    </row>
    <row r="284" spans="1:19" s="26" customFormat="1" ht="15.75" customHeight="1" x14ac:dyDescent="0.25"/>
    <row r="285" spans="1:19" s="26" customFormat="1" x14ac:dyDescent="0.25">
      <c r="B285" s="234"/>
      <c r="C285" s="234"/>
      <c r="D285" s="234"/>
      <c r="E285" s="234"/>
      <c r="F285" s="234"/>
      <c r="G285" s="234"/>
      <c r="H285" s="234"/>
      <c r="I285" s="234"/>
      <c r="J285" s="234"/>
      <c r="K285" s="234"/>
      <c r="L285" s="234"/>
      <c r="M285" s="234"/>
      <c r="N285" s="234"/>
      <c r="O285" s="234"/>
      <c r="P285" s="234"/>
      <c r="Q285" s="234"/>
      <c r="R285" s="234"/>
      <c r="S285" s="234"/>
    </row>
    <row r="286" spans="1:19" s="26" customFormat="1" x14ac:dyDescent="0.25">
      <c r="B286" s="234"/>
      <c r="C286" s="234"/>
      <c r="D286" s="234"/>
      <c r="E286" s="234"/>
      <c r="F286" s="234"/>
      <c r="G286" s="234"/>
      <c r="H286" s="234"/>
      <c r="I286" s="234"/>
      <c r="J286" s="234"/>
      <c r="K286" s="234"/>
      <c r="L286" s="234"/>
      <c r="M286" s="234"/>
      <c r="N286" s="234"/>
      <c r="O286" s="234"/>
      <c r="P286" s="234"/>
      <c r="Q286" s="234"/>
      <c r="R286" s="234"/>
      <c r="S286" s="234"/>
    </row>
    <row r="287" spans="1:19" s="26" customFormat="1" x14ac:dyDescent="0.25">
      <c r="B287" s="234"/>
      <c r="C287" s="234"/>
      <c r="D287" s="234"/>
      <c r="E287" s="234"/>
      <c r="F287" s="234"/>
      <c r="G287" s="234"/>
      <c r="H287" s="234"/>
      <c r="I287" s="234"/>
      <c r="J287" s="234"/>
      <c r="K287" s="234"/>
      <c r="L287" s="234"/>
      <c r="M287" s="234"/>
      <c r="N287" s="234"/>
      <c r="O287" s="234"/>
      <c r="P287" s="234"/>
      <c r="Q287" s="234"/>
      <c r="R287" s="234"/>
      <c r="S287" s="234"/>
    </row>
    <row r="288" spans="1:19" s="26" customFormat="1" x14ac:dyDescent="0.25">
      <c r="B288" s="234"/>
      <c r="C288" s="234"/>
      <c r="D288" s="234"/>
      <c r="E288" s="234"/>
      <c r="F288" s="234"/>
      <c r="G288" s="234"/>
      <c r="H288" s="234"/>
      <c r="I288" s="234"/>
      <c r="J288" s="234"/>
      <c r="K288" s="234"/>
      <c r="L288" s="234"/>
      <c r="M288" s="234"/>
      <c r="N288" s="234"/>
      <c r="O288" s="234"/>
      <c r="P288" s="234"/>
      <c r="Q288" s="234"/>
      <c r="R288" s="234"/>
      <c r="S288" s="234"/>
    </row>
    <row r="289" spans="2:22" s="26" customFormat="1" x14ac:dyDescent="0.25">
      <c r="B289" s="234"/>
      <c r="C289" s="234"/>
      <c r="D289" s="234"/>
      <c r="E289" s="234"/>
      <c r="F289" s="234"/>
      <c r="G289" s="234"/>
      <c r="H289" s="234"/>
      <c r="I289" s="234"/>
      <c r="J289" s="234"/>
      <c r="K289" s="234"/>
      <c r="L289" s="234"/>
      <c r="M289" s="234"/>
      <c r="N289" s="234"/>
      <c r="O289" s="234"/>
      <c r="P289" s="234"/>
      <c r="Q289" s="234"/>
      <c r="R289" s="234"/>
      <c r="S289" s="234"/>
    </row>
    <row r="290" spans="2:22" s="26" customFormat="1" x14ac:dyDescent="0.25">
      <c r="B290" s="234"/>
      <c r="C290" s="234"/>
      <c r="D290" s="234"/>
      <c r="E290" s="234"/>
      <c r="F290" s="234"/>
      <c r="G290" s="234"/>
      <c r="H290" s="234"/>
      <c r="I290" s="234"/>
      <c r="J290" s="234"/>
      <c r="K290" s="234"/>
      <c r="L290" s="234"/>
      <c r="M290" s="234"/>
      <c r="N290" s="234"/>
      <c r="O290" s="234"/>
      <c r="P290" s="234"/>
      <c r="Q290" s="234"/>
      <c r="R290" s="234"/>
      <c r="S290" s="234"/>
    </row>
    <row r="291" spans="2:22" s="26" customFormat="1" x14ac:dyDescent="0.25">
      <c r="B291" s="234"/>
      <c r="C291" s="234"/>
      <c r="D291" s="234"/>
      <c r="E291" s="234"/>
      <c r="F291" s="234"/>
      <c r="G291" s="234"/>
      <c r="H291" s="234"/>
      <c r="I291" s="234"/>
      <c r="J291" s="234"/>
      <c r="K291" s="234"/>
      <c r="L291" s="234"/>
      <c r="M291" s="234"/>
      <c r="N291" s="234"/>
      <c r="O291" s="234"/>
      <c r="P291" s="234"/>
      <c r="Q291" s="234"/>
      <c r="R291" s="234"/>
      <c r="S291" s="234"/>
    </row>
    <row r="292" spans="2:22" s="26" customFormat="1" x14ac:dyDescent="0.25">
      <c r="B292" s="234"/>
      <c r="C292" s="234"/>
      <c r="D292" s="234"/>
      <c r="E292" s="234"/>
      <c r="F292" s="234"/>
      <c r="G292" s="234"/>
      <c r="H292" s="234"/>
      <c r="I292" s="234"/>
      <c r="J292" s="234"/>
      <c r="K292" s="234"/>
      <c r="L292" s="234"/>
      <c r="M292" s="234"/>
      <c r="N292" s="234"/>
      <c r="O292" s="234"/>
      <c r="P292" s="234"/>
      <c r="Q292" s="234"/>
      <c r="R292" s="234"/>
      <c r="S292" s="234"/>
    </row>
    <row r="293" spans="2:22" s="26" customFormat="1" x14ac:dyDescent="0.25">
      <c r="B293" s="234"/>
      <c r="C293" s="234"/>
      <c r="D293" s="234"/>
      <c r="E293" s="234"/>
      <c r="F293" s="234"/>
      <c r="G293" s="234"/>
      <c r="H293" s="234"/>
      <c r="I293" s="234"/>
      <c r="J293" s="234"/>
      <c r="K293" s="234"/>
      <c r="L293" s="234"/>
      <c r="M293" s="234"/>
      <c r="N293" s="234"/>
      <c r="O293" s="234"/>
      <c r="P293" s="234"/>
      <c r="Q293" s="234"/>
      <c r="R293" s="234"/>
      <c r="S293" s="234"/>
    </row>
    <row r="294" spans="2:22" s="26" customFormat="1" x14ac:dyDescent="0.25">
      <c r="B294" s="234"/>
      <c r="C294" s="234"/>
      <c r="D294" s="234"/>
      <c r="E294" s="234"/>
      <c r="F294" s="234"/>
      <c r="G294" s="234"/>
      <c r="H294" s="234"/>
      <c r="I294" s="234"/>
      <c r="J294" s="234"/>
      <c r="K294" s="234"/>
      <c r="L294" s="234"/>
      <c r="M294" s="234"/>
      <c r="N294" s="234"/>
      <c r="O294" s="234"/>
      <c r="P294" s="234"/>
      <c r="Q294" s="234"/>
      <c r="R294" s="234"/>
      <c r="S294" s="234"/>
    </row>
    <row r="295" spans="2:22" s="26" customFormat="1" x14ac:dyDescent="0.25"/>
    <row r="296" spans="2:22" s="26" customFormat="1" x14ac:dyDescent="0.25"/>
    <row r="297" spans="2:22" s="26" customFormat="1" x14ac:dyDescent="0.25"/>
    <row r="298" spans="2:22" s="26" customFormat="1" ht="15.75" thickBot="1" x14ac:dyDescent="0.3"/>
    <row r="299" spans="2:22" s="26" customFormat="1" ht="15.75" thickBot="1" x14ac:dyDescent="0.3">
      <c r="B299" s="410" t="str">
        <f>CONCATENATE("Comparator 3: ",NameComparator3)</f>
        <v xml:space="preserve">Comparator 3: </v>
      </c>
      <c r="C299" s="411"/>
      <c r="D299" s="411"/>
      <c r="E299" s="411"/>
      <c r="F299" s="411"/>
      <c r="G299" s="412"/>
    </row>
    <row r="300" spans="2:22" s="26" customFormat="1" x14ac:dyDescent="0.25">
      <c r="B300" s="227"/>
      <c r="C300" s="227"/>
      <c r="D300" s="227"/>
      <c r="F300" s="228"/>
      <c r="G300" s="228"/>
      <c r="H300" s="228"/>
      <c r="I300" s="228"/>
      <c r="J300" s="228"/>
    </row>
    <row r="301" spans="2:22" s="26" customFormat="1" x14ac:dyDescent="0.25"/>
    <row r="302" spans="2:22" s="26" customFormat="1" ht="28.5" customHeight="1" thickBot="1" x14ac:dyDescent="0.3">
      <c r="B302" s="334" t="s">
        <v>118</v>
      </c>
      <c r="C302" s="334"/>
      <c r="D302" s="334"/>
      <c r="E302" s="334"/>
      <c r="K302" s="408" t="s">
        <v>209</v>
      </c>
      <c r="L302" s="408"/>
      <c r="M302" s="408"/>
      <c r="N302" s="408"/>
      <c r="O302" s="408"/>
      <c r="P302" s="225"/>
      <c r="Q302" s="225"/>
      <c r="R302" s="225"/>
      <c r="S302" s="225"/>
      <c r="T302" s="225"/>
      <c r="U302" s="225"/>
      <c r="V302" s="225"/>
    </row>
    <row r="303" spans="2:22" s="26" customFormat="1" ht="18.95" customHeight="1" thickBot="1" x14ac:dyDescent="0.3">
      <c r="B303" s="465" t="s">
        <v>119</v>
      </c>
      <c r="C303" s="466"/>
      <c r="D303" s="466"/>
      <c r="E303" s="466"/>
      <c r="F303" s="466"/>
      <c r="G303" s="466"/>
      <c r="H303" s="466"/>
      <c r="I303" s="467"/>
      <c r="K303" s="408"/>
      <c r="L303" s="408"/>
      <c r="M303" s="408"/>
      <c r="N303" s="408"/>
      <c r="O303" s="408"/>
      <c r="P303" s="225"/>
      <c r="Q303" s="225"/>
      <c r="R303" s="225"/>
      <c r="S303" s="225"/>
      <c r="T303" s="225"/>
      <c r="U303" s="225"/>
      <c r="V303" s="225"/>
    </row>
    <row r="304" spans="2:22" s="26" customFormat="1" ht="15.75" thickBot="1" x14ac:dyDescent="0.3">
      <c r="B304" s="220"/>
      <c r="C304" s="221"/>
      <c r="D304" s="221"/>
      <c r="E304" s="221"/>
      <c r="F304" s="466" t="s">
        <v>120</v>
      </c>
      <c r="G304" s="466"/>
      <c r="H304" s="466"/>
      <c r="I304" s="467"/>
      <c r="K304" s="14"/>
    </row>
    <row r="305" spans="1:22" s="26" customFormat="1" ht="15.75" thickBot="1" x14ac:dyDescent="0.3">
      <c r="B305" s="472" t="s">
        <v>174</v>
      </c>
      <c r="C305" s="473"/>
      <c r="D305" s="473"/>
      <c r="E305" s="474"/>
      <c r="F305" s="149"/>
      <c r="G305" s="149"/>
      <c r="H305" s="149"/>
      <c r="I305" s="149"/>
      <c r="K305" s="14" t="s">
        <v>180</v>
      </c>
    </row>
    <row r="306" spans="1:22" s="26" customFormat="1" ht="30" customHeight="1" thickBot="1" x14ac:dyDescent="0.3">
      <c r="B306" s="472" t="s">
        <v>106</v>
      </c>
      <c r="C306" s="473"/>
      <c r="D306" s="473"/>
      <c r="E306" s="474"/>
      <c r="F306" s="235"/>
      <c r="G306" s="235"/>
      <c r="H306" s="235"/>
      <c r="I306" s="235"/>
      <c r="J306" s="26" t="s">
        <v>104</v>
      </c>
      <c r="K306" s="408" t="s">
        <v>181</v>
      </c>
      <c r="L306" s="408"/>
      <c r="M306" s="408"/>
      <c r="N306" s="408"/>
      <c r="O306" s="408"/>
      <c r="P306" s="21"/>
      <c r="Q306" s="21"/>
      <c r="R306" s="21"/>
      <c r="S306" s="21"/>
      <c r="T306" s="21"/>
    </row>
    <row r="307" spans="1:22" s="26" customFormat="1" ht="15.75" thickBot="1" x14ac:dyDescent="0.3">
      <c r="A307" s="14"/>
      <c r="B307" s="472" t="s">
        <v>107</v>
      </c>
      <c r="C307" s="473"/>
      <c r="D307" s="473"/>
      <c r="E307" s="474"/>
      <c r="F307" s="151"/>
      <c r="G307" s="151"/>
      <c r="H307" s="151"/>
      <c r="I307" s="151"/>
      <c r="J307" s="236"/>
      <c r="K307" s="110" t="s">
        <v>182</v>
      </c>
      <c r="N307" s="21"/>
      <c r="O307" s="21"/>
      <c r="P307" s="21"/>
      <c r="Q307" s="21"/>
      <c r="R307" s="21"/>
      <c r="S307" s="21"/>
      <c r="T307" s="21"/>
    </row>
    <row r="308" spans="1:22" s="26" customFormat="1" ht="15.75" thickBot="1" x14ac:dyDescent="0.3">
      <c r="A308" s="15"/>
      <c r="B308" s="472" t="s">
        <v>108</v>
      </c>
      <c r="C308" s="473"/>
      <c r="D308" s="473"/>
      <c r="E308" s="474"/>
      <c r="F308" s="489"/>
      <c r="G308" s="490"/>
      <c r="H308" s="490"/>
      <c r="I308" s="491"/>
      <c r="J308" s="237" t="s">
        <v>104</v>
      </c>
      <c r="K308" s="110" t="s">
        <v>210</v>
      </c>
    </row>
    <row r="309" spans="1:22" s="26" customFormat="1" ht="15.75" thickBot="1" x14ac:dyDescent="0.3">
      <c r="A309" s="15"/>
      <c r="B309" s="472" t="s">
        <v>74</v>
      </c>
      <c r="C309" s="473"/>
      <c r="D309" s="473"/>
      <c r="E309" s="474"/>
      <c r="F309" s="492"/>
      <c r="G309" s="493"/>
      <c r="H309" s="493"/>
      <c r="I309" s="494"/>
      <c r="J309" s="237" t="s">
        <v>104</v>
      </c>
      <c r="K309" s="110" t="s">
        <v>184</v>
      </c>
    </row>
    <row r="310" spans="1:22" s="26" customFormat="1" ht="15.75" thickBot="1" x14ac:dyDescent="0.3">
      <c r="B310" s="472" t="s">
        <v>75</v>
      </c>
      <c r="C310" s="473"/>
      <c r="D310" s="473"/>
      <c r="E310" s="474"/>
      <c r="F310" s="492"/>
      <c r="G310" s="493"/>
      <c r="H310" s="493"/>
      <c r="I310" s="494"/>
      <c r="J310" s="26" t="s">
        <v>104</v>
      </c>
      <c r="K310" s="110" t="s">
        <v>185</v>
      </c>
    </row>
    <row r="311" spans="1:22" s="26" customFormat="1" ht="15.75" thickBot="1" x14ac:dyDescent="0.3">
      <c r="B311" s="472" t="s">
        <v>76</v>
      </c>
      <c r="C311" s="473"/>
      <c r="D311" s="473"/>
      <c r="E311" s="474"/>
      <c r="F311" s="492"/>
      <c r="G311" s="493"/>
      <c r="H311" s="493"/>
      <c r="I311" s="494"/>
      <c r="J311" s="237" t="s">
        <v>104</v>
      </c>
      <c r="K311" s="110" t="s">
        <v>216</v>
      </c>
    </row>
    <row r="312" spans="1:22" s="26" customFormat="1" ht="15.75" thickBot="1" x14ac:dyDescent="0.3">
      <c r="B312" s="472" t="s">
        <v>172</v>
      </c>
      <c r="C312" s="473"/>
      <c r="D312" s="473"/>
      <c r="E312" s="474"/>
      <c r="F312" s="492"/>
      <c r="G312" s="493"/>
      <c r="H312" s="493"/>
      <c r="I312" s="494"/>
      <c r="J312" s="237" t="s">
        <v>104</v>
      </c>
      <c r="K312" s="110" t="s">
        <v>217</v>
      </c>
    </row>
    <row r="313" spans="1:22" s="26" customFormat="1" ht="15.75" thickBot="1" x14ac:dyDescent="0.3">
      <c r="B313" s="472" t="s">
        <v>173</v>
      </c>
      <c r="C313" s="473"/>
      <c r="D313" s="473"/>
      <c r="E313" s="474"/>
      <c r="F313" s="492"/>
      <c r="G313" s="493"/>
      <c r="H313" s="493"/>
      <c r="I313" s="494"/>
      <c r="J313" s="237" t="s">
        <v>104</v>
      </c>
      <c r="K313" s="110" t="s">
        <v>218</v>
      </c>
    </row>
    <row r="314" spans="1:22" s="26" customFormat="1" ht="30" customHeight="1" x14ac:dyDescent="0.25">
      <c r="B314" s="112"/>
      <c r="C314" s="112"/>
      <c r="D314" s="112"/>
      <c r="E314" s="228"/>
      <c r="F314" s="228"/>
      <c r="G314" s="238"/>
      <c r="H314" s="228"/>
      <c r="I314" s="228"/>
      <c r="J314" s="239"/>
      <c r="K314" s="110"/>
    </row>
    <row r="315" spans="1:22" s="26" customFormat="1" ht="15.75" thickBot="1" x14ac:dyDescent="0.3">
      <c r="B315" s="334" t="s">
        <v>171</v>
      </c>
      <c r="C315" s="334"/>
      <c r="D315" s="334"/>
      <c r="E315" s="334"/>
      <c r="F315" s="228"/>
      <c r="G315" s="228"/>
      <c r="H315" s="228"/>
      <c r="I315" s="228"/>
      <c r="J315" s="239"/>
      <c r="K315" s="404" t="s">
        <v>195</v>
      </c>
      <c r="L315" s="404"/>
      <c r="M315" s="404"/>
      <c r="N315" s="404"/>
      <c r="O315" s="404"/>
      <c r="P315" s="219"/>
      <c r="Q315" s="219"/>
      <c r="R315" s="219"/>
      <c r="S315" s="219"/>
      <c r="T315" s="219"/>
      <c r="U315" s="219"/>
      <c r="V315" s="219"/>
    </row>
    <row r="316" spans="1:22" s="26" customFormat="1" ht="29.1" customHeight="1" thickBot="1" x14ac:dyDescent="0.3">
      <c r="B316" s="465" t="s">
        <v>121</v>
      </c>
      <c r="C316" s="466"/>
      <c r="D316" s="466"/>
      <c r="E316" s="466"/>
      <c r="F316" s="466"/>
      <c r="G316" s="466"/>
      <c r="H316" s="466"/>
      <c r="I316" s="467"/>
      <c r="J316" s="239"/>
      <c r="K316" s="404"/>
      <c r="L316" s="404"/>
      <c r="M316" s="404"/>
      <c r="N316" s="404"/>
      <c r="O316" s="404"/>
      <c r="P316" s="219"/>
      <c r="Q316" s="219"/>
      <c r="R316" s="219"/>
      <c r="S316" s="219"/>
      <c r="T316" s="219"/>
      <c r="U316" s="219"/>
      <c r="V316" s="219"/>
    </row>
    <row r="317" spans="1:22" s="26" customFormat="1" ht="30" customHeight="1" thickBot="1" x14ac:dyDescent="0.3">
      <c r="B317" s="472" t="s">
        <v>122</v>
      </c>
      <c r="C317" s="473"/>
      <c r="D317" s="473"/>
      <c r="E317" s="474"/>
      <c r="F317" s="468"/>
      <c r="G317" s="469"/>
      <c r="H317" s="470"/>
      <c r="I317" s="471"/>
      <c r="J317" s="239"/>
      <c r="K317" s="408" t="s">
        <v>186</v>
      </c>
      <c r="L317" s="408"/>
      <c r="M317" s="408"/>
      <c r="N317" s="408"/>
      <c r="O317" s="408"/>
    </row>
    <row r="318" spans="1:22" s="26" customFormat="1" ht="23.1" customHeight="1" thickBot="1" x14ac:dyDescent="0.3">
      <c r="B318" s="472" t="str">
        <f>B305</f>
        <v>Pack Identification</v>
      </c>
      <c r="C318" s="473"/>
      <c r="D318" s="473"/>
      <c r="E318" s="474"/>
      <c r="F318" s="192" t="str">
        <f>IF(ISBLANK(F305),"",F305)</f>
        <v/>
      </c>
      <c r="G318" s="192" t="str">
        <f t="shared" ref="G318:I318" si="24">IF(ISBLANK(G305),"",G305)</f>
        <v/>
      </c>
      <c r="H318" s="192" t="str">
        <f t="shared" si="24"/>
        <v/>
      </c>
      <c r="I318" s="192" t="str">
        <f t="shared" si="24"/>
        <v/>
      </c>
      <c r="J318" s="239"/>
      <c r="K318" s="408"/>
      <c r="L318" s="408"/>
      <c r="M318" s="408"/>
      <c r="N318" s="408"/>
      <c r="O318" s="408"/>
    </row>
    <row r="319" spans="1:22" s="26" customFormat="1" ht="15.75" thickBot="1" x14ac:dyDescent="0.3">
      <c r="B319" s="512" t="s">
        <v>123</v>
      </c>
      <c r="C319" s="513"/>
      <c r="D319" s="513"/>
      <c r="E319" s="514"/>
      <c r="F319" s="145"/>
      <c r="G319" s="154"/>
      <c r="H319" s="154"/>
      <c r="I319" s="154"/>
      <c r="J319" s="239"/>
      <c r="K319" s="408" t="s">
        <v>187</v>
      </c>
      <c r="L319" s="408"/>
      <c r="M319" s="408"/>
      <c r="N319" s="408"/>
      <c r="O319" s="408"/>
    </row>
    <row r="320" spans="1:22" s="26" customFormat="1" ht="75.75" customHeight="1" x14ac:dyDescent="0.25">
      <c r="B320" s="223"/>
      <c r="C320" s="223"/>
      <c r="D320" s="223"/>
      <c r="E320" s="223"/>
      <c r="F320" s="228"/>
      <c r="G320" s="228"/>
      <c r="H320" s="228"/>
      <c r="I320" s="228"/>
      <c r="J320" s="239"/>
      <c r="K320" s="408"/>
      <c r="L320" s="408"/>
      <c r="M320" s="408"/>
      <c r="N320" s="408"/>
      <c r="O320" s="408"/>
    </row>
    <row r="321" spans="1:15" s="26" customFormat="1" x14ac:dyDescent="0.25">
      <c r="B321" s="511"/>
      <c r="C321" s="511"/>
      <c r="D321" s="511"/>
      <c r="E321" s="511"/>
      <c r="K321" s="408"/>
      <c r="L321" s="408"/>
      <c r="M321" s="408"/>
      <c r="N321" s="408"/>
      <c r="O321" s="408"/>
    </row>
    <row r="322" spans="1:15" s="26" customFormat="1" x14ac:dyDescent="0.25">
      <c r="B322" s="228"/>
      <c r="C322" s="228"/>
      <c r="D322" s="228"/>
      <c r="E322" s="228"/>
      <c r="O322" s="21"/>
    </row>
    <row r="323" spans="1:15" s="26" customFormat="1" x14ac:dyDescent="0.25">
      <c r="A323" s="155"/>
      <c r="B323" s="224" t="s">
        <v>124</v>
      </c>
      <c r="C323" s="217"/>
      <c r="D323" s="66"/>
      <c r="E323" s="66"/>
      <c r="F323" s="390"/>
      <c r="G323" s="390"/>
      <c r="H323" s="390"/>
      <c r="I323" s="390"/>
      <c r="O323" s="21"/>
    </row>
    <row r="324" spans="1:15" s="26" customFormat="1" x14ac:dyDescent="0.25">
      <c r="A324" s="14" t="s">
        <v>125</v>
      </c>
      <c r="B324" s="217"/>
      <c r="C324" s="217"/>
      <c r="D324" s="66"/>
      <c r="E324" s="66"/>
      <c r="F324" s="217"/>
      <c r="G324" s="217"/>
      <c r="H324" s="217"/>
      <c r="I324" s="217"/>
      <c r="O324" s="21"/>
    </row>
    <row r="325" spans="1:15" s="26" customFormat="1" ht="15.75" thickBot="1" x14ac:dyDescent="0.3">
      <c r="B325" s="66"/>
      <c r="C325" s="66"/>
      <c r="D325" s="66"/>
      <c r="E325" s="66"/>
      <c r="F325" s="390" t="s">
        <v>126</v>
      </c>
      <c r="G325" s="390"/>
      <c r="H325" s="390"/>
      <c r="I325" s="390"/>
      <c r="O325" s="21"/>
    </row>
    <row r="326" spans="1:15" s="26" customFormat="1" ht="15.75" thickBot="1" x14ac:dyDescent="0.3">
      <c r="B326" s="66"/>
      <c r="C326" s="66"/>
      <c r="D326" s="66"/>
      <c r="E326" s="66"/>
      <c r="F326" s="156" t="str">
        <f>IF(F305="","",F305)</f>
        <v/>
      </c>
      <c r="G326" s="156" t="str">
        <f>IF(G305="","",G305)</f>
        <v/>
      </c>
      <c r="H326" s="156" t="str">
        <f>IF(H305="","",H305)</f>
        <v/>
      </c>
      <c r="I326" s="156" t="str">
        <f>IF(I305="","",I305)</f>
        <v/>
      </c>
      <c r="O326" s="21"/>
    </row>
    <row r="327" spans="1:15" s="26" customFormat="1" x14ac:dyDescent="0.25">
      <c r="A327" s="91" t="s">
        <v>77</v>
      </c>
      <c r="B327" s="475" t="s">
        <v>82</v>
      </c>
      <c r="C327" s="476"/>
      <c r="D327" s="476"/>
      <c r="E327" s="240"/>
      <c r="F327" s="241" t="str">
        <f>IF(OR(F306="",F307="",F308=""),"",IF(F306="Price to Wholesaler",F307,IF(F306="Reimbursement Price",(F329/(1+E328)*1),"Error")))</f>
        <v/>
      </c>
      <c r="G327" s="241" t="str">
        <f>IF(OR(G306="",G307="",F308=""),"",IF(G306="Price to Wholesaler",G307,IF(G306="Reimbursement Price",(G329/(1+E328)*1),"Error")))</f>
        <v/>
      </c>
      <c r="H327" s="241" t="str">
        <f>IF(OR(H306="",H307="",F308=""),"",IF(H306="Price to Wholesaler",H307,IF(H306="Reimbursement Price",(H329/(1+E328)*1),"Error")))</f>
        <v/>
      </c>
      <c r="I327" s="241" t="str">
        <f>IF(OR(I306="",I307="",F308=""),"",IF(I306="Price to Wholesaler",I307,IF(I306="Reimbursement Price",(I329/(1+E328)*1),"Error")))</f>
        <v/>
      </c>
      <c r="O327" s="21"/>
    </row>
    <row r="328" spans="1:15" s="26" customFormat="1" x14ac:dyDescent="0.25">
      <c r="A328" s="92" t="s">
        <v>78</v>
      </c>
      <c r="B328" s="477" t="s">
        <v>83</v>
      </c>
      <c r="C328" s="478"/>
      <c r="D328" s="478"/>
      <c r="E328" s="93" t="str">
        <f>IF(OR(F308=""),"",IF(AND(F308="CDS",F309="Yes"),CYF,IF(AND(F308="CDS",F309="No"),CNF,IF(F308="HT",CHT,IF(F308="Hosp",CHO,"Error")))))</f>
        <v/>
      </c>
      <c r="F328" s="242" t="str">
        <f>IF(OR(F308="",F307="",F306=""),"",F327*E328)</f>
        <v/>
      </c>
      <c r="G328" s="242" t="str">
        <f>IF(OR(F308="",G307="",G306=""),"",G327*E328)</f>
        <v/>
      </c>
      <c r="H328" s="242" t="str">
        <f>IF(OR(F308="",H307="",H306=""),"",H327*E328)</f>
        <v/>
      </c>
      <c r="I328" s="242" t="str">
        <f>IF(OR(F308="",I307="",I306=""),"",I327*E328)</f>
        <v/>
      </c>
      <c r="O328" s="21"/>
    </row>
    <row r="329" spans="1:15" s="26" customFormat="1" x14ac:dyDescent="0.25">
      <c r="A329" s="92" t="s">
        <v>79</v>
      </c>
      <c r="B329" s="477" t="str">
        <f>IF(F308="Hosp","Hospital Price", "Reimbursement Price")</f>
        <v>Reimbursement Price</v>
      </c>
      <c r="C329" s="478"/>
      <c r="D329" s="478"/>
      <c r="E329" s="243" t="str">
        <f>IF(F306="Price to Wholesaler","A+B","")</f>
        <v/>
      </c>
      <c r="F329" s="242" t="str">
        <f>IF(F306="Reimbursement Price",F307,IF(ISBLANK(E328),"",IF(F306="Price to Wholesaler",(F327+F328),IF(F306="","","Error"))))</f>
        <v/>
      </c>
      <c r="G329" s="242" t="str">
        <f>IF(G306="Reimbursement Price",G307,IF(ISBLANK(E328),"",IF(G306="Price to Wholesaler",(G327+G328),IF(G306="","","Error"))))</f>
        <v/>
      </c>
      <c r="H329" s="242" t="str">
        <f>IF(H306="Reimbursement Price",H307,IF(ISBLANK(E328),"",IF(H306="Price to Wholesaler",(H327+H328),IF(H306="","","Error"))))</f>
        <v/>
      </c>
      <c r="I329" s="242" t="str">
        <f>IF(I306="Reimbursement Price",I307,IF(ISBLANK(E328),"",IF(I306="Price to Wholesaler",(I327+I328),IF(I306="","","Error"))))</f>
        <v/>
      </c>
      <c r="O329" s="21"/>
    </row>
    <row r="330" spans="1:15" s="26" customFormat="1" x14ac:dyDescent="0.25">
      <c r="A330" s="92" t="s">
        <v>80</v>
      </c>
      <c r="B330" s="477" t="s">
        <v>214</v>
      </c>
      <c r="C330" s="478"/>
      <c r="D330" s="478"/>
      <c r="E330" s="268" t="str">
        <f>IF(OR(F311="",AND(F311="Yes",F312=""),AND(F311="No",F313="")),"",IF(AND(F311="No",F313="Patented Exclusive or Off Patent Exclusive and subject to clause 10 of Framework Agreement"),MR,IF(AND(F311="No",F313="Off Patent Non-Exclusive or Generic"),"None",IF(AND(F311="Yes",F312="Biosimilar"),"None",IF(AND(F311="Yes",F312="Patented or Off Patent Exclusive"),MR,IF(AND(F311="Yes",F312="Off Patent Non-Exclusive 12.5% Rebate incorporated into Price to Wholesaler"),"None",IF(AND(F311="Yes",F312="Off Patent Non-Exclusive 12.5% Rebate"),MRB,"Error")))))))</f>
        <v/>
      </c>
      <c r="F330" s="242" t="str">
        <f>IF(OR(F311="",AND(F311="Yes",F312=""),AND(F311="No",F313=""),F306="",ISBLANK(F307)),"",IF(E330="None",0,(E330*F327)))</f>
        <v/>
      </c>
      <c r="G330" s="242" t="str">
        <f>IF(OR(F311="",AND(F311="Yes",F312=""),AND(F311="No",F313=""),G306="",ISBLANK(G307)),"",IF(E330="None",0,(E330*G327)))</f>
        <v/>
      </c>
      <c r="H330" s="242" t="str">
        <f>IF(OR(F311="",AND(F311="Yes",F312=""),AND(F311="No",F313=""),H306="",ISBLANK(H307)),"",IF(E330="None",0,(E330*H327)))</f>
        <v/>
      </c>
      <c r="I330" s="242" t="str">
        <f>IF(OR(F311="",AND(F311="Yes",F312=""),AND(F311="No",F313=""),I306="",ISBLANK(I307)),"",IF(E330="None",0,(E330*I327)))</f>
        <v/>
      </c>
      <c r="O330" s="21"/>
    </row>
    <row r="331" spans="1:15" s="26" customFormat="1" ht="15.75" thickBot="1" x14ac:dyDescent="0.3">
      <c r="A331" s="159" t="s">
        <v>81</v>
      </c>
      <c r="B331" s="479" t="s">
        <v>94</v>
      </c>
      <c r="C331" s="480"/>
      <c r="D331" s="480"/>
      <c r="E331" s="160" t="str">
        <f>IF(F310="","",IF(F310="Yes",0,VT))</f>
        <v/>
      </c>
      <c r="F331" s="244" t="str">
        <f>IF(OR($B310="",F307="",ISBLANK(F307)),"",($E331*F329))</f>
        <v/>
      </c>
      <c r="G331" s="244" t="str">
        <f>IF(OR($B310="",G307="",ISBLANK(G307)),"",($E331*G329))</f>
        <v/>
      </c>
      <c r="H331" s="244" t="str">
        <f>IF(OR($B310="",H307="",ISBLANK(H307)),"",($E331*H329))</f>
        <v/>
      </c>
      <c r="I331" s="244" t="str">
        <f>IF(OR($B310="",I307="",ISBLANK(I307)),"",($E331*I329))</f>
        <v/>
      </c>
      <c r="O331" s="21"/>
    </row>
    <row r="332" spans="1:15" s="26" customFormat="1" ht="15.75" thickBot="1" x14ac:dyDescent="0.3">
      <c r="A332" s="222" t="s">
        <v>127</v>
      </c>
      <c r="B332" s="481" t="s">
        <v>128</v>
      </c>
      <c r="C332" s="481"/>
      <c r="D332" s="481"/>
      <c r="E332" s="222"/>
      <c r="F332" s="245" t="str">
        <f>IF(OR(F306="",$F308="",$F310="",$F311=""),"",SUM(F329:F331))</f>
        <v/>
      </c>
      <c r="G332" s="245" t="str">
        <f>IF(OR(G306="",$F308="",$F310="",$F311=""),"",SUM(G329:G331))</f>
        <v/>
      </c>
      <c r="H332" s="245" t="str">
        <f>IF(OR(H306="",$F308="",$F310="",$F311=""),"",SUM(H329:H331))</f>
        <v/>
      </c>
      <c r="I332" s="245" t="str">
        <f>IF(OR(I306="",$F308="",$F310="",$F311=""),"",SUM(I329:I331))</f>
        <v/>
      </c>
      <c r="O332" s="21"/>
    </row>
    <row r="333" spans="1:15" s="26" customFormat="1" ht="15.75" thickBot="1" x14ac:dyDescent="0.3">
      <c r="A333" s="222" t="s">
        <v>129</v>
      </c>
      <c r="B333" s="482" t="s">
        <v>130</v>
      </c>
      <c r="C333" s="482"/>
      <c r="D333" s="482"/>
      <c r="E333" s="245"/>
      <c r="F333" s="245" t="str">
        <f>IF(OR(F306="",$F308="",$F310="",$F311=""),"",SUM(F329:F330))</f>
        <v/>
      </c>
      <c r="G333" s="245" t="str">
        <f>IF(OR(G306="",$F308="",$F310="",$F311=""),"",SUM(G329:G330))</f>
        <v/>
      </c>
      <c r="H333" s="245" t="str">
        <f t="shared" ref="H333:I333" si="25">IF(OR(H306="",$F308="",$F310="",$F311=""),"",SUM(H329:H330))</f>
        <v/>
      </c>
      <c r="I333" s="245" t="str">
        <f t="shared" si="25"/>
        <v/>
      </c>
      <c r="O333" s="21"/>
    </row>
    <row r="334" spans="1:15" s="26" customFormat="1" x14ac:dyDescent="0.25">
      <c r="B334" s="66"/>
      <c r="C334" s="66"/>
      <c r="D334" s="66"/>
      <c r="E334" s="66"/>
      <c r="K334" s="26" t="s">
        <v>131</v>
      </c>
      <c r="O334" s="21"/>
    </row>
    <row r="335" spans="1:15" s="26" customFormat="1" x14ac:dyDescent="0.25">
      <c r="A335" s="155" t="s">
        <v>132</v>
      </c>
      <c r="B335" s="66"/>
      <c r="C335" s="66"/>
      <c r="D335" s="66"/>
      <c r="E335" s="66"/>
      <c r="F335" s="246"/>
      <c r="G335" s="246"/>
      <c r="H335" s="246"/>
      <c r="I335" s="246"/>
      <c r="O335" s="21"/>
    </row>
    <row r="336" spans="1:15" s="26" customFormat="1" x14ac:dyDescent="0.25">
      <c r="A336" s="125"/>
      <c r="B336" s="125" t="s">
        <v>133</v>
      </c>
      <c r="C336" s="125"/>
      <c r="D336" s="125"/>
      <c r="E336" s="125"/>
      <c r="F336" s="125"/>
      <c r="G336" s="125"/>
      <c r="H336" s="125"/>
      <c r="O336" s="21"/>
    </row>
    <row r="337" spans="1:20" s="26" customFormat="1" x14ac:dyDescent="0.25">
      <c r="B337" s="21" t="s">
        <v>134</v>
      </c>
      <c r="C337" s="229"/>
      <c r="D337" s="229"/>
      <c r="E337" s="66"/>
      <c r="O337" s="21"/>
    </row>
    <row r="338" spans="1:20" s="26" customFormat="1" ht="15.75" thickBot="1" x14ac:dyDescent="0.3">
      <c r="B338" s="165"/>
      <c r="C338" s="229"/>
      <c r="D338" s="229"/>
      <c r="E338" s="66"/>
      <c r="O338" s="21"/>
    </row>
    <row r="339" spans="1:20" s="26" customFormat="1" ht="15.75" thickBot="1" x14ac:dyDescent="0.3">
      <c r="B339" s="230"/>
      <c r="C339" s="66"/>
      <c r="D339" s="66"/>
      <c r="E339" s="66"/>
      <c r="G339" s="13" t="s">
        <v>135</v>
      </c>
      <c r="H339" s="13" t="s">
        <v>136</v>
      </c>
      <c r="O339" s="21"/>
    </row>
    <row r="340" spans="1:20" s="26" customFormat="1" x14ac:dyDescent="0.25">
      <c r="B340" s="483" t="s">
        <v>137</v>
      </c>
      <c r="C340" s="484"/>
      <c r="D340" s="484"/>
      <c r="E340" s="484"/>
      <c r="F340" s="485"/>
      <c r="G340" s="247" t="str">
        <f>IF(F308="","",IF(F308="CDS","per dispensing",IF(F308="HT","per month",IF(F308="Hosp","No Fee", ERROR))))</f>
        <v/>
      </c>
      <c r="H340" s="248" t="str">
        <f>IF(F308="","",IF(F308="CDS",DF,IF(F308="HT",PC,IF(F308="Hosp","No Fee",ERROR))))</f>
        <v/>
      </c>
      <c r="I340" s="26" t="s">
        <v>138</v>
      </c>
      <c r="O340" s="21"/>
    </row>
    <row r="341" spans="1:20" s="26" customFormat="1" ht="15.75" thickBot="1" x14ac:dyDescent="0.3">
      <c r="B341" s="486" t="s">
        <v>92</v>
      </c>
      <c r="C341" s="487"/>
      <c r="D341" s="487"/>
      <c r="E341" s="487"/>
      <c r="F341" s="488"/>
      <c r="G341" s="249" t="str">
        <f>IF(OR(F308="",F310=""),"",IF(F308="Hosp","No Fee",IF(F308="HT","No VAT",IF(AND(F308="CDS",F310="No"),VT,"No VAT"))))</f>
        <v/>
      </c>
      <c r="H341" s="250" t="str">
        <f>IF(OR(F310="",F308="Hosp"),"",IF(OR(F310="Yes",F308="HT"),0,H340*G341))</f>
        <v/>
      </c>
      <c r="O341" s="21"/>
    </row>
    <row r="342" spans="1:20" s="26" customFormat="1" x14ac:dyDescent="0.25">
      <c r="B342" s="230"/>
      <c r="C342" s="66"/>
      <c r="D342" s="66"/>
      <c r="E342" s="66"/>
      <c r="O342" s="21"/>
    </row>
    <row r="343" spans="1:20" s="26" customFormat="1" x14ac:dyDescent="0.25">
      <c r="B343" s="230"/>
      <c r="C343" s="66"/>
      <c r="D343" s="66"/>
      <c r="E343" s="66"/>
      <c r="O343" s="21"/>
    </row>
    <row r="344" spans="1:20" s="26" customFormat="1" ht="33.950000000000003" customHeight="1" thickBot="1" x14ac:dyDescent="0.3">
      <c r="A344" s="165" t="s">
        <v>193</v>
      </c>
      <c r="B344" s="230"/>
      <c r="C344" s="66"/>
      <c r="D344" s="66"/>
      <c r="E344" s="66"/>
      <c r="K344" s="408" t="s">
        <v>197</v>
      </c>
      <c r="L344" s="408"/>
      <c r="M344" s="408"/>
      <c r="N344" s="408"/>
      <c r="O344" s="408"/>
      <c r="P344" s="195"/>
      <c r="Q344" s="195"/>
      <c r="R344" s="195"/>
      <c r="S344" s="195"/>
      <c r="T344" s="195"/>
    </row>
    <row r="345" spans="1:20" s="26" customFormat="1" ht="17.100000000000001" customHeight="1" thickBot="1" x14ac:dyDescent="0.3">
      <c r="A345" s="14" t="s">
        <v>194</v>
      </c>
      <c r="B345" s="230"/>
      <c r="C345" s="66"/>
      <c r="D345" s="66"/>
      <c r="E345" s="66"/>
      <c r="G345" s="13" t="s">
        <v>101</v>
      </c>
      <c r="H345" s="13" t="s">
        <v>136</v>
      </c>
      <c r="K345" s="408" t="str">
        <f>IF(F308="HT","For High tech, if a treatment cycle =28 days the corresponding pharmacy fee is =62.03*12/365.25*28.  The pharmacy fee remains the same regardless of the number of products dispensed that month.",IF(F308="CDS","For CDS, if 2 packets of the same pack presentation are required per treatment cycle, one dispensing fee applies (€5.48). If multiple pack presentations are required, multiple dispensing fees apply",""))</f>
        <v/>
      </c>
      <c r="L345" s="408"/>
      <c r="M345" s="408"/>
      <c r="N345" s="408"/>
      <c r="O345" s="408"/>
      <c r="P345" s="195"/>
      <c r="Q345" s="195"/>
      <c r="R345" s="195"/>
      <c r="S345" s="195"/>
      <c r="T345" s="195"/>
    </row>
    <row r="346" spans="1:20" s="26" customFormat="1" ht="16.5" customHeight="1" x14ac:dyDescent="0.25">
      <c r="A346" s="170" t="s">
        <v>139</v>
      </c>
      <c r="B346" s="504" t="s">
        <v>140</v>
      </c>
      <c r="C346" s="504"/>
      <c r="D346" s="504"/>
      <c r="E346" s="504"/>
      <c r="F346" s="504"/>
      <c r="G346" s="251"/>
      <c r="H346" s="252"/>
      <c r="K346" s="408"/>
      <c r="L346" s="408"/>
      <c r="M346" s="408"/>
      <c r="N346" s="408"/>
      <c r="O346" s="408"/>
      <c r="P346" s="195"/>
      <c r="Q346" s="195"/>
      <c r="R346" s="195"/>
      <c r="S346" s="195"/>
      <c r="T346" s="195"/>
    </row>
    <row r="347" spans="1:20" s="26" customFormat="1" x14ac:dyDescent="0.25">
      <c r="A347" s="173" t="s">
        <v>141</v>
      </c>
      <c r="B347" s="505" t="s">
        <v>142</v>
      </c>
      <c r="C347" s="505"/>
      <c r="D347" s="505"/>
      <c r="E347" s="505"/>
      <c r="F347" s="505"/>
      <c r="G347" s="253"/>
      <c r="H347" s="254"/>
      <c r="K347" s="14" t="s">
        <v>188</v>
      </c>
      <c r="O347" s="21"/>
    </row>
    <row r="348" spans="1:20" s="26" customFormat="1" x14ac:dyDescent="0.25">
      <c r="A348" s="173" t="s">
        <v>143</v>
      </c>
      <c r="B348" s="505" t="s">
        <v>144</v>
      </c>
      <c r="C348" s="505"/>
      <c r="D348" s="505"/>
      <c r="E348" s="505"/>
      <c r="F348" s="505"/>
      <c r="G348" s="253"/>
      <c r="H348" s="254"/>
      <c r="K348" s="14" t="s">
        <v>189</v>
      </c>
      <c r="O348" s="21"/>
    </row>
    <row r="349" spans="1:20" s="26" customFormat="1" x14ac:dyDescent="0.25">
      <c r="A349" s="173" t="s">
        <v>145</v>
      </c>
      <c r="B349" s="505" t="s">
        <v>146</v>
      </c>
      <c r="C349" s="505"/>
      <c r="D349" s="505"/>
      <c r="E349" s="505"/>
      <c r="F349" s="505"/>
      <c r="G349" s="255"/>
      <c r="H349" s="256" t="str">
        <f>IF(ISBLANK(H346),"",SUM(H346:H348))</f>
        <v/>
      </c>
      <c r="O349" s="21"/>
    </row>
    <row r="350" spans="1:20" s="26" customFormat="1" ht="15.75" thickBot="1" x14ac:dyDescent="0.3">
      <c r="A350" s="178" t="s">
        <v>147</v>
      </c>
      <c r="B350" s="515" t="s">
        <v>196</v>
      </c>
      <c r="C350" s="515"/>
      <c r="D350" s="515"/>
      <c r="E350" s="515"/>
      <c r="F350" s="515"/>
      <c r="G350" s="257"/>
      <c r="H350" s="250" t="str">
        <f>IF(ISBLANK(H346),"",SUM(H346:H347))</f>
        <v/>
      </c>
      <c r="O350" s="21"/>
    </row>
    <row r="351" spans="1:20" s="26" customFormat="1" x14ac:dyDescent="0.25">
      <c r="B351" s="66"/>
      <c r="C351" s="66"/>
      <c r="D351" s="66"/>
      <c r="E351" s="66"/>
      <c r="O351" s="21"/>
    </row>
    <row r="352" spans="1:20" s="26" customFormat="1" x14ac:dyDescent="0.25">
      <c r="B352" s="66"/>
      <c r="C352" s="66"/>
      <c r="D352" s="66"/>
      <c r="E352" s="66"/>
      <c r="O352" s="21"/>
    </row>
    <row r="353" spans="1:15" s="26" customFormat="1" x14ac:dyDescent="0.25">
      <c r="A353" s="155" t="s">
        <v>148</v>
      </c>
      <c r="B353" s="66"/>
      <c r="C353" s="66"/>
      <c r="D353" s="66"/>
      <c r="E353" s="66"/>
      <c r="O353" s="21"/>
    </row>
    <row r="354" spans="1:15" s="26" customFormat="1" ht="15.75" thickBot="1" x14ac:dyDescent="0.3">
      <c r="B354" s="66"/>
      <c r="C354" s="66"/>
      <c r="D354" s="66"/>
      <c r="E354" s="66"/>
      <c r="O354" s="21"/>
    </row>
    <row r="355" spans="1:15" s="26" customFormat="1" ht="29.1" customHeight="1" x14ac:dyDescent="0.25">
      <c r="A355" s="65"/>
      <c r="B355" s="228"/>
      <c r="C355" s="228"/>
      <c r="D355" s="228"/>
      <c r="E355" s="228"/>
      <c r="F355" s="506" t="s">
        <v>149</v>
      </c>
      <c r="G355" s="180" t="s">
        <v>150</v>
      </c>
      <c r="H355" s="508" t="s">
        <v>151</v>
      </c>
      <c r="I355" s="180" t="s">
        <v>152</v>
      </c>
      <c r="J355" s="66"/>
      <c r="K355" s="408" t="s">
        <v>269</v>
      </c>
      <c r="L355" s="408"/>
      <c r="M355" s="408"/>
      <c r="N355" s="408"/>
      <c r="O355" s="408"/>
    </row>
    <row r="356" spans="1:15" s="26" customFormat="1" x14ac:dyDescent="0.25">
      <c r="A356" s="65"/>
      <c r="B356" s="228"/>
      <c r="C356" s="228"/>
      <c r="D356" s="228"/>
      <c r="E356" s="228"/>
      <c r="F356" s="507"/>
      <c r="G356" s="253"/>
      <c r="H356" s="509"/>
      <c r="I356" s="182"/>
      <c r="J356" s="66"/>
      <c r="K356" s="408"/>
      <c r="L356" s="408"/>
      <c r="M356" s="408"/>
      <c r="N356" s="408"/>
      <c r="O356" s="408"/>
    </row>
    <row r="357" spans="1:15" s="26" customFormat="1" ht="15.75" thickBot="1" x14ac:dyDescent="0.3">
      <c r="A357" s="65"/>
      <c r="B357" s="228"/>
      <c r="C357" s="228"/>
      <c r="D357" s="228"/>
      <c r="E357" s="228"/>
      <c r="F357" s="507"/>
      <c r="G357" s="183" t="s">
        <v>153</v>
      </c>
      <c r="H357" s="510"/>
      <c r="I357" s="184"/>
      <c r="J357" s="66"/>
      <c r="K357" s="408"/>
      <c r="L357" s="408"/>
      <c r="M357" s="408"/>
      <c r="N357" s="408"/>
      <c r="O357" s="408"/>
    </row>
    <row r="358" spans="1:15" s="26" customFormat="1" x14ac:dyDescent="0.25">
      <c r="A358" s="247" t="s">
        <v>77</v>
      </c>
      <c r="B358" s="463" t="str">
        <f>B327</f>
        <v>Price to Wholesaler</v>
      </c>
      <c r="C358" s="463"/>
      <c r="D358" s="463"/>
      <c r="E358" s="463"/>
      <c r="F358" s="256">
        <f>SUMPRODUCT(F327:I327,F319:I319)</f>
        <v>0</v>
      </c>
      <c r="G358" s="256">
        <f>F358*G356</f>
        <v>0</v>
      </c>
      <c r="H358" s="256" t="str">
        <f>IF(H317="Days",F358/F317*365.25,IF(H317="Months",F358/F317*12,""))</f>
        <v/>
      </c>
      <c r="I358" s="256" t="str">
        <f>IF(AND(H317="Days",I357="Days"),F358/F317*I356,IF(AND(H317="Months",I357="Months"),F358/F317*I356,IF(AND(H317="Days",I357="Months"),F358/F317*30.4375*I356,IF(AND(H317="Months",I357="Days"),F358/F317/30.4375*I356,""))))</f>
        <v/>
      </c>
      <c r="O358" s="21"/>
    </row>
    <row r="359" spans="1:15" s="26" customFormat="1" x14ac:dyDescent="0.25">
      <c r="A359" s="255" t="s">
        <v>78</v>
      </c>
      <c r="B359" s="464" t="str">
        <f>B328</f>
        <v>Wholesale Mark-up</v>
      </c>
      <c r="C359" s="464"/>
      <c r="D359" s="464"/>
      <c r="E359" s="464"/>
      <c r="F359" s="256">
        <f>SUMPRODUCT(F328:I328,F319:I319)</f>
        <v>0</v>
      </c>
      <c r="G359" s="256">
        <f>F359*G356</f>
        <v>0</v>
      </c>
      <c r="H359" s="256" t="str">
        <f>IF(H317="Days",F359/F317*365.25,IF(H317="Months",F359/F317*12,""))</f>
        <v/>
      </c>
      <c r="I359" s="256" t="str">
        <f>IF(AND(H317="Days",I357="Days"),F359/F317*I356,IF(AND(H317="Months",I357="Months"),F359/F317*I356,IF(AND(H317="Days",I357="Months"),F359/F317*30.4375*I356,IF(AND(H317="Months",I357="Days"),F359/F317/30.4375*I356,""))))</f>
        <v/>
      </c>
      <c r="O359" s="21"/>
    </row>
    <row r="360" spans="1:15" s="26" customFormat="1" x14ac:dyDescent="0.25">
      <c r="A360" s="255" t="s">
        <v>79</v>
      </c>
      <c r="B360" s="231" t="str">
        <f>B329</f>
        <v>Reimbursement Price</v>
      </c>
      <c r="C360" s="232"/>
      <c r="D360" s="233"/>
      <c r="E360" s="258"/>
      <c r="F360" s="256">
        <f>SUMPRODUCT(F329:I329,F319:I319)</f>
        <v>0</v>
      </c>
      <c r="G360" s="256">
        <f>F360*G356</f>
        <v>0</v>
      </c>
      <c r="H360" s="256" t="str">
        <f>IF(H317="Days",F360/F317*365.25,IF(H317="Months",F360/F317*12,""))</f>
        <v/>
      </c>
      <c r="I360" s="256" t="str">
        <f>IF(AND(H317="Days",I357="Days"),F360/F317*I356,IF(AND(H317="Months",I357="Months"),F360/F317*I356,IF(AND(H317="Days",I357="Months"),F360/F317*30.4375*I356,IF(AND(H317="Months",I357="Days"),F360/F317/30.4375*I356,""))))</f>
        <v/>
      </c>
      <c r="O360" s="21"/>
    </row>
    <row r="361" spans="1:15" s="26" customFormat="1" x14ac:dyDescent="0.25">
      <c r="A361" s="255" t="s">
        <v>80</v>
      </c>
      <c r="B361" s="495" t="str">
        <f>B330</f>
        <v>Framework Agreement Rebate</v>
      </c>
      <c r="C361" s="496"/>
      <c r="D361" s="496"/>
      <c r="E361" s="497"/>
      <c r="F361" s="256">
        <f>SUMPRODUCT(F330:I330,F319:I319)</f>
        <v>0</v>
      </c>
      <c r="G361" s="256">
        <f>F361*G356</f>
        <v>0</v>
      </c>
      <c r="H361" s="256" t="str">
        <f>IF(H317="Days",F361/F317*365.25,IF(H317="Months",F361/F317*12,""))</f>
        <v/>
      </c>
      <c r="I361" s="256" t="str">
        <f>IF(AND(H317="Days",I357="Days"),F361/F317*I356,IF(AND(H317="Months",I357="Months"),F361/F317*I356,IF(AND(H317="Days",I357="Months"),F361/F317*30.4375*I356,IF(AND(H317="Months",I357="Days"),F361/F317/30.4375*I356,""))))</f>
        <v/>
      </c>
      <c r="O361" s="21"/>
    </row>
    <row r="362" spans="1:15" s="26" customFormat="1" x14ac:dyDescent="0.25">
      <c r="A362" s="255" t="s">
        <v>81</v>
      </c>
      <c r="B362" s="495" t="str">
        <f>B331</f>
        <v xml:space="preserve">VAT on Drug Cost </v>
      </c>
      <c r="C362" s="496"/>
      <c r="D362" s="496"/>
      <c r="E362" s="497"/>
      <c r="F362" s="256">
        <f>SUMPRODUCT(F331:I331,F319:I319)</f>
        <v>0</v>
      </c>
      <c r="G362" s="256">
        <f>F362*G356</f>
        <v>0</v>
      </c>
      <c r="H362" s="256" t="str">
        <f>IF(H317="Days",F362/F317*365.25,IF(H317="Months",F362/F317*12,""))</f>
        <v/>
      </c>
      <c r="I362" s="256" t="str">
        <f>IF(AND(H317="Days",I357="Days"),F362/F317*I356,IF(AND(H317="Months",I357="Months"),F362/F317*I356,IF(AND(H317="Days",I357="Months"),F362/F317*30.4375*I356,IF(AND(H317="Months",I357="Days"),F362/F317/30.4375*I356,""))))</f>
        <v/>
      </c>
      <c r="O362" s="21"/>
    </row>
    <row r="363" spans="1:15" s="26" customFormat="1" x14ac:dyDescent="0.25">
      <c r="A363" s="255" t="s">
        <v>154</v>
      </c>
      <c r="B363" s="495" t="s">
        <v>155</v>
      </c>
      <c r="C363" s="496"/>
      <c r="D363" s="496"/>
      <c r="E363" s="497"/>
      <c r="F363" s="256" t="str">
        <f>IF(H349="","",H349)</f>
        <v/>
      </c>
      <c r="G363" s="256" t="str">
        <f>IF(F363="","",F363*G356)</f>
        <v/>
      </c>
      <c r="H363" s="256" t="str">
        <f>IF(F363="","",IF(H317="Days",F363/F317*365.25,IF(H317="Months",F363/F317*12,"")))</f>
        <v/>
      </c>
      <c r="I363" s="256" t="str">
        <f>IF(F363="","",IF(AND(H317="Days",I357="Days"),F363/F317*I356,IF(AND(H317="Months",I357="Months"),F363/F317*I356,IF(AND(H317="Days",I357="Months"),F363/F317*30.4375*I356,IF(AND(H317="Months",I357="Days"),F363/F317/30.4375*I356,"")))))</f>
        <v/>
      </c>
      <c r="O363" s="21"/>
    </row>
    <row r="364" spans="1:15" s="26" customFormat="1" x14ac:dyDescent="0.25">
      <c r="A364" s="255" t="s">
        <v>156</v>
      </c>
      <c r="B364" s="495" t="s">
        <v>157</v>
      </c>
      <c r="C364" s="496"/>
      <c r="D364" s="496"/>
      <c r="E364" s="497"/>
      <c r="F364" s="256" t="str">
        <f>IF(H350="","",H350)</f>
        <v/>
      </c>
      <c r="G364" s="256" t="str">
        <f>IF(F364="","",F364*G356)</f>
        <v/>
      </c>
      <c r="H364" s="256" t="str">
        <f>IF(F364="","",IF(H317="Days",F364/F317*365.25,IF(H317="Months",F364/F317*12,"")))</f>
        <v/>
      </c>
      <c r="I364" s="256" t="str">
        <f>IF(F364="","",IF(AND(H317="Days",I357="Days"),F364/F317*I356,IF(AND(H317="Months",I357="Months"),F364/F317*I356,IF(AND(H317="Days",I357="Months"),F364/F317*30.4375*I356,IF(AND(H317="Months",I357="Days"),F364/F317/30.4375*I356,"")))))</f>
        <v/>
      </c>
      <c r="O364" s="21"/>
    </row>
    <row r="365" spans="1:15" s="155" customFormat="1" x14ac:dyDescent="0.25">
      <c r="A365" s="186" t="s">
        <v>158</v>
      </c>
      <c r="B365" s="498" t="s">
        <v>159</v>
      </c>
      <c r="C365" s="499"/>
      <c r="D365" s="499"/>
      <c r="E365" s="500"/>
      <c r="F365" s="187">
        <f>SUM(F360:F363)</f>
        <v>0</v>
      </c>
      <c r="G365" s="187">
        <f t="shared" ref="G365:I365" si="26">SUM(G360:G363)</f>
        <v>0</v>
      </c>
      <c r="H365" s="187">
        <f t="shared" si="26"/>
        <v>0</v>
      </c>
      <c r="I365" s="187">
        <f t="shared" si="26"/>
        <v>0</v>
      </c>
      <c r="K365" s="98" t="s">
        <v>191</v>
      </c>
      <c r="O365" s="189"/>
    </row>
    <row r="366" spans="1:15" s="26" customFormat="1" ht="15.75" thickBot="1" x14ac:dyDescent="0.3">
      <c r="A366" s="257" t="s">
        <v>160</v>
      </c>
      <c r="B366" s="501" t="s">
        <v>161</v>
      </c>
      <c r="C366" s="502"/>
      <c r="D366" s="502"/>
      <c r="E366" s="503"/>
      <c r="F366" s="250">
        <f>IF(F364="",SUM(F360+F361),F360+F361+F364)</f>
        <v>0</v>
      </c>
      <c r="G366" s="250">
        <f t="shared" ref="G366" si="27">IF(G364="",SUM(G360+G361),G360+G361+G364)</f>
        <v>0</v>
      </c>
      <c r="H366" s="250" t="e">
        <f>IF(H364="",SUM(H360+H361),H360+H361+H364)</f>
        <v>#VALUE!</v>
      </c>
      <c r="I366" s="250" t="e">
        <f t="shared" ref="I366" si="28">IF(I364="",SUM(I360+I361),I360+I361+I364)</f>
        <v>#VALUE!</v>
      </c>
      <c r="K366" s="14" t="s">
        <v>192</v>
      </c>
      <c r="O366" s="21"/>
    </row>
    <row r="367" spans="1:15" s="26" customFormat="1" x14ac:dyDescent="0.25">
      <c r="B367" s="229"/>
      <c r="C367" s="66"/>
      <c r="D367" s="66"/>
      <c r="E367" s="66"/>
      <c r="O367" s="21"/>
    </row>
    <row r="368" spans="1:15" s="26" customFormat="1" x14ac:dyDescent="0.25"/>
    <row r="369" spans="2:19" s="26" customFormat="1" x14ac:dyDescent="0.25">
      <c r="B369" s="224" t="s">
        <v>101</v>
      </c>
      <c r="C369" s="224"/>
      <c r="D369" s="224"/>
      <c r="E369" s="224"/>
    </row>
    <row r="370" spans="2:19" s="26" customFormat="1" ht="15.75" customHeight="1" x14ac:dyDescent="0.25"/>
    <row r="371" spans="2:19" s="26" customFormat="1" x14ac:dyDescent="0.25">
      <c r="B371" s="234"/>
      <c r="C371" s="234"/>
      <c r="D371" s="234"/>
      <c r="E371" s="234"/>
      <c r="F371" s="234"/>
      <c r="G371" s="234"/>
      <c r="H371" s="234"/>
      <c r="I371" s="234"/>
      <c r="J371" s="234"/>
      <c r="K371" s="234"/>
      <c r="L371" s="234"/>
      <c r="M371" s="234"/>
      <c r="N371" s="234"/>
      <c r="O371" s="234"/>
      <c r="P371" s="234"/>
      <c r="Q371" s="234"/>
      <c r="R371" s="234"/>
      <c r="S371" s="234"/>
    </row>
    <row r="372" spans="2:19" s="26" customFormat="1" x14ac:dyDescent="0.25">
      <c r="B372" s="234"/>
      <c r="C372" s="234"/>
      <c r="D372" s="234"/>
      <c r="E372" s="234"/>
      <c r="F372" s="234"/>
      <c r="G372" s="234"/>
      <c r="H372" s="234"/>
      <c r="I372" s="234"/>
      <c r="J372" s="234"/>
      <c r="K372" s="234"/>
      <c r="L372" s="234"/>
      <c r="M372" s="234"/>
      <c r="N372" s="234"/>
      <c r="O372" s="234"/>
      <c r="P372" s="234"/>
      <c r="Q372" s="234"/>
      <c r="R372" s="234"/>
      <c r="S372" s="234"/>
    </row>
    <row r="373" spans="2:19" s="26" customFormat="1" x14ac:dyDescent="0.25">
      <c r="B373" s="234"/>
      <c r="C373" s="234"/>
      <c r="D373" s="234"/>
      <c r="E373" s="234"/>
      <c r="F373" s="234"/>
      <c r="G373" s="234"/>
      <c r="H373" s="234"/>
      <c r="I373" s="234"/>
      <c r="J373" s="234"/>
      <c r="K373" s="234"/>
      <c r="L373" s="234"/>
      <c r="M373" s="234"/>
      <c r="N373" s="234"/>
      <c r="O373" s="234"/>
      <c r="P373" s="234"/>
      <c r="Q373" s="234"/>
      <c r="R373" s="234"/>
      <c r="S373" s="234"/>
    </row>
    <row r="374" spans="2:19" s="26" customFormat="1" x14ac:dyDescent="0.25">
      <c r="B374" s="234"/>
      <c r="C374" s="234"/>
      <c r="D374" s="234"/>
      <c r="E374" s="234"/>
      <c r="F374" s="234"/>
      <c r="G374" s="234"/>
      <c r="H374" s="234"/>
      <c r="I374" s="234"/>
      <c r="J374" s="234"/>
      <c r="K374" s="234"/>
      <c r="L374" s="234"/>
      <c r="M374" s="234"/>
      <c r="N374" s="234"/>
      <c r="O374" s="234"/>
      <c r="P374" s="234"/>
      <c r="Q374" s="234"/>
      <c r="R374" s="234"/>
      <c r="S374" s="234"/>
    </row>
    <row r="375" spans="2:19" s="26" customFormat="1" x14ac:dyDescent="0.25">
      <c r="B375" s="234"/>
      <c r="C375" s="234"/>
      <c r="D375" s="234"/>
      <c r="E375" s="234"/>
      <c r="F375" s="234"/>
      <c r="G375" s="234"/>
      <c r="H375" s="234"/>
      <c r="I375" s="234"/>
      <c r="J375" s="234"/>
      <c r="K375" s="234"/>
      <c r="L375" s="234"/>
      <c r="M375" s="234"/>
      <c r="N375" s="234"/>
      <c r="O375" s="234"/>
      <c r="P375" s="234"/>
      <c r="Q375" s="234"/>
      <c r="R375" s="234"/>
      <c r="S375" s="234"/>
    </row>
    <row r="376" spans="2:19" s="26" customFormat="1" x14ac:dyDescent="0.25">
      <c r="B376" s="234"/>
      <c r="C376" s="234"/>
      <c r="D376" s="234"/>
      <c r="E376" s="234"/>
      <c r="F376" s="234"/>
      <c r="G376" s="234"/>
      <c r="H376" s="234"/>
      <c r="I376" s="234"/>
      <c r="J376" s="234"/>
      <c r="K376" s="234"/>
      <c r="L376" s="234"/>
      <c r="M376" s="234"/>
      <c r="N376" s="234"/>
      <c r="O376" s="234"/>
      <c r="P376" s="234"/>
      <c r="Q376" s="234"/>
      <c r="R376" s="234"/>
      <c r="S376" s="234"/>
    </row>
    <row r="377" spans="2:19" s="26" customFormat="1" x14ac:dyDescent="0.25">
      <c r="B377" s="234"/>
      <c r="C377" s="234"/>
      <c r="D377" s="234"/>
      <c r="E377" s="234"/>
      <c r="F377" s="234"/>
      <c r="G377" s="234"/>
      <c r="H377" s="234"/>
      <c r="I377" s="234"/>
      <c r="J377" s="234"/>
      <c r="K377" s="234"/>
      <c r="L377" s="234"/>
      <c r="M377" s="234"/>
      <c r="N377" s="234"/>
      <c r="O377" s="234"/>
      <c r="P377" s="234"/>
      <c r="Q377" s="234"/>
      <c r="R377" s="234"/>
      <c r="S377" s="234"/>
    </row>
    <row r="378" spans="2:19" s="26" customFormat="1" x14ac:dyDescent="0.25">
      <c r="B378" s="234"/>
      <c r="C378" s="234"/>
      <c r="D378" s="234"/>
      <c r="E378" s="234"/>
      <c r="F378" s="234"/>
      <c r="G378" s="234"/>
      <c r="H378" s="234"/>
      <c r="I378" s="234"/>
      <c r="J378" s="234"/>
      <c r="K378" s="234"/>
      <c r="L378" s="234"/>
      <c r="M378" s="234"/>
      <c r="N378" s="234"/>
      <c r="O378" s="234"/>
      <c r="P378" s="234"/>
      <c r="Q378" s="234"/>
      <c r="R378" s="234"/>
      <c r="S378" s="234"/>
    </row>
    <row r="379" spans="2:19" s="26" customFormat="1" x14ac:dyDescent="0.25">
      <c r="B379" s="234"/>
      <c r="C379" s="234"/>
      <c r="D379" s="234"/>
      <c r="E379" s="234"/>
      <c r="F379" s="234"/>
      <c r="G379" s="234"/>
      <c r="H379" s="234"/>
      <c r="I379" s="234"/>
      <c r="J379" s="234"/>
      <c r="K379" s="234"/>
      <c r="L379" s="234"/>
      <c r="M379" s="234"/>
      <c r="N379" s="234"/>
      <c r="O379" s="234"/>
      <c r="P379" s="234"/>
      <c r="Q379" s="234"/>
      <c r="R379" s="234"/>
      <c r="S379" s="234"/>
    </row>
    <row r="380" spans="2:19" s="26" customFormat="1" x14ac:dyDescent="0.25">
      <c r="B380" s="234"/>
      <c r="C380" s="234"/>
      <c r="D380" s="234"/>
      <c r="E380" s="234"/>
      <c r="F380" s="234"/>
      <c r="G380" s="234"/>
      <c r="H380" s="234"/>
      <c r="I380" s="234"/>
      <c r="J380" s="234"/>
      <c r="K380" s="234"/>
      <c r="L380" s="234"/>
      <c r="M380" s="234"/>
      <c r="N380" s="234"/>
      <c r="O380" s="234"/>
      <c r="P380" s="234"/>
      <c r="Q380" s="234"/>
      <c r="R380" s="234"/>
      <c r="S380" s="234"/>
    </row>
    <row r="381" spans="2:19" s="26" customFormat="1" x14ac:dyDescent="0.25"/>
    <row r="382" spans="2:19" s="26" customFormat="1" x14ac:dyDescent="0.25"/>
    <row r="383" spans="2:19" s="26" customFormat="1" ht="15.75" thickBot="1" x14ac:dyDescent="0.3"/>
    <row r="384" spans="2:19" s="26" customFormat="1" ht="15.75" thickBot="1" x14ac:dyDescent="0.3">
      <c r="B384" s="410" t="str">
        <f>CONCATENATE("Comparator 4: ",NameComparator4)</f>
        <v xml:space="preserve">Comparator 4: </v>
      </c>
      <c r="C384" s="411"/>
      <c r="D384" s="411"/>
      <c r="E384" s="411"/>
      <c r="F384" s="411"/>
      <c r="G384" s="412"/>
    </row>
    <row r="385" spans="1:22" s="26" customFormat="1" x14ac:dyDescent="0.25">
      <c r="B385" s="227"/>
      <c r="C385" s="227"/>
      <c r="D385" s="227"/>
      <c r="F385" s="228"/>
      <c r="G385" s="228"/>
      <c r="H385" s="228"/>
      <c r="I385" s="228"/>
      <c r="J385" s="228"/>
    </row>
    <row r="386" spans="1:22" s="26" customFormat="1" x14ac:dyDescent="0.25"/>
    <row r="387" spans="1:22" s="26" customFormat="1" ht="28.5" customHeight="1" thickBot="1" x14ac:dyDescent="0.3">
      <c r="B387" s="334" t="s">
        <v>118</v>
      </c>
      <c r="C387" s="334"/>
      <c r="D387" s="334"/>
      <c r="E387" s="334"/>
      <c r="K387" s="408" t="s">
        <v>209</v>
      </c>
      <c r="L387" s="408"/>
      <c r="M387" s="408"/>
      <c r="N387" s="408"/>
      <c r="O387" s="408"/>
      <c r="P387" s="225"/>
      <c r="Q387" s="225"/>
      <c r="R387" s="225"/>
      <c r="S387" s="225"/>
      <c r="T387" s="225"/>
      <c r="U387" s="225"/>
      <c r="V387" s="225"/>
    </row>
    <row r="388" spans="1:22" s="26" customFormat="1" ht="18.95" customHeight="1" thickBot="1" x14ac:dyDescent="0.3">
      <c r="B388" s="465" t="s">
        <v>119</v>
      </c>
      <c r="C388" s="466"/>
      <c r="D388" s="466"/>
      <c r="E388" s="466"/>
      <c r="F388" s="466"/>
      <c r="G388" s="466"/>
      <c r="H388" s="466"/>
      <c r="I388" s="467"/>
      <c r="K388" s="408"/>
      <c r="L388" s="408"/>
      <c r="M388" s="408"/>
      <c r="N388" s="408"/>
      <c r="O388" s="408"/>
      <c r="P388" s="225"/>
      <c r="Q388" s="225"/>
      <c r="R388" s="225"/>
      <c r="S388" s="225"/>
      <c r="T388" s="225"/>
      <c r="U388" s="225"/>
      <c r="V388" s="225"/>
    </row>
    <row r="389" spans="1:22" s="26" customFormat="1" ht="15.75" thickBot="1" x14ac:dyDescent="0.3">
      <c r="B389" s="220"/>
      <c r="C389" s="221"/>
      <c r="D389" s="221"/>
      <c r="E389" s="221"/>
      <c r="F389" s="466" t="s">
        <v>120</v>
      </c>
      <c r="G389" s="466"/>
      <c r="H389" s="466"/>
      <c r="I389" s="467"/>
      <c r="K389" s="14"/>
    </row>
    <row r="390" spans="1:22" s="26" customFormat="1" ht="15.75" thickBot="1" x14ac:dyDescent="0.3">
      <c r="B390" s="472" t="s">
        <v>174</v>
      </c>
      <c r="C390" s="473"/>
      <c r="D390" s="473"/>
      <c r="E390" s="474"/>
      <c r="F390" s="149"/>
      <c r="G390" s="149"/>
      <c r="H390" s="149"/>
      <c r="I390" s="149"/>
      <c r="K390" s="14" t="s">
        <v>180</v>
      </c>
    </row>
    <row r="391" spans="1:22" s="26" customFormat="1" ht="30" customHeight="1" thickBot="1" x14ac:dyDescent="0.3">
      <c r="B391" s="472" t="s">
        <v>106</v>
      </c>
      <c r="C391" s="473"/>
      <c r="D391" s="473"/>
      <c r="E391" s="474"/>
      <c r="F391" s="235"/>
      <c r="G391" s="235"/>
      <c r="H391" s="235"/>
      <c r="I391" s="235"/>
      <c r="J391" s="26" t="s">
        <v>104</v>
      </c>
      <c r="K391" s="408" t="s">
        <v>181</v>
      </c>
      <c r="L391" s="408"/>
      <c r="M391" s="408"/>
      <c r="N391" s="408"/>
      <c r="O391" s="408"/>
      <c r="P391" s="21"/>
      <c r="Q391" s="21"/>
      <c r="R391" s="21"/>
      <c r="S391" s="21"/>
      <c r="T391" s="21"/>
    </row>
    <row r="392" spans="1:22" s="26" customFormat="1" ht="15.75" thickBot="1" x14ac:dyDescent="0.3">
      <c r="A392" s="14"/>
      <c r="B392" s="472" t="s">
        <v>107</v>
      </c>
      <c r="C392" s="473"/>
      <c r="D392" s="473"/>
      <c r="E392" s="474"/>
      <c r="F392" s="151"/>
      <c r="G392" s="151"/>
      <c r="H392" s="151"/>
      <c r="I392" s="151"/>
      <c r="J392" s="236"/>
      <c r="K392" s="110" t="s">
        <v>182</v>
      </c>
      <c r="N392" s="21"/>
      <c r="O392" s="21"/>
      <c r="P392" s="21"/>
      <c r="Q392" s="21"/>
      <c r="R392" s="21"/>
      <c r="S392" s="21"/>
      <c r="T392" s="21"/>
    </row>
    <row r="393" spans="1:22" s="26" customFormat="1" ht="15.75" thickBot="1" x14ac:dyDescent="0.3">
      <c r="A393" s="15"/>
      <c r="B393" s="472" t="s">
        <v>108</v>
      </c>
      <c r="C393" s="473"/>
      <c r="D393" s="473"/>
      <c r="E393" s="474"/>
      <c r="F393" s="489"/>
      <c r="G393" s="490"/>
      <c r="H393" s="490"/>
      <c r="I393" s="491"/>
      <c r="J393" s="237" t="s">
        <v>104</v>
      </c>
      <c r="K393" s="110" t="s">
        <v>210</v>
      </c>
    </row>
    <row r="394" spans="1:22" s="26" customFormat="1" ht="15.75" thickBot="1" x14ac:dyDescent="0.3">
      <c r="A394" s="15"/>
      <c r="B394" s="472" t="s">
        <v>74</v>
      </c>
      <c r="C394" s="473"/>
      <c r="D394" s="473"/>
      <c r="E394" s="474"/>
      <c r="F394" s="492"/>
      <c r="G394" s="493"/>
      <c r="H394" s="493"/>
      <c r="I394" s="494"/>
      <c r="J394" s="237" t="s">
        <v>104</v>
      </c>
      <c r="K394" s="110" t="s">
        <v>184</v>
      </c>
    </row>
    <row r="395" spans="1:22" s="26" customFormat="1" ht="15.75" thickBot="1" x14ac:dyDescent="0.3">
      <c r="B395" s="472" t="s">
        <v>75</v>
      </c>
      <c r="C395" s="473"/>
      <c r="D395" s="473"/>
      <c r="E395" s="474"/>
      <c r="F395" s="492"/>
      <c r="G395" s="493"/>
      <c r="H395" s="493"/>
      <c r="I395" s="494"/>
      <c r="J395" s="26" t="s">
        <v>104</v>
      </c>
      <c r="K395" s="110" t="s">
        <v>185</v>
      </c>
    </row>
    <row r="396" spans="1:22" s="26" customFormat="1" ht="15.75" thickBot="1" x14ac:dyDescent="0.3">
      <c r="B396" s="472" t="s">
        <v>76</v>
      </c>
      <c r="C396" s="473"/>
      <c r="D396" s="473"/>
      <c r="E396" s="474"/>
      <c r="F396" s="492"/>
      <c r="G396" s="493"/>
      <c r="H396" s="493"/>
      <c r="I396" s="494"/>
      <c r="J396" s="237" t="s">
        <v>104</v>
      </c>
      <c r="K396" s="110" t="s">
        <v>216</v>
      </c>
    </row>
    <row r="397" spans="1:22" s="26" customFormat="1" ht="15.75" thickBot="1" x14ac:dyDescent="0.3">
      <c r="B397" s="472" t="s">
        <v>172</v>
      </c>
      <c r="C397" s="473"/>
      <c r="D397" s="473"/>
      <c r="E397" s="474"/>
      <c r="F397" s="492"/>
      <c r="G397" s="493"/>
      <c r="H397" s="493"/>
      <c r="I397" s="494"/>
      <c r="J397" s="237" t="s">
        <v>104</v>
      </c>
      <c r="K397" s="110" t="s">
        <v>217</v>
      </c>
    </row>
    <row r="398" spans="1:22" s="26" customFormat="1" ht="15.75" thickBot="1" x14ac:dyDescent="0.3">
      <c r="B398" s="472" t="s">
        <v>173</v>
      </c>
      <c r="C398" s="473"/>
      <c r="D398" s="473"/>
      <c r="E398" s="474"/>
      <c r="F398" s="492"/>
      <c r="G398" s="493"/>
      <c r="H398" s="493"/>
      <c r="I398" s="494"/>
      <c r="J398" s="237" t="s">
        <v>104</v>
      </c>
      <c r="K398" s="110" t="s">
        <v>218</v>
      </c>
    </row>
    <row r="399" spans="1:22" s="26" customFormat="1" ht="30" customHeight="1" x14ac:dyDescent="0.25">
      <c r="B399" s="112"/>
      <c r="C399" s="112"/>
      <c r="D399" s="112"/>
      <c r="E399" s="228"/>
      <c r="F399" s="228"/>
      <c r="G399" s="238"/>
      <c r="H399" s="228"/>
      <c r="I399" s="228"/>
      <c r="J399" s="239"/>
      <c r="K399" s="110"/>
    </row>
    <row r="400" spans="1:22" s="26" customFormat="1" ht="15.75" thickBot="1" x14ac:dyDescent="0.3">
      <c r="B400" s="334" t="s">
        <v>171</v>
      </c>
      <c r="C400" s="334"/>
      <c r="D400" s="334"/>
      <c r="E400" s="334"/>
      <c r="F400" s="228"/>
      <c r="G400" s="228"/>
      <c r="H400" s="228"/>
      <c r="I400" s="228"/>
      <c r="J400" s="239"/>
      <c r="K400" s="404" t="s">
        <v>195</v>
      </c>
      <c r="L400" s="404"/>
      <c r="M400" s="404"/>
      <c r="N400" s="404"/>
      <c r="O400" s="404"/>
      <c r="P400" s="219"/>
      <c r="Q400" s="219"/>
      <c r="R400" s="219"/>
      <c r="S400" s="219"/>
      <c r="T400" s="219"/>
      <c r="U400" s="219"/>
      <c r="V400" s="219"/>
    </row>
    <row r="401" spans="1:22" s="26" customFormat="1" ht="29.1" customHeight="1" thickBot="1" x14ac:dyDescent="0.3">
      <c r="B401" s="465" t="s">
        <v>121</v>
      </c>
      <c r="C401" s="466"/>
      <c r="D401" s="466"/>
      <c r="E401" s="466"/>
      <c r="F401" s="466"/>
      <c r="G401" s="466"/>
      <c r="H401" s="466"/>
      <c r="I401" s="467"/>
      <c r="J401" s="239"/>
      <c r="K401" s="404"/>
      <c r="L401" s="404"/>
      <c r="M401" s="404"/>
      <c r="N401" s="404"/>
      <c r="O401" s="404"/>
      <c r="P401" s="219"/>
      <c r="Q401" s="219"/>
      <c r="R401" s="219"/>
      <c r="S401" s="219"/>
      <c r="T401" s="219"/>
      <c r="U401" s="219"/>
      <c r="V401" s="219"/>
    </row>
    <row r="402" spans="1:22" s="26" customFormat="1" ht="30" customHeight="1" thickBot="1" x14ac:dyDescent="0.3">
      <c r="B402" s="472" t="s">
        <v>122</v>
      </c>
      <c r="C402" s="473"/>
      <c r="D402" s="473"/>
      <c r="E402" s="474"/>
      <c r="F402" s="468"/>
      <c r="G402" s="469"/>
      <c r="H402" s="470"/>
      <c r="I402" s="471"/>
      <c r="J402" s="239"/>
      <c r="K402" s="408" t="s">
        <v>186</v>
      </c>
      <c r="L402" s="408"/>
      <c r="M402" s="408"/>
      <c r="N402" s="408"/>
      <c r="O402" s="408"/>
    </row>
    <row r="403" spans="1:22" s="26" customFormat="1" ht="23.1" customHeight="1" thickBot="1" x14ac:dyDescent="0.3">
      <c r="B403" s="472" t="str">
        <f>B390</f>
        <v>Pack Identification</v>
      </c>
      <c r="C403" s="473"/>
      <c r="D403" s="473"/>
      <c r="E403" s="474"/>
      <c r="F403" s="192" t="str">
        <f>IF(ISBLANK(F390),"",F390)</f>
        <v/>
      </c>
      <c r="G403" s="192" t="str">
        <f t="shared" ref="G403:I403" si="29">IF(ISBLANK(G390),"",G390)</f>
        <v/>
      </c>
      <c r="H403" s="192" t="str">
        <f t="shared" si="29"/>
        <v/>
      </c>
      <c r="I403" s="192" t="str">
        <f t="shared" si="29"/>
        <v/>
      </c>
      <c r="J403" s="239"/>
      <c r="K403" s="408"/>
      <c r="L403" s="408"/>
      <c r="M403" s="408"/>
      <c r="N403" s="408"/>
      <c r="O403" s="408"/>
    </row>
    <row r="404" spans="1:22" s="26" customFormat="1" ht="15.75" thickBot="1" x14ac:dyDescent="0.3">
      <c r="B404" s="512" t="s">
        <v>123</v>
      </c>
      <c r="C404" s="513"/>
      <c r="D404" s="513"/>
      <c r="E404" s="514"/>
      <c r="F404" s="145"/>
      <c r="G404" s="154"/>
      <c r="H404" s="154"/>
      <c r="I404" s="154"/>
      <c r="J404" s="239"/>
      <c r="K404" s="408" t="s">
        <v>187</v>
      </c>
      <c r="L404" s="408"/>
      <c r="M404" s="408"/>
      <c r="N404" s="408"/>
      <c r="O404" s="408"/>
    </row>
    <row r="405" spans="1:22" s="26" customFormat="1" ht="75.75" customHeight="1" x14ac:dyDescent="0.25">
      <c r="B405" s="223"/>
      <c r="C405" s="223"/>
      <c r="D405" s="223"/>
      <c r="E405" s="223"/>
      <c r="F405" s="228"/>
      <c r="G405" s="228"/>
      <c r="H405" s="228"/>
      <c r="I405" s="228"/>
      <c r="J405" s="239"/>
      <c r="K405" s="408"/>
      <c r="L405" s="408"/>
      <c r="M405" s="408"/>
      <c r="N405" s="408"/>
      <c r="O405" s="408"/>
    </row>
    <row r="406" spans="1:22" s="26" customFormat="1" x14ac:dyDescent="0.25">
      <c r="B406" s="511"/>
      <c r="C406" s="511"/>
      <c r="D406" s="511"/>
      <c r="E406" s="511"/>
      <c r="K406" s="408"/>
      <c r="L406" s="408"/>
      <c r="M406" s="408"/>
      <c r="N406" s="408"/>
      <c r="O406" s="408"/>
    </row>
    <row r="407" spans="1:22" s="26" customFormat="1" x14ac:dyDescent="0.25">
      <c r="B407" s="228"/>
      <c r="C407" s="228"/>
      <c r="D407" s="228"/>
      <c r="E407" s="228"/>
      <c r="O407" s="21"/>
    </row>
    <row r="408" spans="1:22" s="26" customFormat="1" x14ac:dyDescent="0.25">
      <c r="A408" s="155"/>
      <c r="B408" s="224" t="s">
        <v>124</v>
      </c>
      <c r="C408" s="217"/>
      <c r="D408" s="66"/>
      <c r="E408" s="66"/>
      <c r="F408" s="390"/>
      <c r="G408" s="390"/>
      <c r="H408" s="390"/>
      <c r="I408" s="390"/>
      <c r="O408" s="21"/>
    </row>
    <row r="409" spans="1:22" s="26" customFormat="1" x14ac:dyDescent="0.25">
      <c r="A409" s="14" t="s">
        <v>125</v>
      </c>
      <c r="B409" s="217"/>
      <c r="C409" s="217"/>
      <c r="D409" s="66"/>
      <c r="E409" s="66"/>
      <c r="F409" s="217"/>
      <c r="G409" s="217"/>
      <c r="H409" s="217"/>
      <c r="I409" s="217"/>
      <c r="O409" s="21"/>
    </row>
    <row r="410" spans="1:22" s="26" customFormat="1" ht="15.75" thickBot="1" x14ac:dyDescent="0.3">
      <c r="B410" s="66"/>
      <c r="C410" s="66"/>
      <c r="D410" s="66"/>
      <c r="E410" s="66"/>
      <c r="F410" s="390" t="s">
        <v>126</v>
      </c>
      <c r="G410" s="390"/>
      <c r="H410" s="390"/>
      <c r="I410" s="390"/>
      <c r="O410" s="21"/>
    </row>
    <row r="411" spans="1:22" s="26" customFormat="1" ht="15.75" thickBot="1" x14ac:dyDescent="0.3">
      <c r="B411" s="66"/>
      <c r="C411" s="66"/>
      <c r="D411" s="66"/>
      <c r="E411" s="66"/>
      <c r="F411" s="156" t="str">
        <f>IF(F390="","",F390)</f>
        <v/>
      </c>
      <c r="G411" s="156" t="str">
        <f>IF(G390="","",G390)</f>
        <v/>
      </c>
      <c r="H411" s="156" t="str">
        <f>IF(H390="","",H390)</f>
        <v/>
      </c>
      <c r="I411" s="156" t="str">
        <f>IF(I390="","",I390)</f>
        <v/>
      </c>
      <c r="O411" s="21"/>
    </row>
    <row r="412" spans="1:22" s="26" customFormat="1" x14ac:dyDescent="0.25">
      <c r="A412" s="91" t="s">
        <v>77</v>
      </c>
      <c r="B412" s="475" t="s">
        <v>82</v>
      </c>
      <c r="C412" s="476"/>
      <c r="D412" s="476"/>
      <c r="E412" s="240"/>
      <c r="F412" s="241" t="str">
        <f>IF(OR(F391="",F392="",F393=""),"",IF(F391="Price to Wholesaler",F392,IF(F391="Reimbursement Price",(F414/(1+E413)*1),"Error")))</f>
        <v/>
      </c>
      <c r="G412" s="241" t="str">
        <f>IF(OR(G391="",G392="",F393=""),"",IF(G391="Price to Wholesaler",G392,IF(G391="Reimbursement Price",(G414/(1+E413)*1),"Error")))</f>
        <v/>
      </c>
      <c r="H412" s="241" t="str">
        <f>IF(OR(H391="",H392="",F393=""),"",IF(H391="Price to Wholesaler",H392,IF(H391="Reimbursement Price",(H414/(1+E413)*1),"Error")))</f>
        <v/>
      </c>
      <c r="I412" s="241" t="str">
        <f>IF(OR(I391="",I392="",F393=""),"",IF(I391="Price to Wholesaler",I392,IF(I391="Reimbursement Price",(I414/(1+E413)*1),"Error")))</f>
        <v/>
      </c>
      <c r="O412" s="21"/>
    </row>
    <row r="413" spans="1:22" s="26" customFormat="1" x14ac:dyDescent="0.25">
      <c r="A413" s="92" t="s">
        <v>78</v>
      </c>
      <c r="B413" s="477" t="s">
        <v>83</v>
      </c>
      <c r="C413" s="478"/>
      <c r="D413" s="478"/>
      <c r="E413" s="93" t="str">
        <f>IF(OR(F393=""),"",IF(AND(F393="CDS",F394="Yes"),CYF,IF(AND(F393="CDS",F394="No"),CNF,IF(F393="HT",CHT,IF(F393="Hosp",CHO,"Error")))))</f>
        <v/>
      </c>
      <c r="F413" s="242" t="str">
        <f>IF(OR(F393="",F392="",F391=""),"",F412*E413)</f>
        <v/>
      </c>
      <c r="G413" s="242" t="str">
        <f>IF(OR(F393="",G392="",G391=""),"",G412*E413)</f>
        <v/>
      </c>
      <c r="H413" s="242" t="str">
        <f>IF(OR(F393="",H392="",H391=""),"",H412*E413)</f>
        <v/>
      </c>
      <c r="I413" s="242" t="str">
        <f>IF(OR(F393="",I392="",I391=""),"",I412*E413)</f>
        <v/>
      </c>
      <c r="O413" s="21"/>
    </row>
    <row r="414" spans="1:22" s="26" customFormat="1" x14ac:dyDescent="0.25">
      <c r="A414" s="92" t="s">
        <v>79</v>
      </c>
      <c r="B414" s="477" t="str">
        <f>IF(F393="Hosp","Hospital Price", "Reimbursement Price")</f>
        <v>Reimbursement Price</v>
      </c>
      <c r="C414" s="478"/>
      <c r="D414" s="478"/>
      <c r="E414" s="243" t="str">
        <f>IF(F391="Price to Wholesaler","A+B","")</f>
        <v/>
      </c>
      <c r="F414" s="242" t="str">
        <f>IF(F391="Reimbursement Price",F392,IF(ISBLANK(E413),"",IF(F391="Price to Wholesaler",(F412+F413),IF(F391="","","Error"))))</f>
        <v/>
      </c>
      <c r="G414" s="242" t="str">
        <f>IF(G391="Reimbursement Price",G392,IF(ISBLANK(E413),"",IF(G391="Price to Wholesaler",(G412+G413),IF(G391="","","Error"))))</f>
        <v/>
      </c>
      <c r="H414" s="242" t="str">
        <f>IF(H391="Reimbursement Price",H392,IF(ISBLANK(E413),"",IF(H391="Price to Wholesaler",(H412+H413),IF(H391="","","Error"))))</f>
        <v/>
      </c>
      <c r="I414" s="242" t="str">
        <f>IF(I391="Reimbursement Price",I392,IF(ISBLANK(E413),"",IF(I391="Price to Wholesaler",(I412+I413),IF(I391="","","Error"))))</f>
        <v/>
      </c>
      <c r="O414" s="21"/>
    </row>
    <row r="415" spans="1:22" s="26" customFormat="1" x14ac:dyDescent="0.25">
      <c r="A415" s="92" t="s">
        <v>80</v>
      </c>
      <c r="B415" s="477" t="s">
        <v>214</v>
      </c>
      <c r="C415" s="478"/>
      <c r="D415" s="478"/>
      <c r="E415" s="268" t="str">
        <f>IF(OR(F396="",AND(F396="Yes",F397=""),AND(F396="No",F398="")),"",IF(AND(F396="No",F398="Patented Exclusive or Off Patent Exclusive and subject to clause 10 of Framework Agreement"),MR,IF(AND(F396="No",F398="Off Patent Non-Exclusive or Generic"),"None",IF(AND(F396="Yes",F397="Biosimilar"),"None",IF(AND(F396="Yes",F397="Patented or Off Patent Exclusive"),MR,IF(AND(F396="Yes",F397="Off Patent Non-Exclusive 12.5% Rebate incorporated into Price to Wholesaler"),"None",IF(AND(F396="Yes",F397="Off Patent Non-Exclusive 12.5% Rebate"),MRB,"Error")))))))</f>
        <v/>
      </c>
      <c r="F415" s="242" t="str">
        <f>IF(OR(F396="",AND(F396="Yes",F397=""),AND(F396="No",F398=""),F391="",ISBLANK(F392)),"",IF(E415="None",0,(E415*F412)))</f>
        <v/>
      </c>
      <c r="G415" s="242" t="str">
        <f>IF(OR(F396="",AND(F396="Yes",F397=""),AND(F396="No",F398=""),G391="",ISBLANK(G392)),"",IF(E415="None",0,(E415*G412)))</f>
        <v/>
      </c>
      <c r="H415" s="242" t="str">
        <f>IF(OR(F396="",AND(F396="Yes",F397=""),AND(F396="No",F398=""),H391="",ISBLANK(H392)),"",IF(E415="None",0,(E415*H412)))</f>
        <v/>
      </c>
      <c r="I415" s="242" t="str">
        <f>IF(OR(F396="",AND(F396="Yes",F397=""),AND(F396="No",F398=""),I391="",ISBLANK(I392)),"",IF(E415="None",0,(E415*I412)))</f>
        <v/>
      </c>
      <c r="O415" s="21"/>
    </row>
    <row r="416" spans="1:22" s="26" customFormat="1" ht="15.75" thickBot="1" x14ac:dyDescent="0.3">
      <c r="A416" s="159" t="s">
        <v>81</v>
      </c>
      <c r="B416" s="479" t="s">
        <v>94</v>
      </c>
      <c r="C416" s="480"/>
      <c r="D416" s="480"/>
      <c r="E416" s="160" t="str">
        <f>IF(F395="","",IF(F395="Yes",0,VT))</f>
        <v/>
      </c>
      <c r="F416" s="244" t="str">
        <f>IF(OR($B395="",F392="",ISBLANK(F392)),"",($E416*F414))</f>
        <v/>
      </c>
      <c r="G416" s="244" t="str">
        <f t="shared" ref="G416:I416" si="30">IF(OR($B395="",G392="",ISBLANK(G392)),"",($E416*G414))</f>
        <v/>
      </c>
      <c r="H416" s="244" t="str">
        <f t="shared" si="30"/>
        <v/>
      </c>
      <c r="I416" s="244" t="str">
        <f t="shared" si="30"/>
        <v/>
      </c>
      <c r="O416" s="21"/>
    </row>
    <row r="417" spans="1:20" s="26" customFormat="1" ht="15.75" thickBot="1" x14ac:dyDescent="0.3">
      <c r="A417" s="222" t="s">
        <v>127</v>
      </c>
      <c r="B417" s="481" t="s">
        <v>128</v>
      </c>
      <c r="C417" s="481"/>
      <c r="D417" s="481"/>
      <c r="E417" s="222"/>
      <c r="F417" s="245" t="str">
        <f>IF(OR(F391="",$F393="",$F395="",$F396=""),"",SUM(F414:F416))</f>
        <v/>
      </c>
      <c r="G417" s="245" t="str">
        <f t="shared" ref="G417" si="31">IF(OR(G391="",$F393="",$F395="",$F396=""),"",SUM(G414:G416))</f>
        <v/>
      </c>
      <c r="H417" s="245" t="str">
        <f t="shared" ref="H417" si="32">IF(OR(H391="",$F393="",$F395="",$F396=""),"",SUM(H414:H416))</f>
        <v/>
      </c>
      <c r="I417" s="245" t="str">
        <f t="shared" ref="I417" si="33">IF(OR(I391="",$F393="",$F395="",$F396=""),"",SUM(I414:I416))</f>
        <v/>
      </c>
      <c r="O417" s="21"/>
    </row>
    <row r="418" spans="1:20" s="26" customFormat="1" ht="15.75" thickBot="1" x14ac:dyDescent="0.3">
      <c r="A418" s="222" t="s">
        <v>129</v>
      </c>
      <c r="B418" s="482" t="s">
        <v>130</v>
      </c>
      <c r="C418" s="482"/>
      <c r="D418" s="482"/>
      <c r="E418" s="245"/>
      <c r="F418" s="245" t="str">
        <f>IF(OR(F391="",$F393="",$F395="",$F396=""),"",SUM(F414:F415))</f>
        <v/>
      </c>
      <c r="G418" s="245" t="str">
        <f t="shared" ref="G418:I418" si="34">IF(OR(G391="",$F393="",$F395="",$F396=""),"",SUM(G414:G415))</f>
        <v/>
      </c>
      <c r="H418" s="245" t="str">
        <f t="shared" si="34"/>
        <v/>
      </c>
      <c r="I418" s="245" t="str">
        <f t="shared" si="34"/>
        <v/>
      </c>
      <c r="O418" s="21"/>
    </row>
    <row r="419" spans="1:20" s="26" customFormat="1" x14ac:dyDescent="0.25">
      <c r="B419" s="66"/>
      <c r="C419" s="66"/>
      <c r="D419" s="66"/>
      <c r="E419" s="66"/>
      <c r="K419" s="26" t="s">
        <v>131</v>
      </c>
      <c r="O419" s="21"/>
    </row>
    <row r="420" spans="1:20" s="26" customFormat="1" x14ac:dyDescent="0.25">
      <c r="A420" s="155" t="s">
        <v>132</v>
      </c>
      <c r="B420" s="66"/>
      <c r="C420" s="66"/>
      <c r="D420" s="66"/>
      <c r="E420" s="66"/>
      <c r="F420" s="246"/>
      <c r="G420" s="246"/>
      <c r="H420" s="246"/>
      <c r="I420" s="246"/>
      <c r="O420" s="21"/>
    </row>
    <row r="421" spans="1:20" s="26" customFormat="1" x14ac:dyDescent="0.25">
      <c r="A421" s="125"/>
      <c r="B421" s="125" t="s">
        <v>133</v>
      </c>
      <c r="C421" s="125"/>
      <c r="D421" s="125"/>
      <c r="E421" s="125"/>
      <c r="F421" s="125"/>
      <c r="G421" s="125"/>
      <c r="H421" s="125"/>
      <c r="O421" s="21"/>
    </row>
    <row r="422" spans="1:20" s="26" customFormat="1" x14ac:dyDescent="0.25">
      <c r="B422" s="21" t="s">
        <v>134</v>
      </c>
      <c r="C422" s="229"/>
      <c r="D422" s="229"/>
      <c r="E422" s="66"/>
      <c r="O422" s="21"/>
    </row>
    <row r="423" spans="1:20" s="26" customFormat="1" ht="15.75" thickBot="1" x14ac:dyDescent="0.3">
      <c r="B423" s="165"/>
      <c r="C423" s="229"/>
      <c r="D423" s="229"/>
      <c r="E423" s="66"/>
      <c r="O423" s="21"/>
    </row>
    <row r="424" spans="1:20" s="26" customFormat="1" ht="15.75" thickBot="1" x14ac:dyDescent="0.3">
      <c r="B424" s="230"/>
      <c r="C424" s="66"/>
      <c r="D424" s="66"/>
      <c r="E424" s="66"/>
      <c r="G424" s="13" t="s">
        <v>135</v>
      </c>
      <c r="H424" s="13" t="s">
        <v>136</v>
      </c>
      <c r="O424" s="21"/>
    </row>
    <row r="425" spans="1:20" s="26" customFormat="1" x14ac:dyDescent="0.25">
      <c r="B425" s="483" t="s">
        <v>137</v>
      </c>
      <c r="C425" s="484"/>
      <c r="D425" s="484"/>
      <c r="E425" s="484"/>
      <c r="F425" s="485"/>
      <c r="G425" s="247" t="str">
        <f>IF(F393="","",IF(F393="CDS","per dispensing",IF(F393="HT","per month",IF(F393="Hosp","No Fee", ERROR))))</f>
        <v/>
      </c>
      <c r="H425" s="248" t="str">
        <f>IF(F393="","",IF(F393="CDS",DF,IF(F393="HT",PC,IF(F393="Hosp","No Fee",ERROR))))</f>
        <v/>
      </c>
      <c r="I425" s="26" t="s">
        <v>138</v>
      </c>
      <c r="O425" s="21"/>
    </row>
    <row r="426" spans="1:20" s="26" customFormat="1" ht="15.75" thickBot="1" x14ac:dyDescent="0.3">
      <c r="B426" s="486" t="s">
        <v>92</v>
      </c>
      <c r="C426" s="487"/>
      <c r="D426" s="487"/>
      <c r="E426" s="487"/>
      <c r="F426" s="488"/>
      <c r="G426" s="249" t="str">
        <f>IF(OR(F393="",F395=""),"",IF(F393="Hosp","No Fee",IF(F393="HT","No VAT",IF(AND(F393="CDS",F395="No"),VT,"No VAT"))))</f>
        <v/>
      </c>
      <c r="H426" s="250" t="str">
        <f>IF(OR(F395="",F393="Hosp"),"",IF(OR(F395="Yes",F393="HT"),0,H425*G426))</f>
        <v/>
      </c>
      <c r="O426" s="21"/>
    </row>
    <row r="427" spans="1:20" s="26" customFormat="1" x14ac:dyDescent="0.25">
      <c r="B427" s="230"/>
      <c r="C427" s="66"/>
      <c r="D427" s="66"/>
      <c r="E427" s="66"/>
      <c r="O427" s="21"/>
    </row>
    <row r="428" spans="1:20" s="26" customFormat="1" x14ac:dyDescent="0.25">
      <c r="B428" s="230"/>
      <c r="C428" s="66"/>
      <c r="D428" s="66"/>
      <c r="E428" s="66"/>
      <c r="O428" s="21"/>
    </row>
    <row r="429" spans="1:20" s="26" customFormat="1" ht="33.950000000000003" customHeight="1" thickBot="1" x14ac:dyDescent="0.3">
      <c r="A429" s="165" t="s">
        <v>193</v>
      </c>
      <c r="B429" s="230"/>
      <c r="C429" s="66"/>
      <c r="D429" s="66"/>
      <c r="E429" s="66"/>
      <c r="K429" s="408" t="s">
        <v>197</v>
      </c>
      <c r="L429" s="408"/>
      <c r="M429" s="408"/>
      <c r="N429" s="408"/>
      <c r="O429" s="408"/>
      <c r="P429" s="195"/>
      <c r="Q429" s="195"/>
      <c r="R429" s="195"/>
      <c r="S429" s="195"/>
      <c r="T429" s="195"/>
    </row>
    <row r="430" spans="1:20" s="26" customFormat="1" ht="17.100000000000001" customHeight="1" thickBot="1" x14ac:dyDescent="0.3">
      <c r="A430" s="14" t="s">
        <v>194</v>
      </c>
      <c r="B430" s="230"/>
      <c r="C430" s="66"/>
      <c r="D430" s="66"/>
      <c r="E430" s="66"/>
      <c r="G430" s="13" t="s">
        <v>101</v>
      </c>
      <c r="H430" s="13" t="s">
        <v>136</v>
      </c>
      <c r="K430" s="408" t="str">
        <f>IF(F393="HT","For High tech, if a treatment cycle =28 days the corresponding pharmacy fee is =62.03*12/365.25*28.  The pharmacy fee remains the same regardless of the number of products dispensed that month.",IF(F393="CDS","For CDS, if 2 packets of the same pack presentation are required per treatment cycle, one dispensing fee applies (€5.48). If multiple pack presentations are required, multiple dispensing fees apply",""))</f>
        <v/>
      </c>
      <c r="L430" s="408"/>
      <c r="M430" s="408"/>
      <c r="N430" s="408"/>
      <c r="O430" s="408"/>
      <c r="P430" s="195"/>
      <c r="Q430" s="195"/>
      <c r="R430" s="195"/>
      <c r="S430" s="195"/>
      <c r="T430" s="195"/>
    </row>
    <row r="431" spans="1:20" s="26" customFormat="1" ht="16.5" customHeight="1" x14ac:dyDescent="0.25">
      <c r="A431" s="170" t="s">
        <v>139</v>
      </c>
      <c r="B431" s="504" t="s">
        <v>140</v>
      </c>
      <c r="C431" s="504"/>
      <c r="D431" s="504"/>
      <c r="E431" s="504"/>
      <c r="F431" s="504"/>
      <c r="G431" s="251"/>
      <c r="H431" s="252"/>
      <c r="K431" s="408"/>
      <c r="L431" s="408"/>
      <c r="M431" s="408"/>
      <c r="N431" s="408"/>
      <c r="O431" s="408"/>
      <c r="P431" s="195"/>
      <c r="Q431" s="195"/>
      <c r="R431" s="195"/>
      <c r="S431" s="195"/>
      <c r="T431" s="195"/>
    </row>
    <row r="432" spans="1:20" s="26" customFormat="1" x14ac:dyDescent="0.25">
      <c r="A432" s="173" t="s">
        <v>141</v>
      </c>
      <c r="B432" s="505" t="s">
        <v>142</v>
      </c>
      <c r="C432" s="505"/>
      <c r="D432" s="505"/>
      <c r="E432" s="505"/>
      <c r="F432" s="505"/>
      <c r="G432" s="253"/>
      <c r="H432" s="254"/>
      <c r="K432" s="14" t="s">
        <v>188</v>
      </c>
      <c r="O432" s="21"/>
    </row>
    <row r="433" spans="1:15" s="26" customFormat="1" x14ac:dyDescent="0.25">
      <c r="A433" s="173" t="s">
        <v>143</v>
      </c>
      <c r="B433" s="505" t="s">
        <v>144</v>
      </c>
      <c r="C433" s="505"/>
      <c r="D433" s="505"/>
      <c r="E433" s="505"/>
      <c r="F433" s="505"/>
      <c r="G433" s="253"/>
      <c r="H433" s="254"/>
      <c r="K433" s="14" t="s">
        <v>189</v>
      </c>
      <c r="O433" s="21"/>
    </row>
    <row r="434" spans="1:15" s="26" customFormat="1" x14ac:dyDescent="0.25">
      <c r="A434" s="173" t="s">
        <v>145</v>
      </c>
      <c r="B434" s="505" t="s">
        <v>146</v>
      </c>
      <c r="C434" s="505"/>
      <c r="D434" s="505"/>
      <c r="E434" s="505"/>
      <c r="F434" s="505"/>
      <c r="G434" s="255"/>
      <c r="H434" s="256" t="str">
        <f>IF(ISBLANK(H431),"",SUM(H431:H433))</f>
        <v/>
      </c>
      <c r="O434" s="21"/>
    </row>
    <row r="435" spans="1:15" s="26" customFormat="1" ht="15.75" thickBot="1" x14ac:dyDescent="0.3">
      <c r="A435" s="178" t="s">
        <v>147</v>
      </c>
      <c r="B435" s="515" t="s">
        <v>196</v>
      </c>
      <c r="C435" s="515"/>
      <c r="D435" s="515"/>
      <c r="E435" s="515"/>
      <c r="F435" s="515"/>
      <c r="G435" s="257"/>
      <c r="H435" s="250" t="str">
        <f>IF(ISBLANK(H431),"",SUM(H431:H432))</f>
        <v/>
      </c>
      <c r="O435" s="21"/>
    </row>
    <row r="436" spans="1:15" s="26" customFormat="1" x14ac:dyDescent="0.25">
      <c r="B436" s="66"/>
      <c r="C436" s="66"/>
      <c r="D436" s="66"/>
      <c r="E436" s="66"/>
      <c r="O436" s="21"/>
    </row>
    <row r="437" spans="1:15" s="26" customFormat="1" x14ac:dyDescent="0.25">
      <c r="B437" s="66"/>
      <c r="C437" s="66"/>
      <c r="D437" s="66"/>
      <c r="E437" s="66"/>
      <c r="O437" s="21"/>
    </row>
    <row r="438" spans="1:15" s="26" customFormat="1" x14ac:dyDescent="0.25">
      <c r="A438" s="155" t="s">
        <v>148</v>
      </c>
      <c r="B438" s="66"/>
      <c r="C438" s="66"/>
      <c r="D438" s="66"/>
      <c r="E438" s="66"/>
      <c r="O438" s="21"/>
    </row>
    <row r="439" spans="1:15" s="26" customFormat="1" ht="15.75" thickBot="1" x14ac:dyDescent="0.3">
      <c r="B439" s="66"/>
      <c r="C439" s="66"/>
      <c r="D439" s="66"/>
      <c r="E439" s="66"/>
      <c r="O439" s="21"/>
    </row>
    <row r="440" spans="1:15" s="26" customFormat="1" ht="29.1" customHeight="1" x14ac:dyDescent="0.25">
      <c r="A440" s="65"/>
      <c r="B440" s="228"/>
      <c r="C440" s="228"/>
      <c r="D440" s="228"/>
      <c r="E440" s="228"/>
      <c r="F440" s="506" t="s">
        <v>149</v>
      </c>
      <c r="G440" s="180" t="s">
        <v>150</v>
      </c>
      <c r="H440" s="508" t="s">
        <v>151</v>
      </c>
      <c r="I440" s="180" t="s">
        <v>152</v>
      </c>
      <c r="J440" s="66"/>
      <c r="K440" s="408" t="s">
        <v>269</v>
      </c>
      <c r="L440" s="408"/>
      <c r="M440" s="408"/>
      <c r="N440" s="408"/>
      <c r="O440" s="408"/>
    </row>
    <row r="441" spans="1:15" s="26" customFormat="1" x14ac:dyDescent="0.25">
      <c r="A441" s="65"/>
      <c r="B441" s="228"/>
      <c r="C441" s="228"/>
      <c r="D441" s="228"/>
      <c r="E441" s="228"/>
      <c r="F441" s="507"/>
      <c r="G441" s="253"/>
      <c r="H441" s="509"/>
      <c r="I441" s="182"/>
      <c r="J441" s="66"/>
      <c r="K441" s="408"/>
      <c r="L441" s="408"/>
      <c r="M441" s="408"/>
      <c r="N441" s="408"/>
      <c r="O441" s="408"/>
    </row>
    <row r="442" spans="1:15" s="26" customFormat="1" ht="15.75" thickBot="1" x14ac:dyDescent="0.3">
      <c r="A442" s="65"/>
      <c r="B442" s="228"/>
      <c r="C442" s="228"/>
      <c r="D442" s="228"/>
      <c r="E442" s="228"/>
      <c r="F442" s="507"/>
      <c r="G442" s="183" t="s">
        <v>153</v>
      </c>
      <c r="H442" s="510"/>
      <c r="I442" s="184"/>
      <c r="J442" s="66"/>
      <c r="K442" s="408"/>
      <c r="L442" s="408"/>
      <c r="M442" s="408"/>
      <c r="N442" s="408"/>
      <c r="O442" s="408"/>
    </row>
    <row r="443" spans="1:15" s="26" customFormat="1" x14ac:dyDescent="0.25">
      <c r="A443" s="247" t="s">
        <v>77</v>
      </c>
      <c r="B443" s="463" t="str">
        <f>B412</f>
        <v>Price to Wholesaler</v>
      </c>
      <c r="C443" s="463"/>
      <c r="D443" s="463"/>
      <c r="E443" s="463"/>
      <c r="F443" s="256">
        <f>SUMPRODUCT(F412:I412,F404:I404)</f>
        <v>0</v>
      </c>
      <c r="G443" s="256">
        <f>F443*G441</f>
        <v>0</v>
      </c>
      <c r="H443" s="256" t="str">
        <f>IF(H402="Days",F443/F402*365.25,IF(H402="Months",F443/F402*12,""))</f>
        <v/>
      </c>
      <c r="I443" s="256" t="str">
        <f>IF(AND(H402="Days",I442="Days"),F443/F402*I441,IF(AND(H402="Months",I442="Months"),F443/F402*I441,IF(AND(H402="Days",I442="Months"),F443/F402*30.4375*I441,IF(AND(H402="Months",I442="Days"),F443/F402/30.4375*I441,""))))</f>
        <v/>
      </c>
      <c r="O443" s="21"/>
    </row>
    <row r="444" spans="1:15" s="26" customFormat="1" x14ac:dyDescent="0.25">
      <c r="A444" s="255" t="s">
        <v>78</v>
      </c>
      <c r="B444" s="464" t="str">
        <f>B413</f>
        <v>Wholesale Mark-up</v>
      </c>
      <c r="C444" s="464"/>
      <c r="D444" s="464"/>
      <c r="E444" s="464"/>
      <c r="F444" s="256">
        <f>SUMPRODUCT(F413:I413,F404:I404)</f>
        <v>0</v>
      </c>
      <c r="G444" s="256">
        <f>F444*G441</f>
        <v>0</v>
      </c>
      <c r="H444" s="256" t="str">
        <f>IF(H402="Days",F444/F402*365.25,IF(H402="Months",F444/F402*12,""))</f>
        <v/>
      </c>
      <c r="I444" s="256" t="str">
        <f>IF(AND(H402="Days",I442="Days"),F444/F402*I441,IF(AND(H402="Months",I442="Months"),F444/F402*I441,IF(AND(H402="Days",I442="Months"),F444/F402*30.4375*I441,IF(AND(H402="Months",I442="Days"),F444/F402/30.4375*I441,""))))</f>
        <v/>
      </c>
      <c r="O444" s="21"/>
    </row>
    <row r="445" spans="1:15" s="26" customFormat="1" x14ac:dyDescent="0.25">
      <c r="A445" s="255" t="s">
        <v>79</v>
      </c>
      <c r="B445" s="231" t="str">
        <f>B414</f>
        <v>Reimbursement Price</v>
      </c>
      <c r="C445" s="232"/>
      <c r="D445" s="233"/>
      <c r="E445" s="258"/>
      <c r="F445" s="256">
        <f>SUMPRODUCT(F414:I414,F404:I404)</f>
        <v>0</v>
      </c>
      <c r="G445" s="256">
        <f>F445*G441</f>
        <v>0</v>
      </c>
      <c r="H445" s="256" t="str">
        <f>IF(H402="Days",F445/F402*365.25,IF(H402="Months",F445/F402*12,""))</f>
        <v/>
      </c>
      <c r="I445" s="256" t="str">
        <f>IF(AND(H402="Days",I442="Days"),F445/F402*I441,IF(AND(H402="Months",I442="Months"),F445/F402*I441,IF(AND(H402="Days",I442="Months"),F445/F402*30.4375*I441,IF(AND(H402="Months",I442="Days"),F445/F402/30.4375*I441,""))))</f>
        <v/>
      </c>
      <c r="O445" s="21"/>
    </row>
    <row r="446" spans="1:15" s="26" customFormat="1" x14ac:dyDescent="0.25">
      <c r="A446" s="255" t="s">
        <v>80</v>
      </c>
      <c r="B446" s="495" t="str">
        <f>B415</f>
        <v>Framework Agreement Rebate</v>
      </c>
      <c r="C446" s="496"/>
      <c r="D446" s="496"/>
      <c r="E446" s="497"/>
      <c r="F446" s="256">
        <f>SUMPRODUCT(F415:I415,F404:I404)</f>
        <v>0</v>
      </c>
      <c r="G446" s="256">
        <f>F446*G441</f>
        <v>0</v>
      </c>
      <c r="H446" s="256" t="str">
        <f>IF(H402="Days",F446/F402*365.25,IF(H402="Months",F446/F402*12,""))</f>
        <v/>
      </c>
      <c r="I446" s="256" t="str">
        <f>IF(AND(H402="Days",I442="Days"),F446/F402*I441,IF(AND(H402="Months",I442="Months"),F446/F402*I441,IF(AND(H402="Days",I442="Months"),F446/F402*30.4375*I441,IF(AND(H402="Months",I442="Days"),F446/F402/30.4375*I441,""))))</f>
        <v/>
      </c>
      <c r="O446" s="21"/>
    </row>
    <row r="447" spans="1:15" s="26" customFormat="1" x14ac:dyDescent="0.25">
      <c r="A447" s="255" t="s">
        <v>81</v>
      </c>
      <c r="B447" s="495" t="str">
        <f>B416</f>
        <v xml:space="preserve">VAT on Drug Cost </v>
      </c>
      <c r="C447" s="496"/>
      <c r="D447" s="496"/>
      <c r="E447" s="497"/>
      <c r="F447" s="256">
        <f>SUMPRODUCT(F416:I416,F404:I404)</f>
        <v>0</v>
      </c>
      <c r="G447" s="256">
        <f>F447*G441</f>
        <v>0</v>
      </c>
      <c r="H447" s="256" t="str">
        <f>IF(H402="Days",F447/F402*365.25,IF(H402="Months",F447/F402*12,""))</f>
        <v/>
      </c>
      <c r="I447" s="256" t="str">
        <f>IF(AND(H402="Days",I442="Days"),F447/F402*I441,IF(AND(H402="Months",I442="Months"),F447/F402*I441,IF(AND(H402="Days",I442="Months"),F447/F402*30.4375*I441,IF(AND(H402="Months",I442="Days"),F447/F402/30.4375*I441,""))))</f>
        <v/>
      </c>
      <c r="O447" s="21"/>
    </row>
    <row r="448" spans="1:15" s="26" customFormat="1" x14ac:dyDescent="0.25">
      <c r="A448" s="255" t="s">
        <v>154</v>
      </c>
      <c r="B448" s="495" t="s">
        <v>155</v>
      </c>
      <c r="C448" s="496"/>
      <c r="D448" s="496"/>
      <c r="E448" s="497"/>
      <c r="F448" s="256" t="str">
        <f>IF(H434="","",H434)</f>
        <v/>
      </c>
      <c r="G448" s="256" t="str">
        <f>IF(F448="","",F448*G441)</f>
        <v/>
      </c>
      <c r="H448" s="256" t="str">
        <f>IF(F448="","",IF(H402="Days",F448/F402*365.25,IF(H402="Months",F448/F402*12,"")))</f>
        <v/>
      </c>
      <c r="I448" s="256" t="str">
        <f>IF(F448="","",IF(AND(H402="Days",I442="Days"),F448/F402*I441,IF(AND(H402="Months",I442="Months"),F448/F402*I441,IF(AND(H402="Days",I442="Months"),F448/F402*30.4375*I441,IF(AND(H402="Months",I442="Days"),F448/F402/30.4375*I441,"")))))</f>
        <v/>
      </c>
      <c r="O448" s="21"/>
    </row>
    <row r="449" spans="1:19" s="26" customFormat="1" x14ac:dyDescent="0.25">
      <c r="A449" s="255" t="s">
        <v>156</v>
      </c>
      <c r="B449" s="495" t="s">
        <v>157</v>
      </c>
      <c r="C449" s="496"/>
      <c r="D449" s="496"/>
      <c r="E449" s="497"/>
      <c r="F449" s="256" t="str">
        <f>IF(H435="","",H435)</f>
        <v/>
      </c>
      <c r="G449" s="256" t="str">
        <f>IF(F449="","",F449*G441)</f>
        <v/>
      </c>
      <c r="H449" s="256" t="str">
        <f>IF(F449="","",IF(H402="Days",F449/F402*365.25,IF(H402="Months",F449/F402*12,"")))</f>
        <v/>
      </c>
      <c r="I449" s="256" t="str">
        <f>IF(F449="","",IF(AND(H402="Days",I442="Days"),F449/F402*I441,IF(AND(H402="Months",I442="Months"),F449/F402*I441,IF(AND(H402="Days",I442="Months"),F449/F402*30.4375*I441,IF(AND(H402="Months",I442="Days"),F449/F402/30.4375*I441,"")))))</f>
        <v/>
      </c>
      <c r="O449" s="21"/>
    </row>
    <row r="450" spans="1:19" s="155" customFormat="1" x14ac:dyDescent="0.25">
      <c r="A450" s="186" t="s">
        <v>158</v>
      </c>
      <c r="B450" s="498" t="s">
        <v>159</v>
      </c>
      <c r="C450" s="499"/>
      <c r="D450" s="499"/>
      <c r="E450" s="500"/>
      <c r="F450" s="187">
        <f>SUM(F445:F448)</f>
        <v>0</v>
      </c>
      <c r="G450" s="187">
        <f t="shared" ref="G450:I450" si="35">SUM(G445:G448)</f>
        <v>0</v>
      </c>
      <c r="H450" s="187">
        <f t="shared" si="35"/>
        <v>0</v>
      </c>
      <c r="I450" s="187">
        <f t="shared" si="35"/>
        <v>0</v>
      </c>
      <c r="K450" s="98" t="s">
        <v>191</v>
      </c>
      <c r="O450" s="189"/>
    </row>
    <row r="451" spans="1:19" s="26" customFormat="1" ht="15.75" thickBot="1" x14ac:dyDescent="0.3">
      <c r="A451" s="257" t="s">
        <v>160</v>
      </c>
      <c r="B451" s="501" t="s">
        <v>161</v>
      </c>
      <c r="C451" s="502"/>
      <c r="D451" s="502"/>
      <c r="E451" s="503"/>
      <c r="F451" s="250">
        <f>IF(F449="",SUM(F445+F446),F445+F446+F449)</f>
        <v>0</v>
      </c>
      <c r="G451" s="250">
        <f t="shared" ref="G451" si="36">IF(G449="",SUM(G445+G446),G445+G446+G449)</f>
        <v>0</v>
      </c>
      <c r="H451" s="250" t="e">
        <f>IF(H449="",SUM(H445+H446),H445+H446+H449)</f>
        <v>#VALUE!</v>
      </c>
      <c r="I451" s="250" t="e">
        <f t="shared" ref="I451" si="37">IF(I449="",SUM(I445+I446),I445+I446+I449)</f>
        <v>#VALUE!</v>
      </c>
      <c r="K451" s="14" t="s">
        <v>192</v>
      </c>
      <c r="O451" s="21"/>
    </row>
    <row r="452" spans="1:19" s="26" customFormat="1" x14ac:dyDescent="0.25">
      <c r="B452" s="229"/>
      <c r="C452" s="66"/>
      <c r="D452" s="66"/>
      <c r="E452" s="66"/>
      <c r="O452" s="21"/>
    </row>
    <row r="453" spans="1:19" s="26" customFormat="1" x14ac:dyDescent="0.25"/>
    <row r="454" spans="1:19" s="26" customFormat="1" x14ac:dyDescent="0.25">
      <c r="B454" s="224" t="s">
        <v>101</v>
      </c>
      <c r="C454" s="224"/>
      <c r="D454" s="224"/>
      <c r="E454" s="224"/>
    </row>
    <row r="455" spans="1:19" s="26" customFormat="1" ht="15.75" customHeight="1" x14ac:dyDescent="0.25"/>
    <row r="456" spans="1:19" s="26" customFormat="1" x14ac:dyDescent="0.25">
      <c r="B456" s="234"/>
      <c r="C456" s="234"/>
      <c r="D456" s="234"/>
      <c r="E456" s="234"/>
      <c r="F456" s="234"/>
      <c r="G456" s="234"/>
      <c r="H456" s="234"/>
      <c r="I456" s="234"/>
      <c r="J456" s="234"/>
      <c r="K456" s="234"/>
      <c r="L456" s="234"/>
      <c r="M456" s="234"/>
      <c r="N456" s="234"/>
      <c r="O456" s="234"/>
      <c r="P456" s="234"/>
      <c r="Q456" s="234"/>
      <c r="R456" s="234"/>
      <c r="S456" s="234"/>
    </row>
    <row r="457" spans="1:19" s="26" customFormat="1" x14ac:dyDescent="0.25">
      <c r="B457" s="234"/>
      <c r="C457" s="234"/>
      <c r="D457" s="234"/>
      <c r="E457" s="234"/>
      <c r="F457" s="234"/>
      <c r="G457" s="234"/>
      <c r="H457" s="234"/>
      <c r="I457" s="234"/>
      <c r="J457" s="234"/>
      <c r="K457" s="234"/>
      <c r="L457" s="234"/>
      <c r="M457" s="234"/>
      <c r="N457" s="234"/>
      <c r="O457" s="234"/>
      <c r="P457" s="234"/>
      <c r="Q457" s="234"/>
      <c r="R457" s="234"/>
      <c r="S457" s="234"/>
    </row>
    <row r="458" spans="1:19" s="26" customFormat="1" x14ac:dyDescent="0.25">
      <c r="B458" s="234"/>
      <c r="C458" s="234"/>
      <c r="D458" s="234"/>
      <c r="E458" s="234"/>
      <c r="F458" s="234"/>
      <c r="G458" s="234"/>
      <c r="H458" s="234"/>
      <c r="I458" s="234"/>
      <c r="J458" s="234"/>
      <c r="K458" s="234"/>
      <c r="L458" s="234"/>
      <c r="M458" s="234"/>
      <c r="N458" s="234"/>
      <c r="O458" s="234"/>
      <c r="P458" s="234"/>
      <c r="Q458" s="234"/>
      <c r="R458" s="234"/>
      <c r="S458" s="234"/>
    </row>
    <row r="459" spans="1:19" s="26" customFormat="1" x14ac:dyDescent="0.25">
      <c r="B459" s="234"/>
      <c r="C459" s="234"/>
      <c r="D459" s="234"/>
      <c r="E459" s="234"/>
      <c r="F459" s="234"/>
      <c r="G459" s="234"/>
      <c r="H459" s="234"/>
      <c r="I459" s="234"/>
      <c r="J459" s="234"/>
      <c r="K459" s="234"/>
      <c r="L459" s="234"/>
      <c r="M459" s="234"/>
      <c r="N459" s="234"/>
      <c r="O459" s="234"/>
      <c r="P459" s="234"/>
      <c r="Q459" s="234"/>
      <c r="R459" s="234"/>
      <c r="S459" s="234"/>
    </row>
    <row r="460" spans="1:19" s="26" customFormat="1" x14ac:dyDescent="0.25">
      <c r="B460" s="234"/>
      <c r="C460" s="234"/>
      <c r="D460" s="234"/>
      <c r="E460" s="234"/>
      <c r="F460" s="234"/>
      <c r="G460" s="234"/>
      <c r="H460" s="234"/>
      <c r="I460" s="234"/>
      <c r="J460" s="234"/>
      <c r="K460" s="234"/>
      <c r="L460" s="234"/>
      <c r="M460" s="234"/>
      <c r="N460" s="234"/>
      <c r="O460" s="234"/>
      <c r="P460" s="234"/>
      <c r="Q460" s="234"/>
      <c r="R460" s="234"/>
      <c r="S460" s="234"/>
    </row>
    <row r="461" spans="1:19" s="26" customFormat="1" x14ac:dyDescent="0.25">
      <c r="B461" s="234"/>
      <c r="C461" s="234"/>
      <c r="D461" s="234"/>
      <c r="E461" s="234"/>
      <c r="F461" s="234"/>
      <c r="G461" s="234"/>
      <c r="H461" s="234"/>
      <c r="I461" s="234"/>
      <c r="J461" s="234"/>
      <c r="K461" s="234"/>
      <c r="L461" s="234"/>
      <c r="M461" s="234"/>
      <c r="N461" s="234"/>
      <c r="O461" s="234"/>
      <c r="P461" s="234"/>
      <c r="Q461" s="234"/>
      <c r="R461" s="234"/>
      <c r="S461" s="234"/>
    </row>
    <row r="462" spans="1:19" s="26" customFormat="1" x14ac:dyDescent="0.25">
      <c r="B462" s="234"/>
      <c r="C462" s="234"/>
      <c r="D462" s="234"/>
      <c r="E462" s="234"/>
      <c r="F462" s="234"/>
      <c r="G462" s="234"/>
      <c r="H462" s="234"/>
      <c r="I462" s="234"/>
      <c r="J462" s="234"/>
      <c r="K462" s="234"/>
      <c r="L462" s="234"/>
      <c r="M462" s="234"/>
      <c r="N462" s="234"/>
      <c r="O462" s="234"/>
      <c r="P462" s="234"/>
      <c r="Q462" s="234"/>
      <c r="R462" s="234"/>
      <c r="S462" s="234"/>
    </row>
    <row r="463" spans="1:19" s="26" customFormat="1" x14ac:dyDescent="0.25">
      <c r="B463" s="234"/>
      <c r="C463" s="234"/>
      <c r="D463" s="234"/>
      <c r="E463" s="234"/>
      <c r="F463" s="234"/>
      <c r="G463" s="234"/>
      <c r="H463" s="234"/>
      <c r="I463" s="234"/>
      <c r="J463" s="234"/>
      <c r="K463" s="234"/>
      <c r="L463" s="234"/>
      <c r="M463" s="234"/>
      <c r="N463" s="234"/>
      <c r="O463" s="234"/>
      <c r="P463" s="234"/>
      <c r="Q463" s="234"/>
      <c r="R463" s="234"/>
      <c r="S463" s="234"/>
    </row>
    <row r="464" spans="1:19" s="26" customFormat="1" x14ac:dyDescent="0.25">
      <c r="B464" s="234"/>
      <c r="C464" s="234"/>
      <c r="D464" s="234"/>
      <c r="E464" s="234"/>
      <c r="F464" s="234"/>
      <c r="G464" s="234"/>
      <c r="H464" s="234"/>
      <c r="I464" s="234"/>
      <c r="J464" s="234"/>
      <c r="K464" s="234"/>
      <c r="L464" s="234"/>
      <c r="M464" s="234"/>
      <c r="N464" s="234"/>
      <c r="O464" s="234"/>
      <c r="P464" s="234"/>
      <c r="Q464" s="234"/>
      <c r="R464" s="234"/>
      <c r="S464" s="234"/>
    </row>
    <row r="465" spans="1:22" s="26" customFormat="1" x14ac:dyDescent="0.25">
      <c r="B465" s="234"/>
      <c r="C465" s="234"/>
      <c r="D465" s="234"/>
      <c r="E465" s="234"/>
      <c r="F465" s="234"/>
      <c r="G465" s="234"/>
      <c r="H465" s="234"/>
      <c r="I465" s="234"/>
      <c r="J465" s="234"/>
      <c r="K465" s="234"/>
      <c r="L465" s="234"/>
      <c r="M465" s="234"/>
      <c r="N465" s="234"/>
      <c r="O465" s="234"/>
      <c r="P465" s="234"/>
      <c r="Q465" s="234"/>
      <c r="R465" s="234"/>
      <c r="S465" s="234"/>
    </row>
    <row r="466" spans="1:22" s="26" customFormat="1" x14ac:dyDescent="0.25"/>
    <row r="467" spans="1:22" s="26" customFormat="1" x14ac:dyDescent="0.25"/>
    <row r="468" spans="1:22" s="26" customFormat="1" x14ac:dyDescent="0.25"/>
    <row r="469" spans="1:22" s="26" customFormat="1" ht="15.75" thickBot="1" x14ac:dyDescent="0.3"/>
    <row r="470" spans="1:22" s="26" customFormat="1" ht="15.75" thickBot="1" x14ac:dyDescent="0.3">
      <c r="B470" s="410" t="str">
        <f>CONCATENATE("Comparator 5: ",NameComparator5)</f>
        <v xml:space="preserve">Comparator 5: </v>
      </c>
      <c r="C470" s="411"/>
      <c r="D470" s="411"/>
      <c r="E470" s="411"/>
      <c r="F470" s="411"/>
      <c r="G470" s="412"/>
    </row>
    <row r="471" spans="1:22" s="26" customFormat="1" x14ac:dyDescent="0.25">
      <c r="B471" s="227"/>
      <c r="C471" s="227"/>
      <c r="D471" s="227"/>
      <c r="F471" s="228"/>
      <c r="G471" s="228"/>
      <c r="H471" s="228"/>
      <c r="I471" s="228"/>
      <c r="J471" s="228"/>
    </row>
    <row r="472" spans="1:22" s="26" customFormat="1" x14ac:dyDescent="0.25"/>
    <row r="473" spans="1:22" s="26" customFormat="1" ht="28.5" customHeight="1" thickBot="1" x14ac:dyDescent="0.3">
      <c r="B473" s="334" t="s">
        <v>118</v>
      </c>
      <c r="C473" s="334"/>
      <c r="D473" s="334"/>
      <c r="E473" s="334"/>
      <c r="K473" s="408" t="s">
        <v>209</v>
      </c>
      <c r="L473" s="408"/>
      <c r="M473" s="408"/>
      <c r="N473" s="408"/>
      <c r="O473" s="408"/>
      <c r="P473" s="225"/>
      <c r="Q473" s="225"/>
      <c r="R473" s="225"/>
      <c r="S473" s="225"/>
      <c r="T473" s="225"/>
      <c r="U473" s="225"/>
      <c r="V473" s="225"/>
    </row>
    <row r="474" spans="1:22" s="26" customFormat="1" ht="18.95" customHeight="1" thickBot="1" x14ac:dyDescent="0.3">
      <c r="B474" s="465" t="s">
        <v>119</v>
      </c>
      <c r="C474" s="466"/>
      <c r="D474" s="466"/>
      <c r="E474" s="466"/>
      <c r="F474" s="466"/>
      <c r="G474" s="466"/>
      <c r="H474" s="466"/>
      <c r="I474" s="467"/>
      <c r="K474" s="408"/>
      <c r="L474" s="408"/>
      <c r="M474" s="408"/>
      <c r="N474" s="408"/>
      <c r="O474" s="408"/>
      <c r="P474" s="225"/>
      <c r="Q474" s="225"/>
      <c r="R474" s="225"/>
      <c r="S474" s="225"/>
      <c r="T474" s="225"/>
      <c r="U474" s="225"/>
      <c r="V474" s="225"/>
    </row>
    <row r="475" spans="1:22" s="26" customFormat="1" ht="15.75" thickBot="1" x14ac:dyDescent="0.3">
      <c r="B475" s="220"/>
      <c r="C475" s="221"/>
      <c r="D475" s="221"/>
      <c r="E475" s="221"/>
      <c r="F475" s="466" t="s">
        <v>120</v>
      </c>
      <c r="G475" s="466"/>
      <c r="H475" s="466"/>
      <c r="I475" s="467"/>
      <c r="K475" s="14"/>
    </row>
    <row r="476" spans="1:22" s="26" customFormat="1" ht="15.75" thickBot="1" x14ac:dyDescent="0.3">
      <c r="B476" s="472" t="s">
        <v>174</v>
      </c>
      <c r="C476" s="473"/>
      <c r="D476" s="473"/>
      <c r="E476" s="474"/>
      <c r="F476" s="149"/>
      <c r="G476" s="149"/>
      <c r="H476" s="149"/>
      <c r="I476" s="149"/>
      <c r="K476" s="14" t="s">
        <v>180</v>
      </c>
    </row>
    <row r="477" spans="1:22" s="26" customFormat="1" ht="30" customHeight="1" thickBot="1" x14ac:dyDescent="0.3">
      <c r="B477" s="472" t="s">
        <v>106</v>
      </c>
      <c r="C477" s="473"/>
      <c r="D477" s="473"/>
      <c r="E477" s="474"/>
      <c r="F477" s="235"/>
      <c r="G477" s="235"/>
      <c r="H477" s="235"/>
      <c r="I477" s="235"/>
      <c r="J477" s="26" t="s">
        <v>104</v>
      </c>
      <c r="K477" s="408" t="s">
        <v>181</v>
      </c>
      <c r="L477" s="408"/>
      <c r="M477" s="408"/>
      <c r="N477" s="408"/>
      <c r="O477" s="408"/>
      <c r="P477" s="21"/>
      <c r="Q477" s="21"/>
      <c r="R477" s="21"/>
      <c r="S477" s="21"/>
      <c r="T477" s="21"/>
    </row>
    <row r="478" spans="1:22" s="26" customFormat="1" ht="15.75" thickBot="1" x14ac:dyDescent="0.3">
      <c r="A478" s="14"/>
      <c r="B478" s="472" t="s">
        <v>107</v>
      </c>
      <c r="C478" s="473"/>
      <c r="D478" s="473"/>
      <c r="E478" s="474"/>
      <c r="F478" s="151"/>
      <c r="G478" s="151"/>
      <c r="H478" s="151"/>
      <c r="I478" s="151"/>
      <c r="J478" s="236"/>
      <c r="K478" s="110" t="s">
        <v>182</v>
      </c>
      <c r="N478" s="21"/>
      <c r="O478" s="21"/>
      <c r="P478" s="21"/>
      <c r="Q478" s="21"/>
      <c r="R478" s="21"/>
      <c r="S478" s="21"/>
      <c r="T478" s="21"/>
    </row>
    <row r="479" spans="1:22" s="26" customFormat="1" ht="15.75" thickBot="1" x14ac:dyDescent="0.3">
      <c r="A479" s="15"/>
      <c r="B479" s="472" t="s">
        <v>108</v>
      </c>
      <c r="C479" s="473"/>
      <c r="D479" s="473"/>
      <c r="E479" s="474"/>
      <c r="F479" s="489"/>
      <c r="G479" s="490"/>
      <c r="H479" s="490"/>
      <c r="I479" s="491"/>
      <c r="J479" s="237" t="s">
        <v>104</v>
      </c>
      <c r="K479" s="110" t="s">
        <v>210</v>
      </c>
    </row>
    <row r="480" spans="1:22" s="26" customFormat="1" ht="15.75" thickBot="1" x14ac:dyDescent="0.3">
      <c r="A480" s="15"/>
      <c r="B480" s="472" t="s">
        <v>74</v>
      </c>
      <c r="C480" s="473"/>
      <c r="D480" s="473"/>
      <c r="E480" s="474"/>
      <c r="F480" s="492"/>
      <c r="G480" s="493"/>
      <c r="H480" s="493"/>
      <c r="I480" s="494"/>
      <c r="J480" s="237" t="s">
        <v>104</v>
      </c>
      <c r="K480" s="110" t="s">
        <v>184</v>
      </c>
    </row>
    <row r="481" spans="1:22" s="26" customFormat="1" ht="15.75" thickBot="1" x14ac:dyDescent="0.3">
      <c r="B481" s="472" t="s">
        <v>75</v>
      </c>
      <c r="C481" s="473"/>
      <c r="D481" s="473"/>
      <c r="E481" s="474"/>
      <c r="F481" s="492"/>
      <c r="G481" s="493"/>
      <c r="H481" s="493"/>
      <c r="I481" s="494"/>
      <c r="J481" s="26" t="s">
        <v>104</v>
      </c>
      <c r="K481" s="110" t="s">
        <v>185</v>
      </c>
    </row>
    <row r="482" spans="1:22" s="26" customFormat="1" ht="15.75" thickBot="1" x14ac:dyDescent="0.3">
      <c r="B482" s="472" t="s">
        <v>76</v>
      </c>
      <c r="C482" s="473"/>
      <c r="D482" s="473"/>
      <c r="E482" s="474"/>
      <c r="F482" s="492"/>
      <c r="G482" s="493"/>
      <c r="H482" s="493"/>
      <c r="I482" s="494"/>
      <c r="J482" s="237" t="s">
        <v>104</v>
      </c>
      <c r="K482" s="110" t="s">
        <v>216</v>
      </c>
    </row>
    <row r="483" spans="1:22" s="26" customFormat="1" ht="15.75" thickBot="1" x14ac:dyDescent="0.3">
      <c r="B483" s="472" t="s">
        <v>172</v>
      </c>
      <c r="C483" s="473"/>
      <c r="D483" s="473"/>
      <c r="E483" s="474"/>
      <c r="F483" s="492"/>
      <c r="G483" s="493"/>
      <c r="H483" s="493"/>
      <c r="I483" s="494"/>
      <c r="J483" s="237" t="s">
        <v>104</v>
      </c>
      <c r="K483" s="110" t="s">
        <v>217</v>
      </c>
    </row>
    <row r="484" spans="1:22" s="26" customFormat="1" ht="15.75" thickBot="1" x14ac:dyDescent="0.3">
      <c r="B484" s="472" t="s">
        <v>173</v>
      </c>
      <c r="C484" s="473"/>
      <c r="D484" s="473"/>
      <c r="E484" s="474"/>
      <c r="F484" s="492"/>
      <c r="G484" s="493"/>
      <c r="H484" s="493"/>
      <c r="I484" s="494"/>
      <c r="J484" s="237" t="s">
        <v>104</v>
      </c>
      <c r="K484" s="110" t="s">
        <v>218</v>
      </c>
    </row>
    <row r="485" spans="1:22" s="26" customFormat="1" ht="30" customHeight="1" x14ac:dyDescent="0.25">
      <c r="B485" s="112"/>
      <c r="C485" s="112"/>
      <c r="D485" s="112"/>
      <c r="E485" s="228"/>
      <c r="F485" s="228"/>
      <c r="G485" s="238"/>
      <c r="H485" s="228"/>
      <c r="I485" s="228"/>
      <c r="J485" s="239"/>
      <c r="K485" s="110"/>
    </row>
    <row r="486" spans="1:22" s="26" customFormat="1" ht="15.75" thickBot="1" x14ac:dyDescent="0.3">
      <c r="B486" s="334" t="s">
        <v>171</v>
      </c>
      <c r="C486" s="334"/>
      <c r="D486" s="334"/>
      <c r="E486" s="334"/>
      <c r="F486" s="228"/>
      <c r="G486" s="228"/>
      <c r="H486" s="228"/>
      <c r="I486" s="228"/>
      <c r="J486" s="239"/>
      <c r="K486" s="404" t="s">
        <v>195</v>
      </c>
      <c r="L486" s="404"/>
      <c r="M486" s="404"/>
      <c r="N486" s="404"/>
      <c r="O486" s="404"/>
      <c r="P486" s="219"/>
      <c r="Q486" s="219"/>
      <c r="R486" s="219"/>
      <c r="S486" s="219"/>
      <c r="T486" s="219"/>
      <c r="U486" s="219"/>
      <c r="V486" s="219"/>
    </row>
    <row r="487" spans="1:22" s="26" customFormat="1" ht="29.1" customHeight="1" thickBot="1" x14ac:dyDescent="0.3">
      <c r="B487" s="465" t="s">
        <v>121</v>
      </c>
      <c r="C487" s="466"/>
      <c r="D487" s="466"/>
      <c r="E487" s="466"/>
      <c r="F487" s="466"/>
      <c r="G487" s="466"/>
      <c r="H487" s="466"/>
      <c r="I487" s="467"/>
      <c r="J487" s="239"/>
      <c r="K487" s="404"/>
      <c r="L487" s="404"/>
      <c r="M487" s="404"/>
      <c r="N487" s="404"/>
      <c r="O487" s="404"/>
      <c r="P487" s="219"/>
      <c r="Q487" s="219"/>
      <c r="R487" s="219"/>
      <c r="S487" s="219"/>
      <c r="T487" s="219"/>
      <c r="U487" s="219"/>
      <c r="V487" s="219"/>
    </row>
    <row r="488" spans="1:22" s="26" customFormat="1" ht="30" customHeight="1" thickBot="1" x14ac:dyDescent="0.3">
      <c r="B488" s="472" t="s">
        <v>122</v>
      </c>
      <c r="C488" s="473"/>
      <c r="D488" s="473"/>
      <c r="E488" s="474"/>
      <c r="F488" s="468"/>
      <c r="G488" s="469"/>
      <c r="H488" s="470"/>
      <c r="I488" s="471"/>
      <c r="J488" s="239"/>
      <c r="K488" s="408" t="s">
        <v>186</v>
      </c>
      <c r="L488" s="408"/>
      <c r="M488" s="408"/>
      <c r="N488" s="408"/>
      <c r="O488" s="408"/>
    </row>
    <row r="489" spans="1:22" s="26" customFormat="1" ht="23.1" customHeight="1" thickBot="1" x14ac:dyDescent="0.3">
      <c r="B489" s="472" t="str">
        <f>B476</f>
        <v>Pack Identification</v>
      </c>
      <c r="C489" s="473"/>
      <c r="D489" s="473"/>
      <c r="E489" s="474"/>
      <c r="F489" s="192" t="str">
        <f>IF(ISBLANK(F476),"",F476)</f>
        <v/>
      </c>
      <c r="G489" s="192" t="str">
        <f t="shared" ref="G489:I489" si="38">IF(ISBLANK(G476),"",G476)</f>
        <v/>
      </c>
      <c r="H489" s="192" t="str">
        <f t="shared" si="38"/>
        <v/>
      </c>
      <c r="I489" s="192" t="str">
        <f t="shared" si="38"/>
        <v/>
      </c>
      <c r="J489" s="239"/>
      <c r="K489" s="408"/>
      <c r="L489" s="408"/>
      <c r="M489" s="408"/>
      <c r="N489" s="408"/>
      <c r="O489" s="408"/>
    </row>
    <row r="490" spans="1:22" s="26" customFormat="1" ht="15.75" thickBot="1" x14ac:dyDescent="0.3">
      <c r="B490" s="512" t="s">
        <v>123</v>
      </c>
      <c r="C490" s="513"/>
      <c r="D490" s="513"/>
      <c r="E490" s="514"/>
      <c r="F490" s="145"/>
      <c r="G490" s="154"/>
      <c r="H490" s="154"/>
      <c r="I490" s="154"/>
      <c r="J490" s="239"/>
      <c r="K490" s="408" t="s">
        <v>187</v>
      </c>
      <c r="L490" s="408"/>
      <c r="M490" s="408"/>
      <c r="N490" s="408"/>
      <c r="O490" s="408"/>
    </row>
    <row r="491" spans="1:22" s="26" customFormat="1" ht="75.75" customHeight="1" x14ac:dyDescent="0.25">
      <c r="B491" s="223"/>
      <c r="C491" s="223"/>
      <c r="D491" s="223"/>
      <c r="E491" s="223"/>
      <c r="F491" s="228"/>
      <c r="G491" s="228"/>
      <c r="H491" s="228"/>
      <c r="I491" s="228"/>
      <c r="J491" s="239"/>
      <c r="K491" s="408"/>
      <c r="L491" s="408"/>
      <c r="M491" s="408"/>
      <c r="N491" s="408"/>
      <c r="O491" s="408"/>
    </row>
    <row r="492" spans="1:22" s="26" customFormat="1" x14ac:dyDescent="0.25">
      <c r="B492" s="511"/>
      <c r="C492" s="511"/>
      <c r="D492" s="511"/>
      <c r="E492" s="511"/>
      <c r="K492" s="408"/>
      <c r="L492" s="408"/>
      <c r="M492" s="408"/>
      <c r="N492" s="408"/>
      <c r="O492" s="408"/>
    </row>
    <row r="493" spans="1:22" s="26" customFormat="1" x14ac:dyDescent="0.25">
      <c r="B493" s="228"/>
      <c r="C493" s="228"/>
      <c r="D493" s="228"/>
      <c r="E493" s="228"/>
      <c r="O493" s="21"/>
    </row>
    <row r="494" spans="1:22" s="26" customFormat="1" x14ac:dyDescent="0.25">
      <c r="A494" s="155"/>
      <c r="B494" s="224" t="s">
        <v>124</v>
      </c>
      <c r="C494" s="217"/>
      <c r="D494" s="66"/>
      <c r="E494" s="66"/>
      <c r="F494" s="390"/>
      <c r="G494" s="390"/>
      <c r="H494" s="390"/>
      <c r="I494" s="390"/>
      <c r="O494" s="21"/>
    </row>
    <row r="495" spans="1:22" s="26" customFormat="1" x14ac:dyDescent="0.25">
      <c r="A495" s="14" t="s">
        <v>125</v>
      </c>
      <c r="B495" s="217"/>
      <c r="C495" s="217"/>
      <c r="D495" s="66"/>
      <c r="E495" s="66"/>
      <c r="F495" s="217"/>
      <c r="G495" s="217"/>
      <c r="H495" s="217"/>
      <c r="I495" s="217"/>
      <c r="O495" s="21"/>
    </row>
    <row r="496" spans="1:22" s="26" customFormat="1" ht="15.75" thickBot="1" x14ac:dyDescent="0.3">
      <c r="B496" s="66"/>
      <c r="C496" s="66"/>
      <c r="D496" s="66"/>
      <c r="E496" s="66"/>
      <c r="F496" s="390" t="s">
        <v>126</v>
      </c>
      <c r="G496" s="390"/>
      <c r="H496" s="390"/>
      <c r="I496" s="390"/>
      <c r="O496" s="21"/>
    </row>
    <row r="497" spans="1:15" s="26" customFormat="1" ht="15.75" thickBot="1" x14ac:dyDescent="0.3">
      <c r="B497" s="66"/>
      <c r="C497" s="66"/>
      <c r="D497" s="66"/>
      <c r="E497" s="66"/>
      <c r="F497" s="156" t="str">
        <f>IF(F476="","",F476)</f>
        <v/>
      </c>
      <c r="G497" s="156" t="str">
        <f>IF(G476="","",G476)</f>
        <v/>
      </c>
      <c r="H497" s="156" t="str">
        <f>IF(H476="","",H476)</f>
        <v/>
      </c>
      <c r="I497" s="156" t="str">
        <f>IF(I476="","",I476)</f>
        <v/>
      </c>
      <c r="O497" s="21"/>
    </row>
    <row r="498" spans="1:15" s="26" customFormat="1" x14ac:dyDescent="0.25">
      <c r="A498" s="91" t="s">
        <v>77</v>
      </c>
      <c r="B498" s="475" t="s">
        <v>82</v>
      </c>
      <c r="C498" s="476"/>
      <c r="D498" s="476"/>
      <c r="E498" s="240"/>
      <c r="F498" s="241" t="str">
        <f>IF(OR(F477="",F478="",F479=""),"",IF(F477="Price to Wholesaler",F478,IF(F477="Reimbursement Price",(F500/(1+E499)*1),"Error")))</f>
        <v/>
      </c>
      <c r="G498" s="241" t="str">
        <f>IF(OR(G477="",G478="",F479=""),"",IF(G477="Price to Wholesaler",G478,IF(G477="Reimbursement Price",(G500/(1+E499)*1),"Error")))</f>
        <v/>
      </c>
      <c r="H498" s="241" t="str">
        <f>IF(OR(H477="",H478="",F479=""),"",IF(H477="Price to Wholesaler",H478,IF(H477="Reimbursement Price",(H500/(1+E499)*1),"Error")))</f>
        <v/>
      </c>
      <c r="I498" s="241" t="str">
        <f>IF(OR(I477="",I478="",F479=""),"",IF(I477="Price to Wholesaler",I478,IF(I477="Reimbursement Price",(I500/(1+E499)*1),"Error")))</f>
        <v/>
      </c>
      <c r="O498" s="21"/>
    </row>
    <row r="499" spans="1:15" s="26" customFormat="1" x14ac:dyDescent="0.25">
      <c r="A499" s="92" t="s">
        <v>78</v>
      </c>
      <c r="B499" s="477" t="s">
        <v>83</v>
      </c>
      <c r="C499" s="478"/>
      <c r="D499" s="478"/>
      <c r="E499" s="93" t="str">
        <f>IF(OR(F479=""),"",IF(AND(F479="CDS",F480="Yes"),CYF,IF(AND(F479="CDS",F480="No"),CNF,IF(F479="HT",CHT,IF(F479="Hosp",CHO,"Error")))))</f>
        <v/>
      </c>
      <c r="F499" s="242" t="str">
        <f>IF(OR(F479="",F478="",F477=""),"",F498*E499)</f>
        <v/>
      </c>
      <c r="G499" s="242" t="str">
        <f>IF(OR(F479="",G478="",G477=""),"",G498*E499)</f>
        <v/>
      </c>
      <c r="H499" s="242" t="str">
        <f>IF(OR(F479="",H478="",H477=""),"",H498*E499)</f>
        <v/>
      </c>
      <c r="I499" s="242" t="str">
        <f>IF(OR(F479="",I478="",I477=""),"",I498*E499)</f>
        <v/>
      </c>
      <c r="O499" s="21"/>
    </row>
    <row r="500" spans="1:15" s="26" customFormat="1" x14ac:dyDescent="0.25">
      <c r="A500" s="92" t="s">
        <v>79</v>
      </c>
      <c r="B500" s="477" t="str">
        <f>IF(F479="Hosp","Hospital Price", "Reimbursement Price")</f>
        <v>Reimbursement Price</v>
      </c>
      <c r="C500" s="478"/>
      <c r="D500" s="478"/>
      <c r="E500" s="243" t="str">
        <f>IF(F477="Price to Wholesaler","A+B","")</f>
        <v/>
      </c>
      <c r="F500" s="242" t="str">
        <f>IF(F477="Reimbursement Price",F478,IF(ISBLANK(E499),"",IF(F477="Price to Wholesaler",(F498+F499),IF(F477="","","Error"))))</f>
        <v/>
      </c>
      <c r="G500" s="242" t="str">
        <f>IF(G477="Reimbursement Price",G478,IF(ISBLANK(E499),"",IF(G477="Price to Wholesaler",(G498+G499),IF(G477="","","Error"))))</f>
        <v/>
      </c>
      <c r="H500" s="242" t="str">
        <f>IF(H477="Reimbursement Price",H478,IF(ISBLANK(E499),"",IF(H477="Price to Wholesaler",(H498+H499),IF(H477="","","Error"))))</f>
        <v/>
      </c>
      <c r="I500" s="242" t="str">
        <f>IF(I477="Reimbursement Price",I478,IF(ISBLANK(E499),"",IF(I477="Price to Wholesaler",(I498+I499),IF(I477="","","Error"))))</f>
        <v/>
      </c>
      <c r="O500" s="21"/>
    </row>
    <row r="501" spans="1:15" s="26" customFormat="1" x14ac:dyDescent="0.25">
      <c r="A501" s="92" t="s">
        <v>80</v>
      </c>
      <c r="B501" s="477" t="s">
        <v>214</v>
      </c>
      <c r="C501" s="478"/>
      <c r="D501" s="478"/>
      <c r="E501" s="268" t="str">
        <f>IF(OR(F482="",AND(F482="Yes",F483=""),AND(F482="No",F484="")),"",IF(AND(F482="No",F484="Patented Exclusive or Off Patent Exclusive and subject to clause 10 of Framework Agreement"),MR,IF(AND(F482="No",F484="Off Patent Non-Exclusive or Generic"),"None",IF(AND(F482="Yes",F483="Biosimilar"),"None",IF(AND(F482="Yes",F483="Patented or Off Patent Exclusive"),MR,IF(AND(F482="Yes",F483="Off Patent Non-Exclusive 12.5% Rebate incorporated into Price to Wholesaler"),"None",IF(AND(F482="Yes",F483="Off Patent Non-Exclusive 12.5% Rebate"),MRB,"Error")))))))</f>
        <v/>
      </c>
      <c r="F501" s="242" t="str">
        <f>IF(OR(F482="",AND(F482="Yes",F483=""),AND(F482="No",F484=""),F477="",ISBLANK(F478)),"",IF(E501="None",0,(E501*F498)))</f>
        <v/>
      </c>
      <c r="G501" s="242" t="str">
        <f>IF(OR(F482="",AND(F482="Yes",F483=""),AND(F482="No",F484=""),G477="",ISBLANK(G478)),"",IF(E501="None",0,(E501*G498)))</f>
        <v/>
      </c>
      <c r="H501" s="242" t="str">
        <f>IF(OR(F482="",AND(F482="Yes",F483=""),AND(F482="No",F484=""),H477="",ISBLANK(H478)),"",IF(E501="None",0,(E501*H498)))</f>
        <v/>
      </c>
      <c r="I501" s="242" t="str">
        <f>IF(OR(F482="",AND(F482="Yes",F483=""),AND(F482="No",F484=""),I477="",ISBLANK(I478)),"",IF(E501="None",0,(E501*I498)))</f>
        <v/>
      </c>
      <c r="O501" s="21"/>
    </row>
    <row r="502" spans="1:15" s="26" customFormat="1" ht="15.75" thickBot="1" x14ac:dyDescent="0.3">
      <c r="A502" s="159" t="s">
        <v>81</v>
      </c>
      <c r="B502" s="479" t="s">
        <v>94</v>
      </c>
      <c r="C502" s="480"/>
      <c r="D502" s="480"/>
      <c r="E502" s="160" t="str">
        <f>IF(F481="","",IF(F481="Yes",0,VT))</f>
        <v/>
      </c>
      <c r="F502" s="244" t="str">
        <f>IF(OR($B481="",F478="",ISBLANK(F478)),"",($E502*F500))</f>
        <v/>
      </c>
      <c r="G502" s="244" t="str">
        <f t="shared" ref="G502:I502" si="39">IF(OR($B481="",G478="",ISBLANK(G478)),"",($E502*G500))</f>
        <v/>
      </c>
      <c r="H502" s="244" t="str">
        <f t="shared" si="39"/>
        <v/>
      </c>
      <c r="I502" s="244" t="str">
        <f t="shared" si="39"/>
        <v/>
      </c>
      <c r="O502" s="21"/>
    </row>
    <row r="503" spans="1:15" s="26" customFormat="1" ht="15.75" thickBot="1" x14ac:dyDescent="0.3">
      <c r="A503" s="222" t="s">
        <v>127</v>
      </c>
      <c r="B503" s="481" t="s">
        <v>128</v>
      </c>
      <c r="C503" s="481"/>
      <c r="D503" s="481"/>
      <c r="E503" s="222"/>
      <c r="F503" s="245" t="str">
        <f>IF(OR(F477="",$F479="",$F481="",$F482=""),"",SUM(F500:F502))</f>
        <v/>
      </c>
      <c r="G503" s="245" t="str">
        <f t="shared" ref="G503" si="40">IF(OR(G477="",$F479="",$F481="",$F482=""),"",SUM(G500:G502))</f>
        <v/>
      </c>
      <c r="H503" s="245" t="str">
        <f t="shared" ref="H503" si="41">IF(OR(H477="",$F479="",$F481="",$F482=""),"",SUM(H500:H502))</f>
        <v/>
      </c>
      <c r="I503" s="245" t="str">
        <f t="shared" ref="I503" si="42">IF(OR(I477="",$F479="",$F481="",$F482=""),"",SUM(I500:I502))</f>
        <v/>
      </c>
      <c r="O503" s="21"/>
    </row>
    <row r="504" spans="1:15" s="26" customFormat="1" ht="15.75" thickBot="1" x14ac:dyDescent="0.3">
      <c r="A504" s="222" t="s">
        <v>129</v>
      </c>
      <c r="B504" s="482" t="s">
        <v>130</v>
      </c>
      <c r="C504" s="482"/>
      <c r="D504" s="482"/>
      <c r="E504" s="245"/>
      <c r="F504" s="245" t="str">
        <f>IF(OR(F477="",$F479="",$F481="",$F482=""),"",SUM(F500:F501))</f>
        <v/>
      </c>
      <c r="G504" s="245" t="str">
        <f t="shared" ref="G504:I504" si="43">IF(OR(G477="",$F479="",$F481="",$F482=""),"",SUM(G500:G501))</f>
        <v/>
      </c>
      <c r="H504" s="245" t="str">
        <f t="shared" si="43"/>
        <v/>
      </c>
      <c r="I504" s="245" t="str">
        <f t="shared" si="43"/>
        <v/>
      </c>
      <c r="O504" s="21"/>
    </row>
    <row r="505" spans="1:15" s="26" customFormat="1" x14ac:dyDescent="0.25">
      <c r="B505" s="66"/>
      <c r="C505" s="66"/>
      <c r="D505" s="66"/>
      <c r="E505" s="66"/>
      <c r="K505" s="26" t="s">
        <v>131</v>
      </c>
      <c r="O505" s="21"/>
    </row>
    <row r="506" spans="1:15" s="26" customFormat="1" x14ac:dyDescent="0.25">
      <c r="A506" s="155" t="s">
        <v>132</v>
      </c>
      <c r="B506" s="66"/>
      <c r="C506" s="66"/>
      <c r="D506" s="66"/>
      <c r="E506" s="66"/>
      <c r="F506" s="246"/>
      <c r="G506" s="246"/>
      <c r="H506" s="246"/>
      <c r="I506" s="246"/>
      <c r="O506" s="21"/>
    </row>
    <row r="507" spans="1:15" s="26" customFormat="1" x14ac:dyDescent="0.25">
      <c r="A507" s="125"/>
      <c r="B507" s="125" t="s">
        <v>133</v>
      </c>
      <c r="C507" s="125"/>
      <c r="D507" s="125"/>
      <c r="E507" s="125"/>
      <c r="F507" s="125"/>
      <c r="G507" s="125"/>
      <c r="H507" s="125"/>
      <c r="O507" s="21"/>
    </row>
    <row r="508" spans="1:15" s="26" customFormat="1" x14ac:dyDescent="0.25">
      <c r="B508" s="21" t="s">
        <v>134</v>
      </c>
      <c r="C508" s="229"/>
      <c r="D508" s="229"/>
      <c r="E508" s="66"/>
      <c r="O508" s="21"/>
    </row>
    <row r="509" spans="1:15" s="26" customFormat="1" ht="15.75" thickBot="1" x14ac:dyDescent="0.3">
      <c r="B509" s="165"/>
      <c r="C509" s="229"/>
      <c r="D509" s="229"/>
      <c r="E509" s="66"/>
      <c r="O509" s="21"/>
    </row>
    <row r="510" spans="1:15" s="26" customFormat="1" ht="15.75" thickBot="1" x14ac:dyDescent="0.3">
      <c r="B510" s="230"/>
      <c r="C510" s="66"/>
      <c r="D510" s="66"/>
      <c r="E510" s="66"/>
      <c r="G510" s="13" t="s">
        <v>135</v>
      </c>
      <c r="H510" s="13" t="s">
        <v>136</v>
      </c>
      <c r="O510" s="21"/>
    </row>
    <row r="511" spans="1:15" s="26" customFormat="1" x14ac:dyDescent="0.25">
      <c r="B511" s="483" t="s">
        <v>137</v>
      </c>
      <c r="C511" s="484"/>
      <c r="D511" s="484"/>
      <c r="E511" s="484"/>
      <c r="F511" s="485"/>
      <c r="G511" s="247" t="str">
        <f>IF(F479="","",IF(F479="CDS","per dispensing",IF(F479="HT","per month",IF(F479="Hosp","No Fee", ERROR))))</f>
        <v/>
      </c>
      <c r="H511" s="248" t="str">
        <f>IF(F479="","",IF(F479="CDS",DF,IF(F479="HT",PC,IF(F479="Hosp","No Fee",ERROR))))</f>
        <v/>
      </c>
      <c r="I511" s="26" t="s">
        <v>138</v>
      </c>
      <c r="O511" s="21"/>
    </row>
    <row r="512" spans="1:15" s="26" customFormat="1" ht="15.75" thickBot="1" x14ac:dyDescent="0.3">
      <c r="B512" s="486" t="s">
        <v>92</v>
      </c>
      <c r="C512" s="487"/>
      <c r="D512" s="487"/>
      <c r="E512" s="487"/>
      <c r="F512" s="488"/>
      <c r="G512" s="249" t="str">
        <f>IF(OR(F479="",F481=""),"",IF(F479="Hosp","No Fee",IF(F479="HT","No VAT",IF(AND(F479="CDS",F481="No"),VT,"No VAT"))))</f>
        <v/>
      </c>
      <c r="H512" s="250" t="str">
        <f>IF(OR(F481="",F479="Hosp"),"",IF(OR(F481="Yes",F479="HT"),0,H511*G512))</f>
        <v/>
      </c>
      <c r="O512" s="21"/>
    </row>
    <row r="513" spans="1:20" s="26" customFormat="1" x14ac:dyDescent="0.25">
      <c r="B513" s="230"/>
      <c r="C513" s="66"/>
      <c r="D513" s="66"/>
      <c r="E513" s="66"/>
      <c r="O513" s="21"/>
    </row>
    <row r="514" spans="1:20" s="26" customFormat="1" x14ac:dyDescent="0.25">
      <c r="B514" s="230"/>
      <c r="C514" s="66"/>
      <c r="D514" s="66"/>
      <c r="E514" s="66"/>
      <c r="O514" s="21"/>
    </row>
    <row r="515" spans="1:20" s="26" customFormat="1" ht="33.950000000000003" customHeight="1" thickBot="1" x14ac:dyDescent="0.3">
      <c r="A515" s="165" t="s">
        <v>193</v>
      </c>
      <c r="B515" s="230"/>
      <c r="C515" s="66"/>
      <c r="D515" s="66"/>
      <c r="E515" s="66"/>
      <c r="K515" s="408" t="s">
        <v>197</v>
      </c>
      <c r="L515" s="408"/>
      <c r="M515" s="408"/>
      <c r="N515" s="408"/>
      <c r="O515" s="408"/>
      <c r="P515" s="195"/>
      <c r="Q515" s="195"/>
      <c r="R515" s="195"/>
      <c r="S515" s="195"/>
      <c r="T515" s="195"/>
    </row>
    <row r="516" spans="1:20" s="26" customFormat="1" ht="17.100000000000001" customHeight="1" thickBot="1" x14ac:dyDescent="0.3">
      <c r="A516" s="14" t="s">
        <v>194</v>
      </c>
      <c r="B516" s="230"/>
      <c r="C516" s="66"/>
      <c r="D516" s="66"/>
      <c r="E516" s="66"/>
      <c r="G516" s="13" t="s">
        <v>101</v>
      </c>
      <c r="H516" s="13" t="s">
        <v>136</v>
      </c>
      <c r="K516" s="408" t="str">
        <f>IF(F479="HT","For High tech, if a treatment cycle =28 days the corresponding pharmacy fee is =62.03*12/365.25*28.  The pharmacy fee remains the same regardless of the number of products dispensed that month.",IF(F479="CDS","For CDS, if 2 packets of the same pack presentation are required per treatment cycle, one dispensing fee applies (€5.48). If multiple pack presentations are required, multiple dispensing fees apply",""))</f>
        <v/>
      </c>
      <c r="L516" s="408"/>
      <c r="M516" s="408"/>
      <c r="N516" s="408"/>
      <c r="O516" s="408"/>
      <c r="P516" s="195"/>
      <c r="Q516" s="195"/>
      <c r="R516" s="195"/>
      <c r="S516" s="195"/>
      <c r="T516" s="195"/>
    </row>
    <row r="517" spans="1:20" s="26" customFormat="1" ht="16.5" customHeight="1" x14ac:dyDescent="0.25">
      <c r="A517" s="170" t="s">
        <v>139</v>
      </c>
      <c r="B517" s="504" t="s">
        <v>140</v>
      </c>
      <c r="C517" s="504"/>
      <c r="D517" s="504"/>
      <c r="E517" s="504"/>
      <c r="F517" s="504"/>
      <c r="G517" s="251"/>
      <c r="H517" s="252"/>
      <c r="K517" s="408"/>
      <c r="L517" s="408"/>
      <c r="M517" s="408"/>
      <c r="N517" s="408"/>
      <c r="O517" s="408"/>
      <c r="P517" s="195"/>
      <c r="Q517" s="195"/>
      <c r="R517" s="195"/>
      <c r="S517" s="195"/>
      <c r="T517" s="195"/>
    </row>
    <row r="518" spans="1:20" s="26" customFormat="1" x14ac:dyDescent="0.25">
      <c r="A518" s="173" t="s">
        <v>141</v>
      </c>
      <c r="B518" s="505" t="s">
        <v>142</v>
      </c>
      <c r="C518" s="505"/>
      <c r="D518" s="505"/>
      <c r="E518" s="505"/>
      <c r="F518" s="505"/>
      <c r="G518" s="253"/>
      <c r="H518" s="254"/>
      <c r="K518" s="14" t="s">
        <v>188</v>
      </c>
      <c r="O518" s="21"/>
    </row>
    <row r="519" spans="1:20" s="26" customFormat="1" x14ac:dyDescent="0.25">
      <c r="A519" s="173" t="s">
        <v>143</v>
      </c>
      <c r="B519" s="505" t="s">
        <v>144</v>
      </c>
      <c r="C519" s="505"/>
      <c r="D519" s="505"/>
      <c r="E519" s="505"/>
      <c r="F519" s="505"/>
      <c r="G519" s="253"/>
      <c r="H519" s="254"/>
      <c r="K519" s="14" t="s">
        <v>189</v>
      </c>
      <c r="O519" s="21"/>
    </row>
    <row r="520" spans="1:20" s="26" customFormat="1" x14ac:dyDescent="0.25">
      <c r="A520" s="173" t="s">
        <v>145</v>
      </c>
      <c r="B520" s="505" t="s">
        <v>146</v>
      </c>
      <c r="C520" s="505"/>
      <c r="D520" s="505"/>
      <c r="E520" s="505"/>
      <c r="F520" s="505"/>
      <c r="G520" s="255"/>
      <c r="H520" s="256" t="str">
        <f>IF(ISBLANK(H517),"",SUM(H517:H519))</f>
        <v/>
      </c>
      <c r="O520" s="21"/>
    </row>
    <row r="521" spans="1:20" s="26" customFormat="1" ht="15.75" thickBot="1" x14ac:dyDescent="0.3">
      <c r="A521" s="178" t="s">
        <v>147</v>
      </c>
      <c r="B521" s="515" t="s">
        <v>196</v>
      </c>
      <c r="C521" s="515"/>
      <c r="D521" s="515"/>
      <c r="E521" s="515"/>
      <c r="F521" s="515"/>
      <c r="G521" s="257"/>
      <c r="H521" s="250" t="str">
        <f>IF(ISBLANK(H517),"",SUM(H517:H518))</f>
        <v/>
      </c>
      <c r="O521" s="21"/>
    </row>
    <row r="522" spans="1:20" s="26" customFormat="1" x14ac:dyDescent="0.25">
      <c r="B522" s="66"/>
      <c r="C522" s="66"/>
      <c r="D522" s="66"/>
      <c r="E522" s="66"/>
      <c r="O522" s="21"/>
    </row>
    <row r="523" spans="1:20" s="26" customFormat="1" x14ac:dyDescent="0.25">
      <c r="B523" s="66"/>
      <c r="C523" s="66"/>
      <c r="D523" s="66"/>
      <c r="E523" s="66"/>
      <c r="O523" s="21"/>
    </row>
    <row r="524" spans="1:20" s="26" customFormat="1" x14ac:dyDescent="0.25">
      <c r="A524" s="155" t="s">
        <v>148</v>
      </c>
      <c r="B524" s="66"/>
      <c r="C524" s="66"/>
      <c r="D524" s="66"/>
      <c r="E524" s="66"/>
      <c r="O524" s="21"/>
    </row>
    <row r="525" spans="1:20" s="26" customFormat="1" ht="15.75" thickBot="1" x14ac:dyDescent="0.3">
      <c r="B525" s="66"/>
      <c r="C525" s="66"/>
      <c r="D525" s="66"/>
      <c r="E525" s="66"/>
      <c r="O525" s="21"/>
    </row>
    <row r="526" spans="1:20" s="26" customFormat="1" ht="29.1" customHeight="1" x14ac:dyDescent="0.25">
      <c r="A526" s="65"/>
      <c r="B526" s="228"/>
      <c r="C526" s="228"/>
      <c r="D526" s="228"/>
      <c r="E526" s="228"/>
      <c r="F526" s="506" t="s">
        <v>149</v>
      </c>
      <c r="G526" s="180" t="s">
        <v>150</v>
      </c>
      <c r="H526" s="508" t="s">
        <v>151</v>
      </c>
      <c r="I526" s="180" t="s">
        <v>152</v>
      </c>
      <c r="J526" s="66"/>
      <c r="K526" s="408" t="s">
        <v>269</v>
      </c>
      <c r="L526" s="408"/>
      <c r="M526" s="408"/>
      <c r="N526" s="408"/>
      <c r="O526" s="408"/>
    </row>
    <row r="527" spans="1:20" s="26" customFormat="1" x14ac:dyDescent="0.25">
      <c r="A527" s="65"/>
      <c r="B527" s="228"/>
      <c r="C527" s="228"/>
      <c r="D527" s="228"/>
      <c r="E527" s="228"/>
      <c r="F527" s="507"/>
      <c r="G527" s="253"/>
      <c r="H527" s="509"/>
      <c r="I527" s="182"/>
      <c r="J527" s="66"/>
      <c r="K527" s="408"/>
      <c r="L527" s="408"/>
      <c r="M527" s="408"/>
      <c r="N527" s="408"/>
      <c r="O527" s="408"/>
    </row>
    <row r="528" spans="1:20" s="26" customFormat="1" ht="15.75" thickBot="1" x14ac:dyDescent="0.3">
      <c r="A528" s="65"/>
      <c r="B528" s="228"/>
      <c r="C528" s="228"/>
      <c r="D528" s="228"/>
      <c r="E528" s="228"/>
      <c r="F528" s="507"/>
      <c r="G528" s="183" t="s">
        <v>153</v>
      </c>
      <c r="H528" s="510"/>
      <c r="I528" s="184"/>
      <c r="J528" s="66"/>
      <c r="K528" s="408"/>
      <c r="L528" s="408"/>
      <c r="M528" s="408"/>
      <c r="N528" s="408"/>
      <c r="O528" s="408"/>
    </row>
    <row r="529" spans="1:19" s="26" customFormat="1" x14ac:dyDescent="0.25">
      <c r="A529" s="247" t="s">
        <v>77</v>
      </c>
      <c r="B529" s="463" t="str">
        <f>B498</f>
        <v>Price to Wholesaler</v>
      </c>
      <c r="C529" s="463"/>
      <c r="D529" s="463"/>
      <c r="E529" s="463"/>
      <c r="F529" s="256">
        <f>SUMPRODUCT(F498:I498,F490:I490)</f>
        <v>0</v>
      </c>
      <c r="G529" s="256">
        <f>F529*G527</f>
        <v>0</v>
      </c>
      <c r="H529" s="256" t="str">
        <f>IF(H488="Days",F529/F488*365.25,IF(H488="Months",F529/F488*12,""))</f>
        <v/>
      </c>
      <c r="I529" s="256" t="str">
        <f>IF(AND(H488="Days",I528="Days"),F529/F488*I527,IF(AND(H488="Months",I528="Months"),F529/F488*I527,IF(AND(H488="Days",I528="Months"),F529/F488*30.4375*I527,IF(AND(H488="Months",I528="Days"),F529/F488/30.4375*I527,""))))</f>
        <v/>
      </c>
      <c r="O529" s="21"/>
    </row>
    <row r="530" spans="1:19" s="26" customFormat="1" x14ac:dyDescent="0.25">
      <c r="A530" s="255" t="s">
        <v>78</v>
      </c>
      <c r="B530" s="464" t="str">
        <f>B499</f>
        <v>Wholesale Mark-up</v>
      </c>
      <c r="C530" s="464"/>
      <c r="D530" s="464"/>
      <c r="E530" s="464"/>
      <c r="F530" s="256">
        <f>SUMPRODUCT(F499:I499,F490:I490)</f>
        <v>0</v>
      </c>
      <c r="G530" s="256">
        <f>F530*G527</f>
        <v>0</v>
      </c>
      <c r="H530" s="256" t="str">
        <f>IF(H488="Days",F530/F488*365.25,IF(H488="Months",F530/F488*12,""))</f>
        <v/>
      </c>
      <c r="I530" s="256" t="str">
        <f>IF(AND(H488="Days",I528="Days"),F530/F488*I527,IF(AND(H488="Months",I528="Months"),F530/F488*I527,IF(AND(H488="Days",I528="Months"),F530/F488*30.4375*I527,IF(AND(H488="Months",I528="Days"),F530/F488/30.4375*I527,""))))</f>
        <v/>
      </c>
      <c r="O530" s="21"/>
    </row>
    <row r="531" spans="1:19" s="26" customFormat="1" x14ac:dyDescent="0.25">
      <c r="A531" s="255" t="s">
        <v>79</v>
      </c>
      <c r="B531" s="231" t="str">
        <f>B500</f>
        <v>Reimbursement Price</v>
      </c>
      <c r="C531" s="232"/>
      <c r="D531" s="233"/>
      <c r="E531" s="258"/>
      <c r="F531" s="256">
        <f>SUMPRODUCT(F500:I500,F490:I490)</f>
        <v>0</v>
      </c>
      <c r="G531" s="256">
        <f>F531*G527</f>
        <v>0</v>
      </c>
      <c r="H531" s="256" t="str">
        <f>IF(H488="Days",F531/F488*365.25,IF(H488="Months",F531/F488*12,""))</f>
        <v/>
      </c>
      <c r="I531" s="256" t="str">
        <f>IF(AND(H488="Days",I528="Days"),F531/F488*I527,IF(AND(H488="Months",I528="Months"),F531/F488*I527,IF(AND(H488="Days",I528="Months"),F531/F488*30.4375*I527,IF(AND(H488="Months",I528="Days"),F531/F488/30.4375*I527,""))))</f>
        <v/>
      </c>
      <c r="O531" s="21"/>
    </row>
    <row r="532" spans="1:19" s="26" customFormat="1" x14ac:dyDescent="0.25">
      <c r="A532" s="255" t="s">
        <v>80</v>
      </c>
      <c r="B532" s="495" t="str">
        <f>B501</f>
        <v>Framework Agreement Rebate</v>
      </c>
      <c r="C532" s="496"/>
      <c r="D532" s="496"/>
      <c r="E532" s="497"/>
      <c r="F532" s="256">
        <f>SUMPRODUCT(F501:I501,F490:I490)</f>
        <v>0</v>
      </c>
      <c r="G532" s="256">
        <f>F532*G527</f>
        <v>0</v>
      </c>
      <c r="H532" s="256" t="str">
        <f>IF(H488="Days",F532/F488*365.25,IF(H488="Months",F532/F488*12,""))</f>
        <v/>
      </c>
      <c r="I532" s="256" t="str">
        <f>IF(AND(H488="Days",I528="Days"),F532/F488*I527,IF(AND(H488="Months",I528="Months"),F532/F488*I527,IF(AND(H488="Days",I528="Months"),F532/F488*30.4375*I527,IF(AND(H488="Months",I528="Days"),F532/F488/30.4375*I527,""))))</f>
        <v/>
      </c>
      <c r="O532" s="21"/>
    </row>
    <row r="533" spans="1:19" s="26" customFormat="1" x14ac:dyDescent="0.25">
      <c r="A533" s="255" t="s">
        <v>81</v>
      </c>
      <c r="B533" s="495" t="str">
        <f>B502</f>
        <v xml:space="preserve">VAT on Drug Cost </v>
      </c>
      <c r="C533" s="496"/>
      <c r="D533" s="496"/>
      <c r="E533" s="497"/>
      <c r="F533" s="256">
        <f>SUMPRODUCT(F502:I502,F490:I490)</f>
        <v>0</v>
      </c>
      <c r="G533" s="256">
        <f>F533*G527</f>
        <v>0</v>
      </c>
      <c r="H533" s="256" t="str">
        <f>IF(H488="Days",F533/F488*365.25,IF(H488="Months",F533/F488*12,""))</f>
        <v/>
      </c>
      <c r="I533" s="256" t="str">
        <f>IF(AND(H488="Days",I528="Days"),F533/F488*I527,IF(AND(H488="Months",I528="Months"),F533/F488*I527,IF(AND(H488="Days",I528="Months"),F533/F488*30.4375*I527,IF(AND(H488="Months",I528="Days"),F533/F488/30.4375*I527,""))))</f>
        <v/>
      </c>
      <c r="O533" s="21"/>
    </row>
    <row r="534" spans="1:19" s="26" customFormat="1" x14ac:dyDescent="0.25">
      <c r="A534" s="255" t="s">
        <v>154</v>
      </c>
      <c r="B534" s="495" t="s">
        <v>155</v>
      </c>
      <c r="C534" s="496"/>
      <c r="D534" s="496"/>
      <c r="E534" s="497"/>
      <c r="F534" s="256" t="str">
        <f>IF(H520="","",H520)</f>
        <v/>
      </c>
      <c r="G534" s="256" t="str">
        <f>IF(F534="","",F534*G527)</f>
        <v/>
      </c>
      <c r="H534" s="256" t="str">
        <f>IF(F534="","",IF(H488="Days",F534/F488*365.25,IF(H488="Months",F534/F488*12,"")))</f>
        <v/>
      </c>
      <c r="I534" s="256" t="str">
        <f>IF(F534="","",IF(AND(H488="Days",I528="Days"),F534/F488*I527,IF(AND(H488="Months",I528="Months"),F534/F488*I527,IF(AND(H488="Days",I528="Months"),F534/F488*30.4375*I527,IF(AND(H488="Months",I528="Days"),F534/F488/30.4375*I527,"")))))</f>
        <v/>
      </c>
      <c r="O534" s="21"/>
    </row>
    <row r="535" spans="1:19" s="26" customFormat="1" x14ac:dyDescent="0.25">
      <c r="A535" s="255" t="s">
        <v>156</v>
      </c>
      <c r="B535" s="495" t="s">
        <v>157</v>
      </c>
      <c r="C535" s="496"/>
      <c r="D535" s="496"/>
      <c r="E535" s="497"/>
      <c r="F535" s="256" t="str">
        <f>IF(H521="","",H521)</f>
        <v/>
      </c>
      <c r="G535" s="256" t="str">
        <f>IF(F535="","",F535*G527)</f>
        <v/>
      </c>
      <c r="H535" s="256" t="str">
        <f>IF(F535="","",IF(H488="Days",F535/F488*365.25,IF(H488="Months",F535/F488*12,"")))</f>
        <v/>
      </c>
      <c r="I535" s="256" t="str">
        <f>IF(F535="","",IF(AND(H488="Days",I528="Days"),F535/F488*I527,IF(AND(H488="Months",I528="Months"),F535/F488*I527,IF(AND(H488="Days",I528="Months"),F535/F488*30.4375*I527,IF(AND(H488="Months",I528="Days"),F535/F488/30.4375*I527,"")))))</f>
        <v/>
      </c>
      <c r="O535" s="21"/>
    </row>
    <row r="536" spans="1:19" s="155" customFormat="1" x14ac:dyDescent="0.25">
      <c r="A536" s="186" t="s">
        <v>158</v>
      </c>
      <c r="B536" s="498" t="s">
        <v>159</v>
      </c>
      <c r="C536" s="499"/>
      <c r="D536" s="499"/>
      <c r="E536" s="500"/>
      <c r="F536" s="187">
        <f>SUM(F531:F534)</f>
        <v>0</v>
      </c>
      <c r="G536" s="187">
        <f t="shared" ref="G536:I536" si="44">SUM(G531:G534)</f>
        <v>0</v>
      </c>
      <c r="H536" s="187">
        <f t="shared" si="44"/>
        <v>0</v>
      </c>
      <c r="I536" s="187">
        <f t="shared" si="44"/>
        <v>0</v>
      </c>
      <c r="K536" s="98" t="s">
        <v>191</v>
      </c>
      <c r="O536" s="189"/>
    </row>
    <row r="537" spans="1:19" s="26" customFormat="1" ht="15.75" thickBot="1" x14ac:dyDescent="0.3">
      <c r="A537" s="257" t="s">
        <v>160</v>
      </c>
      <c r="B537" s="501" t="s">
        <v>161</v>
      </c>
      <c r="C537" s="502"/>
      <c r="D537" s="502"/>
      <c r="E537" s="503"/>
      <c r="F537" s="250">
        <f>IF(F535="",SUM(F531+F532),F531+F532+F535)</f>
        <v>0</v>
      </c>
      <c r="G537" s="250">
        <f t="shared" ref="G537" si="45">IF(G535="",SUM(G531+G532),G531+G532+G535)</f>
        <v>0</v>
      </c>
      <c r="H537" s="250" t="e">
        <f>IF(H535="",SUM(H531+H532),H531+H532+H535)</f>
        <v>#VALUE!</v>
      </c>
      <c r="I537" s="250" t="e">
        <f t="shared" ref="I537" si="46">IF(I535="",SUM(I531+I532),I531+I532+I535)</f>
        <v>#VALUE!</v>
      </c>
      <c r="K537" s="14" t="s">
        <v>192</v>
      </c>
      <c r="O537" s="21"/>
    </row>
    <row r="538" spans="1:19" s="26" customFormat="1" x14ac:dyDescent="0.25">
      <c r="B538" s="229"/>
      <c r="C538" s="66"/>
      <c r="D538" s="66"/>
      <c r="E538" s="66"/>
      <c r="O538" s="21"/>
    </row>
    <row r="539" spans="1:19" s="26" customFormat="1" x14ac:dyDescent="0.25"/>
    <row r="540" spans="1:19" s="26" customFormat="1" x14ac:dyDescent="0.25">
      <c r="B540" s="224" t="s">
        <v>101</v>
      </c>
      <c r="C540" s="224"/>
      <c r="D540" s="224"/>
      <c r="E540" s="224"/>
    </row>
    <row r="541" spans="1:19" s="26" customFormat="1" ht="15.75" customHeight="1" x14ac:dyDescent="0.25"/>
    <row r="542" spans="1:19" s="26" customFormat="1" x14ac:dyDescent="0.25">
      <c r="B542" s="234"/>
      <c r="C542" s="234"/>
      <c r="D542" s="234"/>
      <c r="E542" s="234"/>
      <c r="F542" s="234"/>
      <c r="G542" s="234"/>
      <c r="H542" s="234"/>
      <c r="I542" s="234"/>
      <c r="J542" s="234"/>
      <c r="K542" s="234"/>
      <c r="L542" s="234"/>
      <c r="M542" s="234"/>
      <c r="N542" s="234"/>
      <c r="O542" s="234"/>
      <c r="P542" s="234"/>
      <c r="Q542" s="234"/>
      <c r="R542" s="234"/>
      <c r="S542" s="234"/>
    </row>
    <row r="543" spans="1:19" s="26" customFormat="1" x14ac:dyDescent="0.25">
      <c r="B543" s="234"/>
      <c r="C543" s="234"/>
      <c r="D543" s="234"/>
      <c r="E543" s="234"/>
      <c r="F543" s="234"/>
      <c r="G543" s="234"/>
      <c r="H543" s="234"/>
      <c r="I543" s="234"/>
      <c r="J543" s="234"/>
      <c r="K543" s="234"/>
      <c r="L543" s="234"/>
      <c r="M543" s="234"/>
      <c r="N543" s="234"/>
      <c r="O543" s="234"/>
      <c r="P543" s="234"/>
      <c r="Q543" s="234"/>
      <c r="R543" s="234"/>
      <c r="S543" s="234"/>
    </row>
    <row r="544" spans="1:19" s="26" customFormat="1" x14ac:dyDescent="0.25">
      <c r="B544" s="234"/>
      <c r="C544" s="234"/>
      <c r="D544" s="234"/>
      <c r="E544" s="234"/>
      <c r="F544" s="234"/>
      <c r="G544" s="234"/>
      <c r="H544" s="234"/>
      <c r="I544" s="234"/>
      <c r="J544" s="234"/>
      <c r="K544" s="234"/>
      <c r="L544" s="234"/>
      <c r="M544" s="234"/>
      <c r="N544" s="234"/>
      <c r="O544" s="234"/>
      <c r="P544" s="234"/>
      <c r="Q544" s="234"/>
      <c r="R544" s="234"/>
      <c r="S544" s="234"/>
    </row>
    <row r="545" spans="2:22" s="26" customFormat="1" x14ac:dyDescent="0.25">
      <c r="B545" s="234"/>
      <c r="C545" s="234"/>
      <c r="D545" s="234"/>
      <c r="E545" s="234"/>
      <c r="F545" s="234"/>
      <c r="G545" s="234"/>
      <c r="H545" s="234"/>
      <c r="I545" s="234"/>
      <c r="J545" s="234"/>
      <c r="K545" s="234"/>
      <c r="L545" s="234"/>
      <c r="M545" s="234"/>
      <c r="N545" s="234"/>
      <c r="O545" s="234"/>
      <c r="P545" s="234"/>
      <c r="Q545" s="234"/>
      <c r="R545" s="234"/>
      <c r="S545" s="234"/>
    </row>
    <row r="546" spans="2:22" s="26" customFormat="1" x14ac:dyDescent="0.25">
      <c r="B546" s="234"/>
      <c r="C546" s="234"/>
      <c r="D546" s="234"/>
      <c r="E546" s="234"/>
      <c r="F546" s="234"/>
      <c r="G546" s="234"/>
      <c r="H546" s="234"/>
      <c r="I546" s="234"/>
      <c r="J546" s="234"/>
      <c r="K546" s="234"/>
      <c r="L546" s="234"/>
      <c r="M546" s="234"/>
      <c r="N546" s="234"/>
      <c r="O546" s="234"/>
      <c r="P546" s="234"/>
      <c r="Q546" s="234"/>
      <c r="R546" s="234"/>
      <c r="S546" s="234"/>
    </row>
    <row r="547" spans="2:22" s="26" customFormat="1" x14ac:dyDescent="0.25">
      <c r="B547" s="234"/>
      <c r="C547" s="234"/>
      <c r="D547" s="234"/>
      <c r="E547" s="234"/>
      <c r="F547" s="234"/>
      <c r="G547" s="234"/>
      <c r="H547" s="234"/>
      <c r="I547" s="234"/>
      <c r="J547" s="234"/>
      <c r="K547" s="234"/>
      <c r="L547" s="234"/>
      <c r="M547" s="234"/>
      <c r="N547" s="234"/>
      <c r="O547" s="234"/>
      <c r="P547" s="234"/>
      <c r="Q547" s="234"/>
      <c r="R547" s="234"/>
      <c r="S547" s="234"/>
    </row>
    <row r="548" spans="2:22" s="26" customFormat="1" x14ac:dyDescent="0.25">
      <c r="B548" s="234"/>
      <c r="C548" s="234"/>
      <c r="D548" s="234"/>
      <c r="E548" s="234"/>
      <c r="F548" s="234"/>
      <c r="G548" s="234"/>
      <c r="H548" s="234"/>
      <c r="I548" s="234"/>
      <c r="J548" s="234"/>
      <c r="K548" s="234"/>
      <c r="L548" s="234"/>
      <c r="M548" s="234"/>
      <c r="N548" s="234"/>
      <c r="O548" s="234"/>
      <c r="P548" s="234"/>
      <c r="Q548" s="234"/>
      <c r="R548" s="234"/>
      <c r="S548" s="234"/>
    </row>
    <row r="549" spans="2:22" s="26" customFormat="1" x14ac:dyDescent="0.25">
      <c r="B549" s="234"/>
      <c r="C549" s="234"/>
      <c r="D549" s="234"/>
      <c r="E549" s="234"/>
      <c r="F549" s="234"/>
      <c r="G549" s="234"/>
      <c r="H549" s="234"/>
      <c r="I549" s="234"/>
      <c r="J549" s="234"/>
      <c r="K549" s="234"/>
      <c r="L549" s="234"/>
      <c r="M549" s="234"/>
      <c r="N549" s="234"/>
      <c r="O549" s="234"/>
      <c r="P549" s="234"/>
      <c r="Q549" s="234"/>
      <c r="R549" s="234"/>
      <c r="S549" s="234"/>
    </row>
    <row r="550" spans="2:22" s="26" customFormat="1" x14ac:dyDescent="0.25">
      <c r="B550" s="234"/>
      <c r="C550" s="234"/>
      <c r="D550" s="234"/>
      <c r="E550" s="234"/>
      <c r="F550" s="234"/>
      <c r="G550" s="234"/>
      <c r="H550" s="234"/>
      <c r="I550" s="234"/>
      <c r="J550" s="234"/>
      <c r="K550" s="234"/>
      <c r="L550" s="234"/>
      <c r="M550" s="234"/>
      <c r="N550" s="234"/>
      <c r="O550" s="234"/>
      <c r="P550" s="234"/>
      <c r="Q550" s="234"/>
      <c r="R550" s="234"/>
      <c r="S550" s="234"/>
    </row>
    <row r="551" spans="2:22" s="26" customFormat="1" x14ac:dyDescent="0.25">
      <c r="B551" s="234"/>
      <c r="C551" s="234"/>
      <c r="D551" s="234"/>
      <c r="E551" s="234"/>
      <c r="F551" s="234"/>
      <c r="G551" s="234"/>
      <c r="H551" s="234"/>
      <c r="I551" s="234"/>
      <c r="J551" s="234"/>
      <c r="K551" s="234"/>
      <c r="L551" s="234"/>
      <c r="M551" s="234"/>
      <c r="N551" s="234"/>
      <c r="O551" s="234"/>
      <c r="P551" s="234"/>
      <c r="Q551" s="234"/>
      <c r="R551" s="234"/>
      <c r="S551" s="234"/>
    </row>
    <row r="552" spans="2:22" s="26" customFormat="1" x14ac:dyDescent="0.25"/>
    <row r="553" spans="2:22" s="26" customFormat="1" x14ac:dyDescent="0.25"/>
    <row r="554" spans="2:22" s="26" customFormat="1" ht="15.75" thickBot="1" x14ac:dyDescent="0.3"/>
    <row r="555" spans="2:22" s="26" customFormat="1" ht="15.75" thickBot="1" x14ac:dyDescent="0.3">
      <c r="B555" s="410" t="str">
        <f>CONCATENATE("Comparator 6: ",NameComparator6)</f>
        <v xml:space="preserve">Comparator 6: </v>
      </c>
      <c r="C555" s="411"/>
      <c r="D555" s="411"/>
      <c r="E555" s="411"/>
      <c r="F555" s="411"/>
      <c r="G555" s="412"/>
    </row>
    <row r="556" spans="2:22" s="26" customFormat="1" x14ac:dyDescent="0.25">
      <c r="B556" s="227"/>
      <c r="C556" s="227"/>
      <c r="D556" s="227"/>
      <c r="F556" s="228"/>
      <c r="G556" s="228"/>
      <c r="H556" s="228"/>
      <c r="I556" s="228"/>
      <c r="J556" s="228"/>
    </row>
    <row r="557" spans="2:22" s="26" customFormat="1" x14ac:dyDescent="0.25"/>
    <row r="558" spans="2:22" s="26" customFormat="1" ht="28.5" customHeight="1" thickBot="1" x14ac:dyDescent="0.3">
      <c r="B558" s="334" t="s">
        <v>118</v>
      </c>
      <c r="C558" s="334"/>
      <c r="D558" s="334"/>
      <c r="E558" s="334"/>
      <c r="K558" s="408" t="s">
        <v>209</v>
      </c>
      <c r="L558" s="408"/>
      <c r="M558" s="408"/>
      <c r="N558" s="408"/>
      <c r="O558" s="408"/>
      <c r="P558" s="225"/>
      <c r="Q558" s="225"/>
      <c r="R558" s="225"/>
      <c r="S558" s="225"/>
      <c r="T558" s="225"/>
      <c r="U558" s="225"/>
      <c r="V558" s="225"/>
    </row>
    <row r="559" spans="2:22" s="26" customFormat="1" ht="18.95" customHeight="1" thickBot="1" x14ac:dyDescent="0.3">
      <c r="B559" s="465" t="s">
        <v>119</v>
      </c>
      <c r="C559" s="466"/>
      <c r="D559" s="466"/>
      <c r="E559" s="466"/>
      <c r="F559" s="466"/>
      <c r="G559" s="466"/>
      <c r="H559" s="466"/>
      <c r="I559" s="467"/>
      <c r="K559" s="408"/>
      <c r="L559" s="408"/>
      <c r="M559" s="408"/>
      <c r="N559" s="408"/>
      <c r="O559" s="408"/>
      <c r="P559" s="225"/>
      <c r="Q559" s="225"/>
      <c r="R559" s="225"/>
      <c r="S559" s="225"/>
      <c r="T559" s="225"/>
      <c r="U559" s="225"/>
      <c r="V559" s="225"/>
    </row>
    <row r="560" spans="2:22" s="26" customFormat="1" ht="15.75" thickBot="1" x14ac:dyDescent="0.3">
      <c r="B560" s="220"/>
      <c r="C560" s="221"/>
      <c r="D560" s="221"/>
      <c r="E560" s="221"/>
      <c r="F560" s="466" t="s">
        <v>120</v>
      </c>
      <c r="G560" s="466"/>
      <c r="H560" s="466"/>
      <c r="I560" s="467"/>
      <c r="K560" s="14"/>
    </row>
    <row r="561" spans="1:22" s="26" customFormat="1" ht="15.75" thickBot="1" x14ac:dyDescent="0.3">
      <c r="B561" s="472" t="s">
        <v>174</v>
      </c>
      <c r="C561" s="473"/>
      <c r="D561" s="473"/>
      <c r="E561" s="474"/>
      <c r="F561" s="149"/>
      <c r="G561" s="149"/>
      <c r="H561" s="149"/>
      <c r="I561" s="149"/>
      <c r="K561" s="14" t="s">
        <v>180</v>
      </c>
    </row>
    <row r="562" spans="1:22" s="26" customFormat="1" ht="30" customHeight="1" thickBot="1" x14ac:dyDescent="0.3">
      <c r="B562" s="472" t="s">
        <v>106</v>
      </c>
      <c r="C562" s="473"/>
      <c r="D562" s="473"/>
      <c r="E562" s="474"/>
      <c r="F562" s="235"/>
      <c r="G562" s="235"/>
      <c r="H562" s="235"/>
      <c r="I562" s="235"/>
      <c r="J562" s="26" t="s">
        <v>104</v>
      </c>
      <c r="K562" s="408" t="s">
        <v>181</v>
      </c>
      <c r="L562" s="408"/>
      <c r="M562" s="408"/>
      <c r="N562" s="408"/>
      <c r="O562" s="408"/>
      <c r="P562" s="21"/>
      <c r="Q562" s="21"/>
      <c r="R562" s="21"/>
      <c r="S562" s="21"/>
      <c r="T562" s="21"/>
    </row>
    <row r="563" spans="1:22" s="26" customFormat="1" ht="15.75" thickBot="1" x14ac:dyDescent="0.3">
      <c r="A563" s="14"/>
      <c r="B563" s="472" t="s">
        <v>107</v>
      </c>
      <c r="C563" s="473"/>
      <c r="D563" s="473"/>
      <c r="E563" s="474"/>
      <c r="F563" s="151"/>
      <c r="G563" s="151"/>
      <c r="H563" s="151"/>
      <c r="I563" s="151"/>
      <c r="J563" s="236"/>
      <c r="K563" s="110" t="s">
        <v>182</v>
      </c>
      <c r="N563" s="21"/>
      <c r="O563" s="21"/>
      <c r="P563" s="21"/>
      <c r="Q563" s="21"/>
      <c r="R563" s="21"/>
      <c r="S563" s="21"/>
      <c r="T563" s="21"/>
    </row>
    <row r="564" spans="1:22" s="26" customFormat="1" ht="15.75" thickBot="1" x14ac:dyDescent="0.3">
      <c r="A564" s="15"/>
      <c r="B564" s="472" t="s">
        <v>108</v>
      </c>
      <c r="C564" s="473"/>
      <c r="D564" s="473"/>
      <c r="E564" s="474"/>
      <c r="F564" s="489"/>
      <c r="G564" s="490"/>
      <c r="H564" s="490"/>
      <c r="I564" s="491"/>
      <c r="J564" s="237" t="s">
        <v>104</v>
      </c>
      <c r="K564" s="110" t="s">
        <v>210</v>
      </c>
    </row>
    <row r="565" spans="1:22" s="26" customFormat="1" ht="15.75" thickBot="1" x14ac:dyDescent="0.3">
      <c r="A565" s="15"/>
      <c r="B565" s="472" t="s">
        <v>74</v>
      </c>
      <c r="C565" s="473"/>
      <c r="D565" s="473"/>
      <c r="E565" s="474"/>
      <c r="F565" s="492"/>
      <c r="G565" s="493"/>
      <c r="H565" s="493"/>
      <c r="I565" s="494"/>
      <c r="J565" s="237" t="s">
        <v>104</v>
      </c>
      <c r="K565" s="110" t="s">
        <v>184</v>
      </c>
    </row>
    <row r="566" spans="1:22" s="26" customFormat="1" ht="15.75" thickBot="1" x14ac:dyDescent="0.3">
      <c r="B566" s="472" t="s">
        <v>75</v>
      </c>
      <c r="C566" s="473"/>
      <c r="D566" s="473"/>
      <c r="E566" s="474"/>
      <c r="F566" s="492"/>
      <c r="G566" s="493"/>
      <c r="H566" s="493"/>
      <c r="I566" s="494"/>
      <c r="J566" s="26" t="s">
        <v>104</v>
      </c>
      <c r="K566" s="110" t="s">
        <v>185</v>
      </c>
    </row>
    <row r="567" spans="1:22" s="26" customFormat="1" ht="15.75" thickBot="1" x14ac:dyDescent="0.3">
      <c r="B567" s="472" t="s">
        <v>76</v>
      </c>
      <c r="C567" s="473"/>
      <c r="D567" s="473"/>
      <c r="E567" s="474"/>
      <c r="F567" s="492"/>
      <c r="G567" s="493"/>
      <c r="H567" s="493"/>
      <c r="I567" s="494"/>
      <c r="J567" s="237" t="s">
        <v>104</v>
      </c>
      <c r="K567" s="110" t="s">
        <v>216</v>
      </c>
    </row>
    <row r="568" spans="1:22" s="26" customFormat="1" ht="15.75" thickBot="1" x14ac:dyDescent="0.3">
      <c r="B568" s="472" t="s">
        <v>172</v>
      </c>
      <c r="C568" s="473"/>
      <c r="D568" s="473"/>
      <c r="E568" s="474"/>
      <c r="F568" s="492"/>
      <c r="G568" s="493"/>
      <c r="H568" s="493"/>
      <c r="I568" s="494"/>
      <c r="J568" s="237" t="s">
        <v>104</v>
      </c>
      <c r="K568" s="110" t="s">
        <v>217</v>
      </c>
    </row>
    <row r="569" spans="1:22" s="26" customFormat="1" ht="15.75" thickBot="1" x14ac:dyDescent="0.3">
      <c r="B569" s="472" t="s">
        <v>173</v>
      </c>
      <c r="C569" s="473"/>
      <c r="D569" s="473"/>
      <c r="E569" s="474"/>
      <c r="F569" s="492"/>
      <c r="G569" s="493"/>
      <c r="H569" s="493"/>
      <c r="I569" s="494"/>
      <c r="J569" s="237" t="s">
        <v>104</v>
      </c>
      <c r="K569" s="110" t="s">
        <v>218</v>
      </c>
    </row>
    <row r="570" spans="1:22" s="26" customFormat="1" ht="30" customHeight="1" x14ac:dyDescent="0.25">
      <c r="B570" s="112"/>
      <c r="C570" s="112"/>
      <c r="D570" s="112"/>
      <c r="E570" s="228"/>
      <c r="F570" s="228"/>
      <c r="G570" s="238"/>
      <c r="H570" s="228"/>
      <c r="I570" s="228"/>
      <c r="J570" s="239"/>
      <c r="K570" s="110"/>
    </row>
    <row r="571" spans="1:22" s="26" customFormat="1" ht="15.75" thickBot="1" x14ac:dyDescent="0.3">
      <c r="B571" s="334" t="s">
        <v>171</v>
      </c>
      <c r="C571" s="334"/>
      <c r="D571" s="334"/>
      <c r="E571" s="334"/>
      <c r="F571" s="228"/>
      <c r="G571" s="228"/>
      <c r="H571" s="228"/>
      <c r="I571" s="228"/>
      <c r="J571" s="239"/>
      <c r="K571" s="404" t="s">
        <v>195</v>
      </c>
      <c r="L571" s="404"/>
      <c r="M571" s="404"/>
      <c r="N571" s="404"/>
      <c r="O571" s="404"/>
      <c r="P571" s="219"/>
      <c r="Q571" s="219"/>
      <c r="R571" s="219"/>
      <c r="S571" s="219"/>
      <c r="T571" s="219"/>
      <c r="U571" s="219"/>
      <c r="V571" s="219"/>
    </row>
    <row r="572" spans="1:22" s="26" customFormat="1" ht="29.1" customHeight="1" thickBot="1" x14ac:dyDescent="0.3">
      <c r="B572" s="465" t="s">
        <v>121</v>
      </c>
      <c r="C572" s="466"/>
      <c r="D572" s="466"/>
      <c r="E572" s="466"/>
      <c r="F572" s="466"/>
      <c r="G572" s="466"/>
      <c r="H572" s="466"/>
      <c r="I572" s="467"/>
      <c r="J572" s="239"/>
      <c r="K572" s="404"/>
      <c r="L572" s="404"/>
      <c r="M572" s="404"/>
      <c r="N572" s="404"/>
      <c r="O572" s="404"/>
      <c r="P572" s="219"/>
      <c r="Q572" s="219"/>
      <c r="R572" s="219"/>
      <c r="S572" s="219"/>
      <c r="T572" s="219"/>
      <c r="U572" s="219"/>
      <c r="V572" s="219"/>
    </row>
    <row r="573" spans="1:22" s="26" customFormat="1" ht="30" customHeight="1" thickBot="1" x14ac:dyDescent="0.3">
      <c r="B573" s="472" t="s">
        <v>122</v>
      </c>
      <c r="C573" s="473"/>
      <c r="D573" s="473"/>
      <c r="E573" s="474"/>
      <c r="F573" s="468"/>
      <c r="G573" s="469"/>
      <c r="H573" s="470"/>
      <c r="I573" s="471"/>
      <c r="J573" s="239"/>
      <c r="K573" s="408" t="s">
        <v>186</v>
      </c>
      <c r="L573" s="408"/>
      <c r="M573" s="408"/>
      <c r="N573" s="408"/>
      <c r="O573" s="408"/>
    </row>
    <row r="574" spans="1:22" s="26" customFormat="1" ht="23.1" customHeight="1" thickBot="1" x14ac:dyDescent="0.3">
      <c r="B574" s="472" t="str">
        <f>B561</f>
        <v>Pack Identification</v>
      </c>
      <c r="C574" s="473"/>
      <c r="D574" s="473"/>
      <c r="E574" s="474"/>
      <c r="F574" s="192" t="str">
        <f>IF(ISBLANK(F561),"",F561)</f>
        <v/>
      </c>
      <c r="G574" s="192" t="str">
        <f t="shared" ref="G574:I574" si="47">IF(ISBLANK(G561),"",G561)</f>
        <v/>
      </c>
      <c r="H574" s="192" t="str">
        <f t="shared" si="47"/>
        <v/>
      </c>
      <c r="I574" s="192" t="str">
        <f t="shared" si="47"/>
        <v/>
      </c>
      <c r="J574" s="239"/>
      <c r="K574" s="408"/>
      <c r="L574" s="408"/>
      <c r="M574" s="408"/>
      <c r="N574" s="408"/>
      <c r="O574" s="408"/>
    </row>
    <row r="575" spans="1:22" s="26" customFormat="1" ht="15.75" thickBot="1" x14ac:dyDescent="0.3">
      <c r="B575" s="512" t="s">
        <v>123</v>
      </c>
      <c r="C575" s="513"/>
      <c r="D575" s="513"/>
      <c r="E575" s="514"/>
      <c r="F575" s="145"/>
      <c r="G575" s="154"/>
      <c r="H575" s="154"/>
      <c r="I575" s="154"/>
      <c r="J575" s="239"/>
      <c r="K575" s="408" t="s">
        <v>187</v>
      </c>
      <c r="L575" s="408"/>
      <c r="M575" s="408"/>
      <c r="N575" s="408"/>
      <c r="O575" s="408"/>
    </row>
    <row r="576" spans="1:22" s="26" customFormat="1" ht="75.75" customHeight="1" x14ac:dyDescent="0.25">
      <c r="B576" s="223"/>
      <c r="C576" s="223"/>
      <c r="D576" s="223"/>
      <c r="E576" s="223"/>
      <c r="F576" s="228"/>
      <c r="G576" s="228"/>
      <c r="H576" s="228"/>
      <c r="I576" s="228"/>
      <c r="J576" s="239"/>
      <c r="K576" s="408"/>
      <c r="L576" s="408"/>
      <c r="M576" s="408"/>
      <c r="N576" s="408"/>
      <c r="O576" s="408"/>
    </row>
    <row r="577" spans="1:15" s="26" customFormat="1" x14ac:dyDescent="0.25">
      <c r="B577" s="511"/>
      <c r="C577" s="511"/>
      <c r="D577" s="511"/>
      <c r="E577" s="511"/>
      <c r="K577" s="408"/>
      <c r="L577" s="408"/>
      <c r="M577" s="408"/>
      <c r="N577" s="408"/>
      <c r="O577" s="408"/>
    </row>
    <row r="578" spans="1:15" s="26" customFormat="1" x14ac:dyDescent="0.25">
      <c r="B578" s="228"/>
      <c r="C578" s="228"/>
      <c r="D578" s="228"/>
      <c r="E578" s="228"/>
      <c r="O578" s="21"/>
    </row>
    <row r="579" spans="1:15" s="26" customFormat="1" x14ac:dyDescent="0.25">
      <c r="A579" s="155"/>
      <c r="B579" s="224" t="s">
        <v>124</v>
      </c>
      <c r="C579" s="217"/>
      <c r="D579" s="66"/>
      <c r="E579" s="66"/>
      <c r="F579" s="390"/>
      <c r="G579" s="390"/>
      <c r="H579" s="390"/>
      <c r="I579" s="390"/>
      <c r="O579" s="21"/>
    </row>
    <row r="580" spans="1:15" s="26" customFormat="1" x14ac:dyDescent="0.25">
      <c r="A580" s="14" t="s">
        <v>125</v>
      </c>
      <c r="B580" s="217"/>
      <c r="C580" s="217"/>
      <c r="D580" s="66"/>
      <c r="E580" s="66"/>
      <c r="F580" s="217"/>
      <c r="G580" s="217"/>
      <c r="H580" s="217"/>
      <c r="I580" s="217"/>
      <c r="O580" s="21"/>
    </row>
    <row r="581" spans="1:15" s="26" customFormat="1" ht="15.75" thickBot="1" x14ac:dyDescent="0.3">
      <c r="B581" s="66"/>
      <c r="C581" s="66"/>
      <c r="D581" s="66"/>
      <c r="E581" s="66"/>
      <c r="F581" s="390" t="s">
        <v>126</v>
      </c>
      <c r="G581" s="390"/>
      <c r="H581" s="390"/>
      <c r="I581" s="390"/>
      <c r="O581" s="21"/>
    </row>
    <row r="582" spans="1:15" s="26" customFormat="1" ht="15.75" thickBot="1" x14ac:dyDescent="0.3">
      <c r="B582" s="66"/>
      <c r="C582" s="66"/>
      <c r="D582" s="66"/>
      <c r="E582" s="66"/>
      <c r="F582" s="156" t="str">
        <f>IF(F561="","",F561)</f>
        <v/>
      </c>
      <c r="G582" s="156" t="str">
        <f>IF(G561="","",G561)</f>
        <v/>
      </c>
      <c r="H582" s="156" t="str">
        <f>IF(H561="","",H561)</f>
        <v/>
      </c>
      <c r="I582" s="156" t="str">
        <f>IF(I561="","",I561)</f>
        <v/>
      </c>
      <c r="O582" s="21"/>
    </row>
    <row r="583" spans="1:15" s="26" customFormat="1" x14ac:dyDescent="0.25">
      <c r="A583" s="91" t="s">
        <v>77</v>
      </c>
      <c r="B583" s="475" t="s">
        <v>82</v>
      </c>
      <c r="C583" s="476"/>
      <c r="D583" s="476"/>
      <c r="E583" s="240"/>
      <c r="F583" s="241" t="str">
        <f>IF(OR(F562="",F563="",F564=""),"",IF(F562="Price to Wholesaler",F563,IF(F562="Reimbursement Price",(F585/(1+E584)*1),"Error")))</f>
        <v/>
      </c>
      <c r="G583" s="241" t="str">
        <f>IF(OR(G562="",G563="",F564=""),"",IF(G562="Price to Wholesaler",G563,IF(G562="Reimbursement Price",(G585/(1+E584)*1),"Error")))</f>
        <v/>
      </c>
      <c r="H583" s="241" t="str">
        <f>IF(OR(H562="",H563="",F564=""),"",IF(H562="Price to Wholesaler",H563,IF(H562="Reimbursement Price",(H585/(1+E584)*1),"Error")))</f>
        <v/>
      </c>
      <c r="I583" s="241" t="str">
        <f>IF(OR(I562="",I563="",F564=""),"",IF(I562="Price to Wholesaler",I563,IF(I562="Reimbursement Price",(I585/(1+E584)*1),"Error")))</f>
        <v/>
      </c>
      <c r="O583" s="21"/>
    </row>
    <row r="584" spans="1:15" s="26" customFormat="1" x14ac:dyDescent="0.25">
      <c r="A584" s="92" t="s">
        <v>78</v>
      </c>
      <c r="B584" s="477" t="s">
        <v>83</v>
      </c>
      <c r="C584" s="478"/>
      <c r="D584" s="478"/>
      <c r="E584" s="93" t="str">
        <f>IF(OR(F564=""),"",IF(AND(F564="CDS",F565="Yes"),CYF,IF(AND(F564="CDS",F565="No"),CNF,IF(F564="HT",CHT,IF(F564="Hosp",CHO,"Error")))))</f>
        <v/>
      </c>
      <c r="F584" s="242" t="str">
        <f>IF(OR(F564="",F563="",F562=""),"",F583*E584)</f>
        <v/>
      </c>
      <c r="G584" s="242" t="str">
        <f>IF(OR(F564="",G563="",G562=""),"",G583*E584)</f>
        <v/>
      </c>
      <c r="H584" s="242" t="str">
        <f>IF(OR(F564="",H563="",H562=""),"",H583*E584)</f>
        <v/>
      </c>
      <c r="I584" s="242" t="str">
        <f>IF(OR(F564="",I563="",I562=""),"",I583*E584)</f>
        <v/>
      </c>
      <c r="O584" s="21"/>
    </row>
    <row r="585" spans="1:15" s="26" customFormat="1" x14ac:dyDescent="0.25">
      <c r="A585" s="92" t="s">
        <v>79</v>
      </c>
      <c r="B585" s="477" t="str">
        <f>IF(F564="Hosp","Hospital Price", "Reimbursement Price")</f>
        <v>Reimbursement Price</v>
      </c>
      <c r="C585" s="478"/>
      <c r="D585" s="478"/>
      <c r="E585" s="243" t="str">
        <f>IF(F562="Price to Wholesaler","A+B","")</f>
        <v/>
      </c>
      <c r="F585" s="242" t="str">
        <f>IF(F562="Reimbursement Price",F563,IF(ISBLANK(E584),"",IF(F562="Price to Wholesaler",(F583+F584),IF(F562="","","Error"))))</f>
        <v/>
      </c>
      <c r="G585" s="242" t="str">
        <f>IF(G562="Reimbursement Price",G563,IF(ISBLANK(E584),"",IF(G562="Price to Wholesaler",(G583+G584),IF(G562="","","Error"))))</f>
        <v/>
      </c>
      <c r="H585" s="242" t="str">
        <f>IF(H562="Reimbursement Price",H563,IF(ISBLANK(E584),"",IF(H562="Price to Wholesaler",(H583+H584),IF(H562="","","Error"))))</f>
        <v/>
      </c>
      <c r="I585" s="242" t="str">
        <f>IF(I562="Reimbursement Price",I563,IF(ISBLANK(E584),"",IF(I562="Price to Wholesaler",(I583+I584),IF(I562="","","Error"))))</f>
        <v/>
      </c>
      <c r="O585" s="21"/>
    </row>
    <row r="586" spans="1:15" s="26" customFormat="1" x14ac:dyDescent="0.25">
      <c r="A586" s="92" t="s">
        <v>80</v>
      </c>
      <c r="B586" s="477" t="s">
        <v>214</v>
      </c>
      <c r="C586" s="478"/>
      <c r="D586" s="478"/>
      <c r="E586" s="268" t="str">
        <f>IF(OR(F567="",AND(F567="Yes",F568=""),AND(F567="No",F569="")),"",IF(AND(F567="No",F569="Patented Exclusive or Off Patent Exclusive and subject to clause 10 of Framework Agreement"),MR,IF(AND(F567="No",F569="Off Patent Non-Exclusive or Generic"),"None",IF(AND(F567="Yes",F568="Biosimilar"),"None",IF(AND(F567="Yes",F568="Patented or Off Patent Exclusive"),MR,IF(AND(F567="Yes",F568="Off Patent Non-Exclusive 12.5% Rebate incorporated into Price to Wholesaler"),"None",IF(AND(F567="Yes",F568="Off Patent Non-Exclusive 12.5% Rebate"),MRB,"Error")))))))</f>
        <v/>
      </c>
      <c r="F586" s="242" t="str">
        <f>IF(OR(F567="",AND(F567="Yes",F568=""),AND(F567="No",F569=""),F562="",ISBLANK(F563)),"",IF(E586="None",0,(E586*F583)))</f>
        <v/>
      </c>
      <c r="G586" s="242" t="str">
        <f>IF(OR(F567="",AND(F567="Yes",F568=""),AND(F567="No",F569=""),G562="",ISBLANK(G563)),"",IF(E586="None",0,(E586*G583)))</f>
        <v/>
      </c>
      <c r="H586" s="242" t="str">
        <f>IF(OR(F567="",AND(F567="Yes",F568=""),AND(F567="No",F569=""),H562="",ISBLANK(H563)),"",IF(E586="None",0,(E586*H583)))</f>
        <v/>
      </c>
      <c r="I586" s="242" t="str">
        <f>IF(OR(F567="",AND(F567="Yes",F568=""),AND(F567="No",F569=""),I562="",ISBLANK(I563)),"",IF(E586="None",0,(E586*I583)))</f>
        <v/>
      </c>
      <c r="O586" s="21"/>
    </row>
    <row r="587" spans="1:15" s="26" customFormat="1" ht="15.75" thickBot="1" x14ac:dyDescent="0.3">
      <c r="A587" s="159" t="s">
        <v>81</v>
      </c>
      <c r="B587" s="479" t="s">
        <v>94</v>
      </c>
      <c r="C587" s="480"/>
      <c r="D587" s="480"/>
      <c r="E587" s="160" t="str">
        <f>IF(F566="","",IF(F566="Yes",0,VT))</f>
        <v/>
      </c>
      <c r="F587" s="244" t="str">
        <f>IF(OR($B566="",F563="",ISBLANK(F563)),"",($E587*F585))</f>
        <v/>
      </c>
      <c r="G587" s="244" t="str">
        <f t="shared" ref="G587:I587" si="48">IF(OR($B566="",G563="",ISBLANK(G563)),"",($E587*G585))</f>
        <v/>
      </c>
      <c r="H587" s="244" t="str">
        <f t="shared" si="48"/>
        <v/>
      </c>
      <c r="I587" s="244" t="str">
        <f t="shared" si="48"/>
        <v/>
      </c>
      <c r="O587" s="21"/>
    </row>
    <row r="588" spans="1:15" s="26" customFormat="1" ht="15.75" thickBot="1" x14ac:dyDescent="0.3">
      <c r="A588" s="222" t="s">
        <v>127</v>
      </c>
      <c r="B588" s="481" t="s">
        <v>128</v>
      </c>
      <c r="C588" s="481"/>
      <c r="D588" s="481"/>
      <c r="E588" s="222"/>
      <c r="F588" s="245" t="str">
        <f>IF(OR(F562="",$F564="",$F566="",$F567=""),"",SUM(F585:F587))</f>
        <v/>
      </c>
      <c r="G588" s="245" t="str">
        <f t="shared" ref="G588" si="49">IF(OR(G562="",$F564="",$F566="",$F567=""),"",SUM(G585:G587))</f>
        <v/>
      </c>
      <c r="H588" s="245" t="str">
        <f t="shared" ref="H588" si="50">IF(OR(H562="",$F564="",$F566="",$F567=""),"",SUM(H585:H587))</f>
        <v/>
      </c>
      <c r="I588" s="245" t="str">
        <f t="shared" ref="I588" si="51">IF(OR(I562="",$F564="",$F566="",$F567=""),"",SUM(I585:I587))</f>
        <v/>
      </c>
      <c r="O588" s="21"/>
    </row>
    <row r="589" spans="1:15" s="26" customFormat="1" ht="15.75" thickBot="1" x14ac:dyDescent="0.3">
      <c r="A589" s="222" t="s">
        <v>129</v>
      </c>
      <c r="B589" s="482" t="s">
        <v>130</v>
      </c>
      <c r="C589" s="482"/>
      <c r="D589" s="482"/>
      <c r="E589" s="245"/>
      <c r="F589" s="245" t="str">
        <f>IF(OR(F562="",$F564="",$F566="",$F567=""),"",SUM(F585:F586))</f>
        <v/>
      </c>
      <c r="G589" s="245" t="str">
        <f t="shared" ref="G589:I589" si="52">IF(OR(G562="",$F564="",$F566="",$F567=""),"",SUM(G585:G586))</f>
        <v/>
      </c>
      <c r="H589" s="245" t="str">
        <f t="shared" si="52"/>
        <v/>
      </c>
      <c r="I589" s="245" t="str">
        <f t="shared" si="52"/>
        <v/>
      </c>
      <c r="O589" s="21"/>
    </row>
    <row r="590" spans="1:15" s="26" customFormat="1" x14ac:dyDescent="0.25">
      <c r="B590" s="66"/>
      <c r="C590" s="66"/>
      <c r="D590" s="66"/>
      <c r="E590" s="66"/>
      <c r="K590" s="26" t="s">
        <v>131</v>
      </c>
      <c r="O590" s="21"/>
    </row>
    <row r="591" spans="1:15" s="26" customFormat="1" x14ac:dyDescent="0.25">
      <c r="A591" s="155" t="s">
        <v>132</v>
      </c>
      <c r="B591" s="66"/>
      <c r="C591" s="66"/>
      <c r="D591" s="66"/>
      <c r="E591" s="66"/>
      <c r="F591" s="246"/>
      <c r="G591" s="246"/>
      <c r="H591" s="246"/>
      <c r="I591" s="246"/>
      <c r="O591" s="21"/>
    </row>
    <row r="592" spans="1:15" s="26" customFormat="1" x14ac:dyDescent="0.25">
      <c r="A592" s="125"/>
      <c r="B592" s="125" t="s">
        <v>133</v>
      </c>
      <c r="C592" s="125"/>
      <c r="D592" s="125"/>
      <c r="E592" s="125"/>
      <c r="F592" s="125"/>
      <c r="G592" s="125"/>
      <c r="H592" s="125"/>
      <c r="O592" s="21"/>
    </row>
    <row r="593" spans="1:20" s="26" customFormat="1" x14ac:dyDescent="0.25">
      <c r="B593" s="21" t="s">
        <v>134</v>
      </c>
      <c r="C593" s="229"/>
      <c r="D593" s="229"/>
      <c r="E593" s="66"/>
      <c r="O593" s="21"/>
    </row>
    <row r="594" spans="1:20" s="26" customFormat="1" ht="15.75" thickBot="1" x14ac:dyDescent="0.3">
      <c r="B594" s="165"/>
      <c r="C594" s="229"/>
      <c r="D594" s="229"/>
      <c r="E594" s="66"/>
      <c r="O594" s="21"/>
    </row>
    <row r="595" spans="1:20" s="26" customFormat="1" ht="15.75" thickBot="1" x14ac:dyDescent="0.3">
      <c r="B595" s="230"/>
      <c r="C595" s="66"/>
      <c r="D595" s="66"/>
      <c r="E595" s="66"/>
      <c r="G595" s="13" t="s">
        <v>135</v>
      </c>
      <c r="H595" s="13" t="s">
        <v>136</v>
      </c>
      <c r="O595" s="21"/>
    </row>
    <row r="596" spans="1:20" s="26" customFormat="1" x14ac:dyDescent="0.25">
      <c r="B596" s="483" t="s">
        <v>137</v>
      </c>
      <c r="C596" s="484"/>
      <c r="D596" s="484"/>
      <c r="E596" s="484"/>
      <c r="F596" s="485"/>
      <c r="G596" s="247" t="str">
        <f>IF(F564="","",IF(F564="CDS","per dispensing",IF(F564="HT","per month",IF(F564="Hosp","No Fee", ERROR))))</f>
        <v/>
      </c>
      <c r="H596" s="248" t="str">
        <f>IF(F564="","",IF(F564="CDS",DF,IF(F564="HT",PC,IF(F564="Hosp","No Fee",ERROR))))</f>
        <v/>
      </c>
      <c r="I596" s="26" t="s">
        <v>138</v>
      </c>
      <c r="O596" s="21"/>
    </row>
    <row r="597" spans="1:20" s="26" customFormat="1" ht="15.75" thickBot="1" x14ac:dyDescent="0.3">
      <c r="B597" s="486" t="s">
        <v>92</v>
      </c>
      <c r="C597" s="487"/>
      <c r="D597" s="487"/>
      <c r="E597" s="487"/>
      <c r="F597" s="488"/>
      <c r="G597" s="249" t="str">
        <f>IF(OR(F564="",F566=""),"",IF(F564="Hosp","No Fee",IF(F564="HT","No VAT",IF(AND(F564="CDS",F566="No"),VT,"No VAT"))))</f>
        <v/>
      </c>
      <c r="H597" s="250" t="str">
        <f>IF(OR(F566="",F564="Hosp"),"",IF(OR(F566="Yes",F564="HT"),0,H596*G597))</f>
        <v/>
      </c>
      <c r="O597" s="21"/>
    </row>
    <row r="598" spans="1:20" s="26" customFormat="1" x14ac:dyDescent="0.25">
      <c r="B598" s="230"/>
      <c r="C598" s="66"/>
      <c r="D598" s="66"/>
      <c r="E598" s="66"/>
      <c r="O598" s="21"/>
    </row>
    <row r="599" spans="1:20" s="26" customFormat="1" x14ac:dyDescent="0.25">
      <c r="B599" s="230"/>
      <c r="C599" s="66"/>
      <c r="D599" s="66"/>
      <c r="E599" s="66"/>
      <c r="O599" s="21"/>
    </row>
    <row r="600" spans="1:20" s="26" customFormat="1" ht="33.950000000000003" customHeight="1" thickBot="1" x14ac:dyDescent="0.3">
      <c r="A600" s="165" t="s">
        <v>193</v>
      </c>
      <c r="B600" s="230"/>
      <c r="C600" s="66"/>
      <c r="D600" s="66"/>
      <c r="E600" s="66"/>
      <c r="K600" s="408" t="s">
        <v>197</v>
      </c>
      <c r="L600" s="408"/>
      <c r="M600" s="408"/>
      <c r="N600" s="408"/>
      <c r="O600" s="408"/>
      <c r="P600" s="195"/>
      <c r="Q600" s="195"/>
      <c r="R600" s="195"/>
      <c r="S600" s="195"/>
      <c r="T600" s="195"/>
    </row>
    <row r="601" spans="1:20" s="26" customFormat="1" ht="17.100000000000001" customHeight="1" thickBot="1" x14ac:dyDescent="0.3">
      <c r="A601" s="14" t="s">
        <v>194</v>
      </c>
      <c r="B601" s="230"/>
      <c r="C601" s="66"/>
      <c r="D601" s="66"/>
      <c r="E601" s="66"/>
      <c r="G601" s="13" t="s">
        <v>101</v>
      </c>
      <c r="H601" s="13" t="s">
        <v>136</v>
      </c>
      <c r="K601" s="408" t="str">
        <f>IF(F564="HT","For High tech, if a treatment cycle =28 days the corresponding pharmacy fee is =62.03*12/365.25*28.  The pharmacy fee remains the same regardless of the number of products dispensed that month.",IF(F564="CDS","For CDS, if 2 packets of the same pack presentation are required per treatment cycle, one dispensing fee applies (€5.48). If multiple pack presentations are required, multiple dispensing fees apply",""))</f>
        <v/>
      </c>
      <c r="L601" s="408"/>
      <c r="M601" s="408"/>
      <c r="N601" s="408"/>
      <c r="O601" s="408"/>
      <c r="P601" s="195"/>
      <c r="Q601" s="195"/>
      <c r="R601" s="195"/>
      <c r="S601" s="195"/>
      <c r="T601" s="195"/>
    </row>
    <row r="602" spans="1:20" s="26" customFormat="1" ht="16.5" customHeight="1" x14ac:dyDescent="0.25">
      <c r="A602" s="170" t="s">
        <v>139</v>
      </c>
      <c r="B602" s="504" t="s">
        <v>140</v>
      </c>
      <c r="C602" s="504"/>
      <c r="D602" s="504"/>
      <c r="E602" s="504"/>
      <c r="F602" s="504"/>
      <c r="G602" s="251"/>
      <c r="H602" s="252"/>
      <c r="K602" s="408"/>
      <c r="L602" s="408"/>
      <c r="M602" s="408"/>
      <c r="N602" s="408"/>
      <c r="O602" s="408"/>
      <c r="P602" s="195"/>
      <c r="Q602" s="195"/>
      <c r="R602" s="195"/>
      <c r="S602" s="195"/>
      <c r="T602" s="195"/>
    </row>
    <row r="603" spans="1:20" s="26" customFormat="1" x14ac:dyDescent="0.25">
      <c r="A603" s="173" t="s">
        <v>141</v>
      </c>
      <c r="B603" s="505" t="s">
        <v>142</v>
      </c>
      <c r="C603" s="505"/>
      <c r="D603" s="505"/>
      <c r="E603" s="505"/>
      <c r="F603" s="505"/>
      <c r="G603" s="253"/>
      <c r="H603" s="254"/>
      <c r="K603" s="14" t="s">
        <v>188</v>
      </c>
      <c r="O603" s="21"/>
    </row>
    <row r="604" spans="1:20" s="26" customFormat="1" x14ac:dyDescent="0.25">
      <c r="A604" s="173" t="s">
        <v>143</v>
      </c>
      <c r="B604" s="505" t="s">
        <v>144</v>
      </c>
      <c r="C604" s="505"/>
      <c r="D604" s="505"/>
      <c r="E604" s="505"/>
      <c r="F604" s="505"/>
      <c r="G604" s="253"/>
      <c r="H604" s="254"/>
      <c r="K604" s="14" t="s">
        <v>189</v>
      </c>
      <c r="O604" s="21"/>
    </row>
    <row r="605" spans="1:20" s="26" customFormat="1" x14ac:dyDescent="0.25">
      <c r="A605" s="173" t="s">
        <v>145</v>
      </c>
      <c r="B605" s="505" t="s">
        <v>146</v>
      </c>
      <c r="C605" s="505"/>
      <c r="D605" s="505"/>
      <c r="E605" s="505"/>
      <c r="F605" s="505"/>
      <c r="G605" s="255"/>
      <c r="H605" s="256" t="str">
        <f>IF(ISBLANK(H602),"",SUM(H602:H604))</f>
        <v/>
      </c>
      <c r="O605" s="21"/>
    </row>
    <row r="606" spans="1:20" s="26" customFormat="1" ht="15.75" thickBot="1" x14ac:dyDescent="0.3">
      <c r="A606" s="178" t="s">
        <v>147</v>
      </c>
      <c r="B606" s="515" t="s">
        <v>196</v>
      </c>
      <c r="C606" s="515"/>
      <c r="D606" s="515"/>
      <c r="E606" s="515"/>
      <c r="F606" s="515"/>
      <c r="G606" s="257"/>
      <c r="H606" s="250" t="str">
        <f>IF(ISBLANK(H602),"",SUM(H602:H603))</f>
        <v/>
      </c>
      <c r="O606" s="21"/>
    </row>
    <row r="607" spans="1:20" s="26" customFormat="1" x14ac:dyDescent="0.25">
      <c r="B607" s="66"/>
      <c r="C607" s="66"/>
      <c r="D607" s="66"/>
      <c r="E607" s="66"/>
      <c r="O607" s="21"/>
    </row>
    <row r="608" spans="1:20" s="26" customFormat="1" x14ac:dyDescent="0.25">
      <c r="B608" s="66"/>
      <c r="C608" s="66"/>
      <c r="D608" s="66"/>
      <c r="E608" s="66"/>
      <c r="O608" s="21"/>
    </row>
    <row r="609" spans="1:15" s="26" customFormat="1" x14ac:dyDescent="0.25">
      <c r="A609" s="155" t="s">
        <v>148</v>
      </c>
      <c r="B609" s="66"/>
      <c r="C609" s="66"/>
      <c r="D609" s="66"/>
      <c r="E609" s="66"/>
      <c r="O609" s="21"/>
    </row>
    <row r="610" spans="1:15" s="26" customFormat="1" ht="15.75" thickBot="1" x14ac:dyDescent="0.3">
      <c r="B610" s="66"/>
      <c r="C610" s="66"/>
      <c r="D610" s="66"/>
      <c r="E610" s="66"/>
      <c r="O610" s="21"/>
    </row>
    <row r="611" spans="1:15" s="26" customFormat="1" ht="29.1" customHeight="1" x14ac:dyDescent="0.25">
      <c r="A611" s="65"/>
      <c r="B611" s="228"/>
      <c r="C611" s="228"/>
      <c r="D611" s="228"/>
      <c r="E611" s="228"/>
      <c r="F611" s="506" t="s">
        <v>149</v>
      </c>
      <c r="G611" s="180" t="s">
        <v>150</v>
      </c>
      <c r="H611" s="508" t="s">
        <v>151</v>
      </c>
      <c r="I611" s="180" t="s">
        <v>152</v>
      </c>
      <c r="J611" s="66"/>
      <c r="K611" s="408" t="s">
        <v>269</v>
      </c>
      <c r="L611" s="408"/>
      <c r="M611" s="408"/>
      <c r="N611" s="408"/>
      <c r="O611" s="408"/>
    </row>
    <row r="612" spans="1:15" s="26" customFormat="1" x14ac:dyDescent="0.25">
      <c r="A612" s="65"/>
      <c r="B612" s="228"/>
      <c r="C612" s="228"/>
      <c r="D612" s="228"/>
      <c r="E612" s="228"/>
      <c r="F612" s="507"/>
      <c r="G612" s="253"/>
      <c r="H612" s="509"/>
      <c r="I612" s="182"/>
      <c r="J612" s="66"/>
      <c r="K612" s="408"/>
      <c r="L612" s="408"/>
      <c r="M612" s="408"/>
      <c r="N612" s="408"/>
      <c r="O612" s="408"/>
    </row>
    <row r="613" spans="1:15" s="26" customFormat="1" ht="15.75" thickBot="1" x14ac:dyDescent="0.3">
      <c r="A613" s="65"/>
      <c r="B613" s="228"/>
      <c r="C613" s="228"/>
      <c r="D613" s="228"/>
      <c r="E613" s="228"/>
      <c r="F613" s="507"/>
      <c r="G613" s="183" t="s">
        <v>153</v>
      </c>
      <c r="H613" s="510"/>
      <c r="I613" s="184"/>
      <c r="J613" s="66"/>
      <c r="K613" s="408"/>
      <c r="L613" s="408"/>
      <c r="M613" s="408"/>
      <c r="N613" s="408"/>
      <c r="O613" s="408"/>
    </row>
    <row r="614" spans="1:15" s="26" customFormat="1" x14ac:dyDescent="0.25">
      <c r="A614" s="247" t="s">
        <v>77</v>
      </c>
      <c r="B614" s="463" t="str">
        <f>B583</f>
        <v>Price to Wholesaler</v>
      </c>
      <c r="C614" s="463"/>
      <c r="D614" s="463"/>
      <c r="E614" s="463"/>
      <c r="F614" s="256">
        <f>SUMPRODUCT(F583:I583,F575:I575)</f>
        <v>0</v>
      </c>
      <c r="G614" s="256">
        <f>F614*G612</f>
        <v>0</v>
      </c>
      <c r="H614" s="256" t="str">
        <f>IF(H573="Days",F614/F573*365.25,IF(H573="Months",F614/F573*12,""))</f>
        <v/>
      </c>
      <c r="I614" s="256" t="str">
        <f>IF(AND(H573="Days",I613="Days"),F614/F573*I612,IF(AND(H573="Months",I613="Months"),F614/F573*I612,IF(AND(H573="Days",I613="Months"),F614/F573*30.4375*I612,IF(AND(H573="Months",I613="Days"),F614/F573/30.4375*I612,""))))</f>
        <v/>
      </c>
      <c r="O614" s="21"/>
    </row>
    <row r="615" spans="1:15" s="26" customFormat="1" x14ac:dyDescent="0.25">
      <c r="A615" s="255" t="s">
        <v>78</v>
      </c>
      <c r="B615" s="464" t="str">
        <f>B584</f>
        <v>Wholesale Mark-up</v>
      </c>
      <c r="C615" s="464"/>
      <c r="D615" s="464"/>
      <c r="E615" s="464"/>
      <c r="F615" s="256">
        <f>SUMPRODUCT(F584:I584,F575:I575)</f>
        <v>0</v>
      </c>
      <c r="G615" s="256">
        <f>F615*G612</f>
        <v>0</v>
      </c>
      <c r="H615" s="256" t="str">
        <f>IF(H573="Days",F615/F573*365.25,IF(H573="Months",F615/F573*12,""))</f>
        <v/>
      </c>
      <c r="I615" s="256" t="str">
        <f>IF(AND(H573="Days",I613="Days"),F615/F573*I612,IF(AND(H573="Months",I613="Months"),F615/F573*I612,IF(AND(H573="Days",I613="Months"),F615/F573*30.4375*I612,IF(AND(H573="Months",I613="Days"),F615/F573/30.4375*I612,""))))</f>
        <v/>
      </c>
      <c r="O615" s="21"/>
    </row>
    <row r="616" spans="1:15" s="26" customFormat="1" x14ac:dyDescent="0.25">
      <c r="A616" s="255" t="s">
        <v>79</v>
      </c>
      <c r="B616" s="231" t="str">
        <f>B585</f>
        <v>Reimbursement Price</v>
      </c>
      <c r="C616" s="232"/>
      <c r="D616" s="233"/>
      <c r="E616" s="258"/>
      <c r="F616" s="256">
        <f>SUMPRODUCT(F585:I585,F575:I575)</f>
        <v>0</v>
      </c>
      <c r="G616" s="256">
        <f>F616*G612</f>
        <v>0</v>
      </c>
      <c r="H616" s="256" t="str">
        <f>IF(H573="Days",F616/F573*365.25,IF(H573="Months",F616/F573*12,""))</f>
        <v/>
      </c>
      <c r="I616" s="256" t="str">
        <f>IF(AND(H573="Days",I613="Days"),F616/F573*I612,IF(AND(H573="Months",I613="Months"),F616/F573*I612,IF(AND(H573="Days",I613="Months"),F616/F573*30.4375*I612,IF(AND(H573="Months",I613="Days"),F616/F573/30.4375*I612,""))))</f>
        <v/>
      </c>
      <c r="O616" s="21"/>
    </row>
    <row r="617" spans="1:15" s="26" customFormat="1" x14ac:dyDescent="0.25">
      <c r="A617" s="255" t="s">
        <v>80</v>
      </c>
      <c r="B617" s="495" t="str">
        <f>B586</f>
        <v>Framework Agreement Rebate</v>
      </c>
      <c r="C617" s="496"/>
      <c r="D617" s="496"/>
      <c r="E617" s="497"/>
      <c r="F617" s="256">
        <f>SUMPRODUCT(F586:I586,F575:I575)</f>
        <v>0</v>
      </c>
      <c r="G617" s="256">
        <f>F617*G612</f>
        <v>0</v>
      </c>
      <c r="H617" s="256" t="str">
        <f>IF(H573="Days",F617/F573*365.25,IF(H573="Months",F617/F573*12,""))</f>
        <v/>
      </c>
      <c r="I617" s="256" t="str">
        <f>IF(AND(H573="Days",I613="Days"),F617/F573*I612,IF(AND(H573="Months",I613="Months"),F617/F573*I612,IF(AND(H573="Days",I613="Months"),F617/F573*30.4375*I612,IF(AND(H573="Months",I613="Days"),F617/F573/30.4375*I612,""))))</f>
        <v/>
      </c>
      <c r="O617" s="21"/>
    </row>
    <row r="618" spans="1:15" s="26" customFormat="1" x14ac:dyDescent="0.25">
      <c r="A618" s="255" t="s">
        <v>81</v>
      </c>
      <c r="B618" s="495" t="str">
        <f>B587</f>
        <v xml:space="preserve">VAT on Drug Cost </v>
      </c>
      <c r="C618" s="496"/>
      <c r="D618" s="496"/>
      <c r="E618" s="497"/>
      <c r="F618" s="256">
        <f>SUMPRODUCT(F587:I587,F575:I575)</f>
        <v>0</v>
      </c>
      <c r="G618" s="256">
        <f>F618*G612</f>
        <v>0</v>
      </c>
      <c r="H618" s="256" t="str">
        <f>IF(H573="Days",F618/F573*365.25,IF(H573="Months",F618/F573*12,""))</f>
        <v/>
      </c>
      <c r="I618" s="256" t="str">
        <f>IF(AND(H573="Days",I613="Days"),F618/F573*I612,IF(AND(H573="Months",I613="Months"),F618/F573*I612,IF(AND(H573="Days",I613="Months"),F618/F573*30.4375*I612,IF(AND(H573="Months",I613="Days"),F618/F573/30.4375*I612,""))))</f>
        <v/>
      </c>
      <c r="O618" s="21"/>
    </row>
    <row r="619" spans="1:15" s="26" customFormat="1" x14ac:dyDescent="0.25">
      <c r="A619" s="255" t="s">
        <v>154</v>
      </c>
      <c r="B619" s="495" t="s">
        <v>155</v>
      </c>
      <c r="C619" s="496"/>
      <c r="D619" s="496"/>
      <c r="E619" s="497"/>
      <c r="F619" s="256" t="str">
        <f>IF(H605="","",H605)</f>
        <v/>
      </c>
      <c r="G619" s="256" t="str">
        <f>IF(F619="","",F619*G612)</f>
        <v/>
      </c>
      <c r="H619" s="256" t="str">
        <f>IF(F619="","",IF(H573="Days",F619/F573*365.25,IF(H573="Months",F619/F573*12,"")))</f>
        <v/>
      </c>
      <c r="I619" s="256" t="str">
        <f>IF(F619="","",IF(AND(H573="Days",I613="Days"),F619/F573*I612,IF(AND(H573="Months",I613="Months"),F619/F573*I612,IF(AND(H573="Days",I613="Months"),F619/F573*30.4375*I612,IF(AND(H573="Months",I613="Days"),F619/F573/30.4375*I612,"")))))</f>
        <v/>
      </c>
      <c r="O619" s="21"/>
    </row>
    <row r="620" spans="1:15" s="26" customFormat="1" x14ac:dyDescent="0.25">
      <c r="A620" s="255" t="s">
        <v>156</v>
      </c>
      <c r="B620" s="495" t="s">
        <v>157</v>
      </c>
      <c r="C620" s="496"/>
      <c r="D620" s="496"/>
      <c r="E620" s="497"/>
      <c r="F620" s="256" t="str">
        <f>IF(H606="","",H606)</f>
        <v/>
      </c>
      <c r="G620" s="256" t="str">
        <f>IF(F620="","",F620*G612)</f>
        <v/>
      </c>
      <c r="H620" s="256" t="str">
        <f>IF(F620="","",IF(H573="Days",F620/F573*365.25,IF(H573="Months",F620/F573*12,"")))</f>
        <v/>
      </c>
      <c r="I620" s="256" t="str">
        <f>IF(F620="","",IF(AND(H573="Days",I613="Days"),F620/F573*I612,IF(AND(H573="Months",I613="Months"),F620/F573*I612,IF(AND(H573="Days",I613="Months"),F620/F573*30.4375*I612,IF(AND(H573="Months",I613="Days"),F620/F573/30.4375*I612,"")))))</f>
        <v/>
      </c>
      <c r="O620" s="21"/>
    </row>
    <row r="621" spans="1:15" s="155" customFormat="1" x14ac:dyDescent="0.25">
      <c r="A621" s="186" t="s">
        <v>158</v>
      </c>
      <c r="B621" s="498" t="s">
        <v>159</v>
      </c>
      <c r="C621" s="499"/>
      <c r="D621" s="499"/>
      <c r="E621" s="500"/>
      <c r="F621" s="187">
        <f>SUM(F616:F619)</f>
        <v>0</v>
      </c>
      <c r="G621" s="187">
        <f t="shared" ref="G621:I621" si="53">SUM(G616:G619)</f>
        <v>0</v>
      </c>
      <c r="H621" s="187">
        <f t="shared" si="53"/>
        <v>0</v>
      </c>
      <c r="I621" s="187">
        <f t="shared" si="53"/>
        <v>0</v>
      </c>
      <c r="K621" s="98" t="s">
        <v>191</v>
      </c>
      <c r="O621" s="189"/>
    </row>
    <row r="622" spans="1:15" s="26" customFormat="1" ht="15.75" thickBot="1" x14ac:dyDescent="0.3">
      <c r="A622" s="257" t="s">
        <v>160</v>
      </c>
      <c r="B622" s="501" t="s">
        <v>161</v>
      </c>
      <c r="C622" s="502"/>
      <c r="D622" s="502"/>
      <c r="E622" s="503"/>
      <c r="F622" s="250">
        <f>IF(F620="",SUM(F616+F617),F616+F617+F620)</f>
        <v>0</v>
      </c>
      <c r="G622" s="250">
        <f t="shared" ref="G622" si="54">IF(G620="",SUM(G616+G617),G616+G617+G620)</f>
        <v>0</v>
      </c>
      <c r="H622" s="250" t="e">
        <f>IF(H620="",SUM(H616+H617),H616+H617+H620)</f>
        <v>#VALUE!</v>
      </c>
      <c r="I622" s="250" t="e">
        <f t="shared" ref="I622" si="55">IF(I620="",SUM(I616+I617),I616+I617+I620)</f>
        <v>#VALUE!</v>
      </c>
      <c r="K622" s="14" t="s">
        <v>192</v>
      </c>
      <c r="O622" s="21"/>
    </row>
    <row r="623" spans="1:15" s="26" customFormat="1" x14ac:dyDescent="0.25">
      <c r="B623" s="229"/>
      <c r="C623" s="66"/>
      <c r="D623" s="66"/>
      <c r="E623" s="66"/>
      <c r="O623" s="21"/>
    </row>
    <row r="624" spans="1:15" s="26" customFormat="1" x14ac:dyDescent="0.25"/>
    <row r="625" spans="2:19" s="26" customFormat="1" x14ac:dyDescent="0.25">
      <c r="B625" s="224" t="s">
        <v>101</v>
      </c>
      <c r="C625" s="224"/>
      <c r="D625" s="224"/>
      <c r="E625" s="224"/>
    </row>
    <row r="626" spans="2:19" s="26" customFormat="1" ht="15.75" customHeight="1" x14ac:dyDescent="0.25"/>
    <row r="627" spans="2:19" s="26" customFormat="1" x14ac:dyDescent="0.25">
      <c r="B627" s="234"/>
      <c r="C627" s="234"/>
      <c r="D627" s="234"/>
      <c r="E627" s="234"/>
      <c r="F627" s="234"/>
      <c r="G627" s="234"/>
      <c r="H627" s="234"/>
      <c r="I627" s="234"/>
      <c r="J627" s="234"/>
      <c r="K627" s="234"/>
      <c r="L627" s="234"/>
      <c r="M627" s="234"/>
      <c r="N627" s="234"/>
      <c r="O627" s="234"/>
      <c r="P627" s="234"/>
      <c r="Q627" s="234"/>
      <c r="R627" s="234"/>
      <c r="S627" s="234"/>
    </row>
    <row r="628" spans="2:19" s="26" customFormat="1" x14ac:dyDescent="0.25">
      <c r="B628" s="234"/>
      <c r="C628" s="234"/>
      <c r="D628" s="234"/>
      <c r="E628" s="234"/>
      <c r="F628" s="234"/>
      <c r="G628" s="234"/>
      <c r="H628" s="234"/>
      <c r="I628" s="234"/>
      <c r="J628" s="234"/>
      <c r="K628" s="234"/>
      <c r="L628" s="234"/>
      <c r="M628" s="234"/>
      <c r="N628" s="234"/>
      <c r="O628" s="234"/>
      <c r="P628" s="234"/>
      <c r="Q628" s="234"/>
      <c r="R628" s="234"/>
      <c r="S628" s="234"/>
    </row>
    <row r="629" spans="2:19" s="26" customFormat="1" x14ac:dyDescent="0.25">
      <c r="B629" s="234"/>
      <c r="C629" s="234"/>
      <c r="D629" s="234"/>
      <c r="E629" s="234"/>
      <c r="F629" s="234"/>
      <c r="G629" s="234"/>
      <c r="H629" s="234"/>
      <c r="I629" s="234"/>
      <c r="J629" s="234"/>
      <c r="K629" s="234"/>
      <c r="L629" s="234"/>
      <c r="M629" s="234"/>
      <c r="N629" s="234"/>
      <c r="O629" s="234"/>
      <c r="P629" s="234"/>
      <c r="Q629" s="234"/>
      <c r="R629" s="234"/>
      <c r="S629" s="234"/>
    </row>
    <row r="630" spans="2:19" s="26" customFormat="1" x14ac:dyDescent="0.25">
      <c r="B630" s="234"/>
      <c r="C630" s="234"/>
      <c r="D630" s="234"/>
      <c r="E630" s="234"/>
      <c r="F630" s="234"/>
      <c r="G630" s="234"/>
      <c r="H630" s="234"/>
      <c r="I630" s="234"/>
      <c r="J630" s="234"/>
      <c r="K630" s="234"/>
      <c r="L630" s="234"/>
      <c r="M630" s="234"/>
      <c r="N630" s="234"/>
      <c r="O630" s="234"/>
      <c r="P630" s="234"/>
      <c r="Q630" s="234"/>
      <c r="R630" s="234"/>
      <c r="S630" s="234"/>
    </row>
    <row r="631" spans="2:19" s="26" customFormat="1" x14ac:dyDescent="0.25">
      <c r="B631" s="234"/>
      <c r="C631" s="234"/>
      <c r="D631" s="234"/>
      <c r="E631" s="234"/>
      <c r="F631" s="234"/>
      <c r="G631" s="234"/>
      <c r="H631" s="234"/>
      <c r="I631" s="234"/>
      <c r="J631" s="234"/>
      <c r="K631" s="234"/>
      <c r="L631" s="234"/>
      <c r="M631" s="234"/>
      <c r="N631" s="234"/>
      <c r="O631" s="234"/>
      <c r="P631" s="234"/>
      <c r="Q631" s="234"/>
      <c r="R631" s="234"/>
      <c r="S631" s="234"/>
    </row>
    <row r="632" spans="2:19" s="26" customFormat="1" x14ac:dyDescent="0.25">
      <c r="B632" s="234"/>
      <c r="C632" s="234"/>
      <c r="D632" s="234"/>
      <c r="E632" s="234"/>
      <c r="F632" s="234"/>
      <c r="G632" s="234"/>
      <c r="H632" s="234"/>
      <c r="I632" s="234"/>
      <c r="J632" s="234"/>
      <c r="K632" s="234"/>
      <c r="L632" s="234"/>
      <c r="M632" s="234"/>
      <c r="N632" s="234"/>
      <c r="O632" s="234"/>
      <c r="P632" s="234"/>
      <c r="Q632" s="234"/>
      <c r="R632" s="234"/>
      <c r="S632" s="234"/>
    </row>
    <row r="633" spans="2:19" s="26" customFormat="1" x14ac:dyDescent="0.25">
      <c r="B633" s="234"/>
      <c r="C633" s="234"/>
      <c r="D633" s="234"/>
      <c r="E633" s="234"/>
      <c r="F633" s="234"/>
      <c r="G633" s="234"/>
      <c r="H633" s="234"/>
      <c r="I633" s="234"/>
      <c r="J633" s="234"/>
      <c r="K633" s="234"/>
      <c r="L633" s="234"/>
      <c r="M633" s="234"/>
      <c r="N633" s="234"/>
      <c r="O633" s="234"/>
      <c r="P633" s="234"/>
      <c r="Q633" s="234"/>
      <c r="R633" s="234"/>
      <c r="S633" s="234"/>
    </row>
    <row r="634" spans="2:19" s="26" customFormat="1" x14ac:dyDescent="0.25">
      <c r="B634" s="234"/>
      <c r="C634" s="234"/>
      <c r="D634" s="234"/>
      <c r="E634" s="234"/>
      <c r="F634" s="234"/>
      <c r="G634" s="234"/>
      <c r="H634" s="234"/>
      <c r="I634" s="234"/>
      <c r="J634" s="234"/>
      <c r="K634" s="234"/>
      <c r="L634" s="234"/>
      <c r="M634" s="234"/>
      <c r="N634" s="234"/>
      <c r="O634" s="234"/>
      <c r="P634" s="234"/>
      <c r="Q634" s="234"/>
      <c r="R634" s="234"/>
      <c r="S634" s="234"/>
    </row>
    <row r="635" spans="2:19" s="26" customFormat="1" x14ac:dyDescent="0.25">
      <c r="B635" s="234"/>
      <c r="C635" s="234"/>
      <c r="D635" s="234"/>
      <c r="E635" s="234"/>
      <c r="F635" s="234"/>
      <c r="G635" s="234"/>
      <c r="H635" s="234"/>
      <c r="I635" s="234"/>
      <c r="J635" s="234"/>
      <c r="K635" s="234"/>
      <c r="L635" s="234"/>
      <c r="M635" s="234"/>
      <c r="N635" s="234"/>
      <c r="O635" s="234"/>
      <c r="P635" s="234"/>
      <c r="Q635" s="234"/>
      <c r="R635" s="234"/>
      <c r="S635" s="234"/>
    </row>
    <row r="636" spans="2:19" s="26" customFormat="1" x14ac:dyDescent="0.25">
      <c r="B636" s="234"/>
      <c r="C636" s="234"/>
      <c r="D636" s="234"/>
      <c r="E636" s="234"/>
      <c r="F636" s="234"/>
      <c r="G636" s="234"/>
      <c r="H636" s="234"/>
      <c r="I636" s="234"/>
      <c r="J636" s="234"/>
      <c r="K636" s="234"/>
      <c r="L636" s="234"/>
      <c r="M636" s="234"/>
      <c r="N636" s="234"/>
      <c r="O636" s="234"/>
      <c r="P636" s="234"/>
      <c r="Q636" s="234"/>
      <c r="R636" s="234"/>
      <c r="S636" s="234"/>
    </row>
    <row r="637" spans="2:19" s="26" customFormat="1" x14ac:dyDescent="0.25"/>
    <row r="638" spans="2:19" s="26" customFormat="1" x14ac:dyDescent="0.25"/>
    <row r="639" spans="2:19" s="26" customFormat="1" ht="15.75" thickBot="1" x14ac:dyDescent="0.3"/>
    <row r="640" spans="2:19" s="26" customFormat="1" ht="15.75" thickBot="1" x14ac:dyDescent="0.3">
      <c r="B640" s="410" t="str">
        <f>CONCATENATE("Comparator 7: ",NameComparator7)</f>
        <v xml:space="preserve">Comparator 7: </v>
      </c>
      <c r="C640" s="411"/>
      <c r="D640" s="411"/>
      <c r="E640" s="411"/>
      <c r="F640" s="411"/>
      <c r="G640" s="412"/>
    </row>
    <row r="641" spans="1:22" s="26" customFormat="1" x14ac:dyDescent="0.25">
      <c r="B641" s="227"/>
      <c r="C641" s="227"/>
      <c r="D641" s="227"/>
      <c r="F641" s="278"/>
      <c r="G641" s="278"/>
      <c r="H641" s="278"/>
      <c r="I641" s="278"/>
      <c r="J641" s="278"/>
    </row>
    <row r="642" spans="1:22" s="26" customFormat="1" x14ac:dyDescent="0.25"/>
    <row r="643" spans="1:22" s="26" customFormat="1" ht="28.5" customHeight="1" thickBot="1" x14ac:dyDescent="0.3">
      <c r="B643" s="334" t="s">
        <v>118</v>
      </c>
      <c r="C643" s="334"/>
      <c r="D643" s="334"/>
      <c r="E643" s="334"/>
      <c r="K643" s="408" t="s">
        <v>209</v>
      </c>
      <c r="L643" s="408"/>
      <c r="M643" s="408"/>
      <c r="N643" s="408"/>
      <c r="O643" s="408"/>
      <c r="P643" s="225"/>
      <c r="Q643" s="225"/>
      <c r="R643" s="225"/>
      <c r="S643" s="225"/>
      <c r="T643" s="225"/>
      <c r="U643" s="225"/>
      <c r="V643" s="225"/>
    </row>
    <row r="644" spans="1:22" s="26" customFormat="1" ht="18.95" customHeight="1" thickBot="1" x14ac:dyDescent="0.3">
      <c r="B644" s="465" t="s">
        <v>119</v>
      </c>
      <c r="C644" s="466"/>
      <c r="D644" s="466"/>
      <c r="E644" s="466"/>
      <c r="F644" s="466"/>
      <c r="G644" s="466"/>
      <c r="H644" s="466"/>
      <c r="I644" s="467"/>
      <c r="K644" s="408"/>
      <c r="L644" s="408"/>
      <c r="M644" s="408"/>
      <c r="N644" s="408"/>
      <c r="O644" s="408"/>
      <c r="P644" s="225"/>
      <c r="Q644" s="225"/>
      <c r="R644" s="225"/>
      <c r="S644" s="225"/>
      <c r="T644" s="225"/>
      <c r="U644" s="225"/>
      <c r="V644" s="225"/>
    </row>
    <row r="645" spans="1:22" s="26" customFormat="1" ht="15.75" thickBot="1" x14ac:dyDescent="0.3">
      <c r="B645" s="285"/>
      <c r="C645" s="283"/>
      <c r="D645" s="283"/>
      <c r="E645" s="283"/>
      <c r="F645" s="466" t="s">
        <v>120</v>
      </c>
      <c r="G645" s="466"/>
      <c r="H645" s="466"/>
      <c r="I645" s="467"/>
      <c r="K645" s="14"/>
    </row>
    <row r="646" spans="1:22" s="26" customFormat="1" ht="15.75" thickBot="1" x14ac:dyDescent="0.3">
      <c r="B646" s="472" t="s">
        <v>174</v>
      </c>
      <c r="C646" s="473"/>
      <c r="D646" s="473"/>
      <c r="E646" s="474"/>
      <c r="F646" s="149"/>
      <c r="G646" s="149"/>
      <c r="H646" s="149"/>
      <c r="I646" s="149"/>
      <c r="K646" s="14" t="s">
        <v>180</v>
      </c>
    </row>
    <row r="647" spans="1:22" s="26" customFormat="1" ht="30" customHeight="1" thickBot="1" x14ac:dyDescent="0.3">
      <c r="B647" s="472" t="s">
        <v>106</v>
      </c>
      <c r="C647" s="473"/>
      <c r="D647" s="473"/>
      <c r="E647" s="474"/>
      <c r="F647" s="235"/>
      <c r="G647" s="235"/>
      <c r="H647" s="235"/>
      <c r="I647" s="235"/>
      <c r="J647" s="26" t="s">
        <v>104</v>
      </c>
      <c r="K647" s="408" t="s">
        <v>181</v>
      </c>
      <c r="L647" s="408"/>
      <c r="M647" s="408"/>
      <c r="N647" s="408"/>
      <c r="O647" s="408"/>
      <c r="P647" s="21"/>
      <c r="Q647" s="21"/>
      <c r="R647" s="21"/>
      <c r="S647" s="21"/>
      <c r="T647" s="21"/>
    </row>
    <row r="648" spans="1:22" s="26" customFormat="1" ht="15.75" thickBot="1" x14ac:dyDescent="0.3">
      <c r="A648" s="14"/>
      <c r="B648" s="472" t="s">
        <v>107</v>
      </c>
      <c r="C648" s="473"/>
      <c r="D648" s="473"/>
      <c r="E648" s="474"/>
      <c r="F648" s="151"/>
      <c r="G648" s="151"/>
      <c r="H648" s="151"/>
      <c r="I648" s="151"/>
      <c r="J648" s="236"/>
      <c r="K648" s="110" t="s">
        <v>182</v>
      </c>
      <c r="N648" s="21"/>
      <c r="O648" s="21"/>
      <c r="P648" s="21"/>
      <c r="Q648" s="21"/>
      <c r="R648" s="21"/>
      <c r="S648" s="21"/>
      <c r="T648" s="21"/>
    </row>
    <row r="649" spans="1:22" s="26" customFormat="1" ht="15.75" thickBot="1" x14ac:dyDescent="0.3">
      <c r="A649" s="15"/>
      <c r="B649" s="472" t="s">
        <v>108</v>
      </c>
      <c r="C649" s="473"/>
      <c r="D649" s="473"/>
      <c r="E649" s="474"/>
      <c r="F649" s="489"/>
      <c r="G649" s="490"/>
      <c r="H649" s="490"/>
      <c r="I649" s="491"/>
      <c r="J649" s="237" t="s">
        <v>104</v>
      </c>
      <c r="K649" s="110" t="s">
        <v>210</v>
      </c>
    </row>
    <row r="650" spans="1:22" s="26" customFormat="1" ht="15.75" thickBot="1" x14ac:dyDescent="0.3">
      <c r="A650" s="15"/>
      <c r="B650" s="472" t="s">
        <v>74</v>
      </c>
      <c r="C650" s="473"/>
      <c r="D650" s="473"/>
      <c r="E650" s="474"/>
      <c r="F650" s="492"/>
      <c r="G650" s="493"/>
      <c r="H650" s="493"/>
      <c r="I650" s="494"/>
      <c r="J650" s="237" t="s">
        <v>104</v>
      </c>
      <c r="K650" s="110" t="s">
        <v>184</v>
      </c>
    </row>
    <row r="651" spans="1:22" s="26" customFormat="1" ht="15.75" thickBot="1" x14ac:dyDescent="0.3">
      <c r="B651" s="472" t="s">
        <v>75</v>
      </c>
      <c r="C651" s="473"/>
      <c r="D651" s="473"/>
      <c r="E651" s="474"/>
      <c r="F651" s="492"/>
      <c r="G651" s="493"/>
      <c r="H651" s="493"/>
      <c r="I651" s="494"/>
      <c r="J651" s="26" t="s">
        <v>104</v>
      </c>
      <c r="K651" s="110" t="s">
        <v>185</v>
      </c>
    </row>
    <row r="652" spans="1:22" s="26" customFormat="1" ht="15.75" thickBot="1" x14ac:dyDescent="0.3">
      <c r="B652" s="472" t="s">
        <v>76</v>
      </c>
      <c r="C652" s="473"/>
      <c r="D652" s="473"/>
      <c r="E652" s="474"/>
      <c r="F652" s="492"/>
      <c r="G652" s="493"/>
      <c r="H652" s="493"/>
      <c r="I652" s="494"/>
      <c r="J652" s="237" t="s">
        <v>104</v>
      </c>
      <c r="K652" s="110" t="s">
        <v>219</v>
      </c>
    </row>
    <row r="653" spans="1:22" s="26" customFormat="1" ht="15.75" thickBot="1" x14ac:dyDescent="0.3">
      <c r="B653" s="472" t="s">
        <v>172</v>
      </c>
      <c r="C653" s="473"/>
      <c r="D653" s="473"/>
      <c r="E653" s="474"/>
      <c r="F653" s="492"/>
      <c r="G653" s="493"/>
      <c r="H653" s="493"/>
      <c r="I653" s="494"/>
      <c r="J653" s="237" t="s">
        <v>104</v>
      </c>
      <c r="K653" s="110" t="s">
        <v>217</v>
      </c>
    </row>
    <row r="654" spans="1:22" s="26" customFormat="1" ht="15.75" thickBot="1" x14ac:dyDescent="0.3">
      <c r="B654" s="472" t="s">
        <v>173</v>
      </c>
      <c r="C654" s="473"/>
      <c r="D654" s="473"/>
      <c r="E654" s="474"/>
      <c r="F654" s="492"/>
      <c r="G654" s="493"/>
      <c r="H654" s="493"/>
      <c r="I654" s="494"/>
      <c r="J654" s="237" t="s">
        <v>104</v>
      </c>
      <c r="K654" s="110" t="s">
        <v>218</v>
      </c>
    </row>
    <row r="655" spans="1:22" s="26" customFormat="1" ht="30" customHeight="1" x14ac:dyDescent="0.25">
      <c r="B655" s="112"/>
      <c r="C655" s="112"/>
      <c r="D655" s="112"/>
      <c r="E655" s="278"/>
      <c r="F655" s="278"/>
      <c r="G655" s="238"/>
      <c r="H655" s="278"/>
      <c r="I655" s="278"/>
      <c r="J655" s="239"/>
      <c r="K655" s="110"/>
    </row>
    <row r="656" spans="1:22" s="26" customFormat="1" ht="15.75" thickBot="1" x14ac:dyDescent="0.3">
      <c r="B656" s="334" t="s">
        <v>171</v>
      </c>
      <c r="C656" s="334"/>
      <c r="D656" s="334"/>
      <c r="E656" s="334"/>
      <c r="F656" s="278"/>
      <c r="G656" s="278"/>
      <c r="H656" s="278"/>
      <c r="I656" s="278"/>
      <c r="J656" s="239"/>
      <c r="K656" s="404" t="s">
        <v>195</v>
      </c>
      <c r="L656" s="404"/>
      <c r="M656" s="404"/>
      <c r="N656" s="404"/>
      <c r="O656" s="404"/>
      <c r="P656" s="274"/>
      <c r="Q656" s="274"/>
      <c r="R656" s="274"/>
      <c r="S656" s="274"/>
      <c r="T656" s="274"/>
      <c r="U656" s="274"/>
      <c r="V656" s="274"/>
    </row>
    <row r="657" spans="1:22" s="26" customFormat="1" ht="29.1" customHeight="1" thickBot="1" x14ac:dyDescent="0.3">
      <c r="B657" s="465" t="s">
        <v>121</v>
      </c>
      <c r="C657" s="466"/>
      <c r="D657" s="466"/>
      <c r="E657" s="466"/>
      <c r="F657" s="466"/>
      <c r="G657" s="466"/>
      <c r="H657" s="466"/>
      <c r="I657" s="467"/>
      <c r="J657" s="239"/>
      <c r="K657" s="404"/>
      <c r="L657" s="404"/>
      <c r="M657" s="404"/>
      <c r="N657" s="404"/>
      <c r="O657" s="404"/>
      <c r="P657" s="274"/>
      <c r="Q657" s="274"/>
      <c r="R657" s="274"/>
      <c r="S657" s="274"/>
      <c r="T657" s="274"/>
      <c r="U657" s="274"/>
      <c r="V657" s="274"/>
    </row>
    <row r="658" spans="1:22" s="26" customFormat="1" ht="30" customHeight="1" thickBot="1" x14ac:dyDescent="0.3">
      <c r="B658" s="472" t="s">
        <v>122</v>
      </c>
      <c r="C658" s="473"/>
      <c r="D658" s="473"/>
      <c r="E658" s="474"/>
      <c r="F658" s="468"/>
      <c r="G658" s="469"/>
      <c r="H658" s="470"/>
      <c r="I658" s="471"/>
      <c r="J658" s="239"/>
      <c r="K658" s="408" t="s">
        <v>186</v>
      </c>
      <c r="L658" s="408"/>
      <c r="M658" s="408"/>
      <c r="N658" s="408"/>
      <c r="O658" s="408"/>
    </row>
    <row r="659" spans="1:22" s="26" customFormat="1" ht="23.1" customHeight="1" thickBot="1" x14ac:dyDescent="0.3">
      <c r="B659" s="472" t="str">
        <f>B646</f>
        <v>Pack Identification</v>
      </c>
      <c r="C659" s="473"/>
      <c r="D659" s="473"/>
      <c r="E659" s="474"/>
      <c r="F659" s="192" t="str">
        <f>IF(ISBLANK(F646),"",F646)</f>
        <v/>
      </c>
      <c r="G659" s="192" t="str">
        <f t="shared" ref="G659:I659" si="56">IF(ISBLANK(G646),"",G646)</f>
        <v/>
      </c>
      <c r="H659" s="192" t="str">
        <f t="shared" si="56"/>
        <v/>
      </c>
      <c r="I659" s="192" t="str">
        <f t="shared" si="56"/>
        <v/>
      </c>
      <c r="J659" s="239"/>
      <c r="K659" s="408"/>
      <c r="L659" s="408"/>
      <c r="M659" s="408"/>
      <c r="N659" s="408"/>
      <c r="O659" s="408"/>
    </row>
    <row r="660" spans="1:22" s="26" customFormat="1" ht="15.75" thickBot="1" x14ac:dyDescent="0.3">
      <c r="B660" s="512" t="s">
        <v>123</v>
      </c>
      <c r="C660" s="513"/>
      <c r="D660" s="513"/>
      <c r="E660" s="514"/>
      <c r="F660" s="145"/>
      <c r="G660" s="154"/>
      <c r="H660" s="154"/>
      <c r="I660" s="154"/>
      <c r="J660" s="239"/>
      <c r="K660" s="408" t="s">
        <v>187</v>
      </c>
      <c r="L660" s="408"/>
      <c r="M660" s="408"/>
      <c r="N660" s="408"/>
      <c r="O660" s="408"/>
    </row>
    <row r="661" spans="1:22" s="26" customFormat="1" ht="75.75" customHeight="1" x14ac:dyDescent="0.25">
      <c r="B661" s="284"/>
      <c r="C661" s="284"/>
      <c r="D661" s="284"/>
      <c r="E661" s="284"/>
      <c r="F661" s="278"/>
      <c r="G661" s="278"/>
      <c r="H661" s="278"/>
      <c r="I661" s="278"/>
      <c r="J661" s="239"/>
      <c r="K661" s="408"/>
      <c r="L661" s="408"/>
      <c r="M661" s="408"/>
      <c r="N661" s="408"/>
      <c r="O661" s="408"/>
    </row>
    <row r="662" spans="1:22" s="26" customFormat="1" x14ac:dyDescent="0.25">
      <c r="B662" s="511"/>
      <c r="C662" s="511"/>
      <c r="D662" s="511"/>
      <c r="E662" s="511"/>
      <c r="K662" s="408"/>
      <c r="L662" s="408"/>
      <c r="M662" s="408"/>
      <c r="N662" s="408"/>
      <c r="O662" s="408"/>
    </row>
    <row r="663" spans="1:22" s="26" customFormat="1" x14ac:dyDescent="0.25">
      <c r="B663" s="278"/>
      <c r="C663" s="278"/>
      <c r="D663" s="278"/>
      <c r="E663" s="278"/>
      <c r="O663" s="21"/>
    </row>
    <row r="664" spans="1:22" s="26" customFormat="1" x14ac:dyDescent="0.25">
      <c r="A664" s="155"/>
      <c r="B664" s="286" t="s">
        <v>124</v>
      </c>
      <c r="C664" s="273"/>
      <c r="D664" s="66"/>
      <c r="E664" s="66"/>
      <c r="F664" s="390"/>
      <c r="G664" s="390"/>
      <c r="H664" s="390"/>
      <c r="I664" s="390"/>
      <c r="O664" s="21"/>
    </row>
    <row r="665" spans="1:22" s="26" customFormat="1" x14ac:dyDescent="0.25">
      <c r="A665" s="14" t="s">
        <v>125</v>
      </c>
      <c r="B665" s="273"/>
      <c r="C665" s="273"/>
      <c r="D665" s="66"/>
      <c r="E665" s="66"/>
      <c r="F665" s="273"/>
      <c r="G665" s="273"/>
      <c r="H665" s="273"/>
      <c r="I665" s="273"/>
      <c r="O665" s="21"/>
    </row>
    <row r="666" spans="1:22" s="26" customFormat="1" ht="15.75" thickBot="1" x14ac:dyDescent="0.3">
      <c r="B666" s="66"/>
      <c r="C666" s="66"/>
      <c r="D666" s="66"/>
      <c r="E666" s="66"/>
      <c r="F666" s="390" t="s">
        <v>126</v>
      </c>
      <c r="G666" s="390"/>
      <c r="H666" s="390"/>
      <c r="I666" s="390"/>
      <c r="O666" s="21"/>
    </row>
    <row r="667" spans="1:22" s="26" customFormat="1" ht="15.75" thickBot="1" x14ac:dyDescent="0.3">
      <c r="B667" s="66"/>
      <c r="C667" s="66"/>
      <c r="D667" s="66"/>
      <c r="E667" s="66"/>
      <c r="F667" s="156" t="str">
        <f>IF(F646="","",F646)</f>
        <v/>
      </c>
      <c r="G667" s="156" t="str">
        <f>IF(G646="","",G646)</f>
        <v/>
      </c>
      <c r="H667" s="156" t="str">
        <f>IF(H646="","",H646)</f>
        <v/>
      </c>
      <c r="I667" s="156" t="str">
        <f>IF(I646="","",I646)</f>
        <v/>
      </c>
      <c r="O667" s="21"/>
    </row>
    <row r="668" spans="1:22" s="26" customFormat="1" x14ac:dyDescent="0.25">
      <c r="A668" s="91" t="s">
        <v>77</v>
      </c>
      <c r="B668" s="475" t="s">
        <v>82</v>
      </c>
      <c r="C668" s="476"/>
      <c r="D668" s="476"/>
      <c r="E668" s="240"/>
      <c r="F668" s="241" t="str">
        <f>IF(OR(F647="",F648="",F649=""),"",IF(F647="Price to Wholesaler",F648,IF(F647="Reimbursement Price",(F670/(1+E669)*1),"Error")))</f>
        <v/>
      </c>
      <c r="G668" s="241" t="str">
        <f>IF(OR(G647="",G648="",F649=""),"",IF(G647="Price to Wholesaler",G648,IF(G647="Reimbursement Price",(G670/(1+E669)*1),"Error")))</f>
        <v/>
      </c>
      <c r="H668" s="241" t="str">
        <f>IF(OR(H647="",H648="",F649=""),"",IF(H647="Price to Wholesaler",H648,IF(H647="Reimbursement Price",(H670/(1+E669)*1),"Error")))</f>
        <v/>
      </c>
      <c r="I668" s="241" t="str">
        <f>IF(OR(I647="",I648="",F649=""),"",IF(I647="Price to Wholesaler",I648,IF(I647="Reimbursement Price",(I670/(1+E669)*1),"Error")))</f>
        <v/>
      </c>
      <c r="O668" s="21"/>
    </row>
    <row r="669" spans="1:22" s="26" customFormat="1" x14ac:dyDescent="0.25">
      <c r="A669" s="282" t="s">
        <v>78</v>
      </c>
      <c r="B669" s="477" t="s">
        <v>83</v>
      </c>
      <c r="C669" s="478"/>
      <c r="D669" s="478"/>
      <c r="E669" s="93" t="str">
        <f>IF(OR(F649=""),"",IF(AND(F649="CDS",F650="Yes"),CYF,IF(AND(F649="CDS",F650="No"),CNF,IF(F649="HT",CHT,IF(F649="Hosp",CHO,"Error")))))</f>
        <v/>
      </c>
      <c r="F669" s="242" t="str">
        <f>IF(OR(F649="",F648="",F647=""),"",F668*E669)</f>
        <v/>
      </c>
      <c r="G669" s="242" t="str">
        <f>IF(OR(F649="",G648="",G647=""),"",G668*E669)</f>
        <v/>
      </c>
      <c r="H669" s="242" t="str">
        <f>IF(OR(F649="",H648="",H647=""),"",H668*E669)</f>
        <v/>
      </c>
      <c r="I669" s="242" t="str">
        <f>IF(OR(F649="",I648="",I647=""),"",I668*E669)</f>
        <v/>
      </c>
      <c r="O669" s="21"/>
    </row>
    <row r="670" spans="1:22" s="26" customFormat="1" x14ac:dyDescent="0.25">
      <c r="A670" s="282" t="s">
        <v>79</v>
      </c>
      <c r="B670" s="477" t="str">
        <f>IF(F649="Hosp","Hospital Price", "Reimbursement Price")</f>
        <v>Reimbursement Price</v>
      </c>
      <c r="C670" s="478"/>
      <c r="D670" s="478"/>
      <c r="E670" s="243" t="str">
        <f>IF(F647="Price to Wholesaler","A+B","")</f>
        <v/>
      </c>
      <c r="F670" s="242" t="str">
        <f>IF(F647="Reimbursement Price",F648,IF(ISBLANK(E669),"",IF(F647="Price to Wholesaler",(F668+F669),IF(F647="","","Error"))))</f>
        <v/>
      </c>
      <c r="G670" s="242" t="str">
        <f>IF(G647="Reimbursement Price",G648,IF(ISBLANK(E669),"",IF(G647="Price to Wholesaler",(G668+G669),IF(G647="","","Error"))))</f>
        <v/>
      </c>
      <c r="H670" s="242" t="str">
        <f>IF(H647="Reimbursement Price",H648,IF(ISBLANK(E669),"",IF(H647="Price to Wholesaler",(H668+H669),IF(H647="","","Error"))))</f>
        <v/>
      </c>
      <c r="I670" s="242" t="str">
        <f>IF(I647="Reimbursement Price",I648,IF(ISBLANK(E669),"",IF(I647="Price to Wholesaler",(I668+I669),IF(I647="","","Error"))))</f>
        <v/>
      </c>
      <c r="O670" s="21"/>
    </row>
    <row r="671" spans="1:22" s="26" customFormat="1" x14ac:dyDescent="0.25">
      <c r="A671" s="282" t="s">
        <v>80</v>
      </c>
      <c r="B671" s="477" t="s">
        <v>214</v>
      </c>
      <c r="C671" s="478"/>
      <c r="D671" s="478"/>
      <c r="E671" s="268" t="str">
        <f>IF(OR(F652="",AND(F652="Yes",F653=""),AND(F652="No",F654="")),"",IF(AND(F652="No",F654="Patented Exclusive or Off Patent Exclusive and subject to clause 10 of Framework Agreement"),MR,IF(AND(F652="No",F654="Off Patent Non-Exclusive or Generic"),"None",IF(AND(F652="Yes",F653="Biosimilar"),"None",IF(AND(F652="Yes",F653="Patented or Off Patent Exclusive"),MR,IF(AND(F652="Yes",F653="Off Patent Non-Exclusive 12.5% Rebate incorporated into Price to Wholesaler"),"None",IF(AND(F652="Yes",F653="Off Patent Non-Exclusive 12.5% Rebate"),MRB,"Error")))))))</f>
        <v/>
      </c>
      <c r="F671" s="242" t="str">
        <f>IF(OR(F652="",AND(F652="Yes",F653=""),AND(F652="No",F654=""),F647="",ISBLANK(F648)),"",IF(E671="None",0,(E671*F668)))</f>
        <v/>
      </c>
      <c r="G671" s="242" t="str">
        <f>IF(OR(F652="",AND(F652="Yes",F653=""),AND(F652="No",F654=""),G647="",ISBLANK(G648)),"",IF(E671="None",0,(E671*G668)))</f>
        <v/>
      </c>
      <c r="H671" s="242" t="str">
        <f>IF(OR(F652="",AND(F652="Yes",F653=""),AND(F652="No",F654=""),H647="",ISBLANK(H648)),"",IF(E671="None",0,(E671*H668)))</f>
        <v/>
      </c>
      <c r="I671" s="242" t="str">
        <f>IF(OR(F652="",AND(F652="Yes",F653=""),AND(F652="No",F654=""),I647="",ISBLANK(I648)),"",IF(E671="None",0,(E671*I668)))</f>
        <v/>
      </c>
      <c r="O671" s="21"/>
    </row>
    <row r="672" spans="1:22" s="26" customFormat="1" ht="15.75" thickBot="1" x14ac:dyDescent="0.3">
      <c r="A672" s="280" t="s">
        <v>81</v>
      </c>
      <c r="B672" s="479" t="s">
        <v>94</v>
      </c>
      <c r="C672" s="480"/>
      <c r="D672" s="480"/>
      <c r="E672" s="160" t="str">
        <f>IF(F651="","",IF(F651="Yes",0,VT))</f>
        <v/>
      </c>
      <c r="F672" s="244" t="str">
        <f>IF(OR($B651="",F648="",ISBLANK(F648)),"",($E672*F670))</f>
        <v/>
      </c>
      <c r="G672" s="244" t="str">
        <f t="shared" ref="G672:I672" si="57">IF(OR($B651="",G648="",ISBLANK(G648)),"",($E672*G670))</f>
        <v/>
      </c>
      <c r="H672" s="244" t="str">
        <f t="shared" si="57"/>
        <v/>
      </c>
      <c r="I672" s="244" t="str">
        <f t="shared" si="57"/>
        <v/>
      </c>
      <c r="O672" s="21"/>
    </row>
    <row r="673" spans="1:20" s="26" customFormat="1" ht="15.75" thickBot="1" x14ac:dyDescent="0.3">
      <c r="A673" s="279" t="s">
        <v>127</v>
      </c>
      <c r="B673" s="481" t="s">
        <v>128</v>
      </c>
      <c r="C673" s="481"/>
      <c r="D673" s="481"/>
      <c r="E673" s="279"/>
      <c r="F673" s="245" t="str">
        <f>IF(OR(F647="",$F649="",$F651="",$F652=""),"",SUM(F670:F672))</f>
        <v/>
      </c>
      <c r="G673" s="245" t="str">
        <f t="shared" ref="G673:I673" si="58">IF(OR(G647="",$F649="",$F651="",$F652=""),"",SUM(G670:G672))</f>
        <v/>
      </c>
      <c r="H673" s="245" t="str">
        <f t="shared" si="58"/>
        <v/>
      </c>
      <c r="I673" s="245" t="str">
        <f t="shared" si="58"/>
        <v/>
      </c>
      <c r="O673" s="21"/>
    </row>
    <row r="674" spans="1:20" s="26" customFormat="1" ht="15.75" thickBot="1" x14ac:dyDescent="0.3">
      <c r="A674" s="279" t="s">
        <v>129</v>
      </c>
      <c r="B674" s="482" t="s">
        <v>130</v>
      </c>
      <c r="C674" s="482"/>
      <c r="D674" s="482"/>
      <c r="E674" s="245"/>
      <c r="F674" s="245" t="str">
        <f>IF(OR(F647="",$F649="",$F651="",$F652=""),"",SUM(F670:F671))</f>
        <v/>
      </c>
      <c r="G674" s="245" t="str">
        <f t="shared" ref="G674:I674" si="59">IF(OR(G647="",$F649="",$F651="",$F652=""),"",SUM(G670:G671))</f>
        <v/>
      </c>
      <c r="H674" s="245" t="str">
        <f t="shared" si="59"/>
        <v/>
      </c>
      <c r="I674" s="245" t="str">
        <f t="shared" si="59"/>
        <v/>
      </c>
      <c r="O674" s="21"/>
    </row>
    <row r="675" spans="1:20" s="26" customFormat="1" x14ac:dyDescent="0.25">
      <c r="B675" s="66"/>
      <c r="C675" s="66"/>
      <c r="D675" s="66"/>
      <c r="E675" s="66"/>
      <c r="K675" s="26" t="s">
        <v>131</v>
      </c>
      <c r="O675" s="21"/>
    </row>
    <row r="676" spans="1:20" s="26" customFormat="1" x14ac:dyDescent="0.25">
      <c r="A676" s="155" t="s">
        <v>132</v>
      </c>
      <c r="B676" s="66"/>
      <c r="C676" s="66"/>
      <c r="D676" s="66"/>
      <c r="E676" s="66"/>
      <c r="F676" s="246"/>
      <c r="G676" s="246"/>
      <c r="H676" s="246"/>
      <c r="I676" s="246"/>
      <c r="O676" s="21"/>
    </row>
    <row r="677" spans="1:20" s="26" customFormat="1" x14ac:dyDescent="0.25">
      <c r="A677" s="125"/>
      <c r="B677" s="125" t="s">
        <v>133</v>
      </c>
      <c r="C677" s="125"/>
      <c r="D677" s="125"/>
      <c r="E677" s="125"/>
      <c r="F677" s="125"/>
      <c r="G677" s="125"/>
      <c r="H677" s="125"/>
      <c r="O677" s="21"/>
    </row>
    <row r="678" spans="1:20" s="26" customFormat="1" x14ac:dyDescent="0.25">
      <c r="B678" s="21" t="s">
        <v>134</v>
      </c>
      <c r="C678" s="229"/>
      <c r="D678" s="229"/>
      <c r="E678" s="66"/>
      <c r="O678" s="21"/>
    </row>
    <row r="679" spans="1:20" s="26" customFormat="1" ht="15.75" thickBot="1" x14ac:dyDescent="0.3">
      <c r="B679" s="165"/>
      <c r="C679" s="229"/>
      <c r="D679" s="229"/>
      <c r="E679" s="66"/>
      <c r="O679" s="21"/>
    </row>
    <row r="680" spans="1:20" s="26" customFormat="1" ht="15.75" thickBot="1" x14ac:dyDescent="0.3">
      <c r="B680" s="230"/>
      <c r="C680" s="66"/>
      <c r="D680" s="66"/>
      <c r="E680" s="66"/>
      <c r="G680" s="13" t="s">
        <v>135</v>
      </c>
      <c r="H680" s="13" t="s">
        <v>136</v>
      </c>
      <c r="O680" s="21"/>
    </row>
    <row r="681" spans="1:20" s="26" customFormat="1" x14ac:dyDescent="0.25">
      <c r="B681" s="483" t="s">
        <v>137</v>
      </c>
      <c r="C681" s="484"/>
      <c r="D681" s="484"/>
      <c r="E681" s="484"/>
      <c r="F681" s="485"/>
      <c r="G681" s="247" t="str">
        <f>IF(F649="","",IF(F649="CDS","per dispensing",IF(F649="HT","per month",IF(F649="Hosp","No Fee", ERROR))))</f>
        <v/>
      </c>
      <c r="H681" s="248" t="str">
        <f>IF(F649="","",IF(F649="CDS",DF,IF(F649="HT",PC,IF(F649="Hosp","No Fee",ERROR))))</f>
        <v/>
      </c>
      <c r="I681" s="26" t="s">
        <v>138</v>
      </c>
      <c r="O681" s="21"/>
    </row>
    <row r="682" spans="1:20" s="26" customFormat="1" ht="15.75" thickBot="1" x14ac:dyDescent="0.3">
      <c r="B682" s="486" t="s">
        <v>92</v>
      </c>
      <c r="C682" s="487"/>
      <c r="D682" s="487"/>
      <c r="E682" s="487"/>
      <c r="F682" s="488"/>
      <c r="G682" s="249" t="str">
        <f>IF(OR(F649="",F651=""),"",IF(F649="Hosp","No Fee",IF(F649="HT","No VAT",IF(AND(F649="CDS",F651="No"),VT,"No VAT"))))</f>
        <v/>
      </c>
      <c r="H682" s="250" t="str">
        <f>IF(OR(F651="",F649="Hosp"),"",IF(OR(F651="Yes",F649="HT"),0,H681*G682))</f>
        <v/>
      </c>
      <c r="O682" s="21"/>
    </row>
    <row r="683" spans="1:20" s="26" customFormat="1" x14ac:dyDescent="0.25">
      <c r="B683" s="230"/>
      <c r="C683" s="66"/>
      <c r="D683" s="66"/>
      <c r="E683" s="66"/>
      <c r="O683" s="21"/>
    </row>
    <row r="684" spans="1:20" s="26" customFormat="1" x14ac:dyDescent="0.25">
      <c r="B684" s="230"/>
      <c r="C684" s="66"/>
      <c r="D684" s="66"/>
      <c r="E684" s="66"/>
      <c r="O684" s="21"/>
    </row>
    <row r="685" spans="1:20" s="26" customFormat="1" ht="33.950000000000003" customHeight="1" thickBot="1" x14ac:dyDescent="0.3">
      <c r="A685" s="165" t="s">
        <v>193</v>
      </c>
      <c r="B685" s="230"/>
      <c r="C685" s="66"/>
      <c r="D685" s="66"/>
      <c r="E685" s="66"/>
      <c r="K685" s="408" t="s">
        <v>197</v>
      </c>
      <c r="L685" s="408"/>
      <c r="M685" s="408"/>
      <c r="N685" s="408"/>
      <c r="O685" s="408"/>
      <c r="P685" s="195"/>
      <c r="Q685" s="195"/>
      <c r="R685" s="195"/>
      <c r="S685" s="195"/>
      <c r="T685" s="195"/>
    </row>
    <row r="686" spans="1:20" s="26" customFormat="1" ht="17.100000000000001" customHeight="1" thickBot="1" x14ac:dyDescent="0.3">
      <c r="A686" s="14" t="s">
        <v>194</v>
      </c>
      <c r="B686" s="230"/>
      <c r="C686" s="66"/>
      <c r="D686" s="66"/>
      <c r="E686" s="66"/>
      <c r="G686" s="13" t="s">
        <v>101</v>
      </c>
      <c r="H686" s="13" t="s">
        <v>136</v>
      </c>
      <c r="K686" s="408" t="str">
        <f>IF(F649="HT","For High tech, if a treatment cycle =28 days the corresponding pharmacy fee is =62.03*12/365.25*28.  The pharmacy fee remains the same regardless of the number of products dispensed that month.",IF(F649="CDS","For CDS, if 2 packets of the same pack presentation are required per treatment cycle, one dispensing fee applies (€5.48). If multiple pack presentations are required, multiple dispensing fees apply",""))</f>
        <v/>
      </c>
      <c r="L686" s="408"/>
      <c r="M686" s="408"/>
      <c r="N686" s="408"/>
      <c r="O686" s="408"/>
      <c r="P686" s="195"/>
      <c r="Q686" s="195"/>
      <c r="R686" s="195"/>
      <c r="S686" s="195"/>
      <c r="T686" s="195"/>
    </row>
    <row r="687" spans="1:20" s="26" customFormat="1" ht="16.5" customHeight="1" x14ac:dyDescent="0.25">
      <c r="A687" s="170" t="s">
        <v>139</v>
      </c>
      <c r="B687" s="504" t="s">
        <v>140</v>
      </c>
      <c r="C687" s="504"/>
      <c r="D687" s="504"/>
      <c r="E687" s="504"/>
      <c r="F687" s="504"/>
      <c r="G687" s="251"/>
      <c r="H687" s="252"/>
      <c r="K687" s="408"/>
      <c r="L687" s="408"/>
      <c r="M687" s="408"/>
      <c r="N687" s="408"/>
      <c r="O687" s="408"/>
      <c r="P687" s="195"/>
      <c r="Q687" s="195"/>
      <c r="R687" s="195"/>
      <c r="S687" s="195"/>
      <c r="T687" s="195"/>
    </row>
    <row r="688" spans="1:20" s="26" customFormat="1" x14ac:dyDescent="0.25">
      <c r="A688" s="173" t="s">
        <v>141</v>
      </c>
      <c r="B688" s="505" t="s">
        <v>142</v>
      </c>
      <c r="C688" s="505"/>
      <c r="D688" s="505"/>
      <c r="E688" s="505"/>
      <c r="F688" s="505"/>
      <c r="G688" s="253"/>
      <c r="H688" s="254"/>
      <c r="K688" s="14" t="s">
        <v>188</v>
      </c>
      <c r="O688" s="21"/>
    </row>
    <row r="689" spans="1:15" s="26" customFormat="1" x14ac:dyDescent="0.25">
      <c r="A689" s="173" t="s">
        <v>143</v>
      </c>
      <c r="B689" s="505" t="s">
        <v>144</v>
      </c>
      <c r="C689" s="505"/>
      <c r="D689" s="505"/>
      <c r="E689" s="505"/>
      <c r="F689" s="505"/>
      <c r="G689" s="253"/>
      <c r="H689" s="254"/>
      <c r="K689" s="14" t="s">
        <v>189</v>
      </c>
      <c r="O689" s="21"/>
    </row>
    <row r="690" spans="1:15" s="26" customFormat="1" x14ac:dyDescent="0.25">
      <c r="A690" s="173" t="s">
        <v>145</v>
      </c>
      <c r="B690" s="505" t="s">
        <v>146</v>
      </c>
      <c r="C690" s="505"/>
      <c r="D690" s="505"/>
      <c r="E690" s="505"/>
      <c r="F690" s="505"/>
      <c r="G690" s="255"/>
      <c r="H690" s="256" t="str">
        <f>IF(ISBLANK(H687),"",SUM(H687:H689))</f>
        <v/>
      </c>
      <c r="O690" s="21"/>
    </row>
    <row r="691" spans="1:15" s="26" customFormat="1" ht="15.75" thickBot="1" x14ac:dyDescent="0.3">
      <c r="A691" s="178" t="s">
        <v>147</v>
      </c>
      <c r="B691" s="515" t="s">
        <v>196</v>
      </c>
      <c r="C691" s="515"/>
      <c r="D691" s="515"/>
      <c r="E691" s="515"/>
      <c r="F691" s="515"/>
      <c r="G691" s="257"/>
      <c r="H691" s="250" t="str">
        <f>IF(ISBLANK(H687),"",SUM(H687:H688))</f>
        <v/>
      </c>
      <c r="O691" s="21"/>
    </row>
    <row r="692" spans="1:15" s="26" customFormat="1" x14ac:dyDescent="0.25">
      <c r="B692" s="66"/>
      <c r="C692" s="66"/>
      <c r="D692" s="66"/>
      <c r="E692" s="66"/>
      <c r="O692" s="21"/>
    </row>
    <row r="693" spans="1:15" s="26" customFormat="1" x14ac:dyDescent="0.25">
      <c r="B693" s="66"/>
      <c r="C693" s="66"/>
      <c r="D693" s="66"/>
      <c r="E693" s="66"/>
      <c r="O693" s="21"/>
    </row>
    <row r="694" spans="1:15" s="26" customFormat="1" x14ac:dyDescent="0.25">
      <c r="A694" s="155" t="s">
        <v>148</v>
      </c>
      <c r="B694" s="66"/>
      <c r="C694" s="66"/>
      <c r="D694" s="66"/>
      <c r="E694" s="66"/>
      <c r="O694" s="21"/>
    </row>
    <row r="695" spans="1:15" s="26" customFormat="1" ht="15.75" thickBot="1" x14ac:dyDescent="0.3">
      <c r="B695" s="66"/>
      <c r="C695" s="66"/>
      <c r="D695" s="66"/>
      <c r="E695" s="66"/>
      <c r="O695" s="21"/>
    </row>
    <row r="696" spans="1:15" s="26" customFormat="1" ht="29.1" customHeight="1" x14ac:dyDescent="0.25">
      <c r="A696" s="65"/>
      <c r="B696" s="278"/>
      <c r="C696" s="278"/>
      <c r="D696" s="278"/>
      <c r="E696" s="278"/>
      <c r="F696" s="506" t="s">
        <v>149</v>
      </c>
      <c r="G696" s="180" t="s">
        <v>150</v>
      </c>
      <c r="H696" s="508" t="s">
        <v>151</v>
      </c>
      <c r="I696" s="180" t="s">
        <v>152</v>
      </c>
      <c r="J696" s="66"/>
      <c r="K696" s="408" t="s">
        <v>269</v>
      </c>
      <c r="L696" s="408"/>
      <c r="M696" s="408"/>
      <c r="N696" s="408"/>
      <c r="O696" s="408"/>
    </row>
    <row r="697" spans="1:15" s="26" customFormat="1" x14ac:dyDescent="0.25">
      <c r="A697" s="65"/>
      <c r="B697" s="278"/>
      <c r="C697" s="278"/>
      <c r="D697" s="278"/>
      <c r="E697" s="278"/>
      <c r="F697" s="507"/>
      <c r="G697" s="253"/>
      <c r="H697" s="509"/>
      <c r="I697" s="182"/>
      <c r="J697" s="66"/>
      <c r="K697" s="408"/>
      <c r="L697" s="408"/>
      <c r="M697" s="408"/>
      <c r="N697" s="408"/>
      <c r="O697" s="408"/>
    </row>
    <row r="698" spans="1:15" s="26" customFormat="1" ht="15.75" thickBot="1" x14ac:dyDescent="0.3">
      <c r="A698" s="65"/>
      <c r="B698" s="278"/>
      <c r="C698" s="278"/>
      <c r="D698" s="278"/>
      <c r="E698" s="278"/>
      <c r="F698" s="507"/>
      <c r="G698" s="183" t="s">
        <v>153</v>
      </c>
      <c r="H698" s="510"/>
      <c r="I698" s="184"/>
      <c r="J698" s="66"/>
      <c r="K698" s="408"/>
      <c r="L698" s="408"/>
      <c r="M698" s="408"/>
      <c r="N698" s="408"/>
      <c r="O698" s="408"/>
    </row>
    <row r="699" spans="1:15" s="26" customFormat="1" x14ac:dyDescent="0.25">
      <c r="A699" s="247" t="s">
        <v>77</v>
      </c>
      <c r="B699" s="463" t="str">
        <f>B668</f>
        <v>Price to Wholesaler</v>
      </c>
      <c r="C699" s="463"/>
      <c r="D699" s="463"/>
      <c r="E699" s="463"/>
      <c r="F699" s="256">
        <f>SUMPRODUCT(F668:I668,F660:I660)</f>
        <v>0</v>
      </c>
      <c r="G699" s="256">
        <f>F699*G697</f>
        <v>0</v>
      </c>
      <c r="H699" s="256" t="str">
        <f>IF(H658="Days",F699/F658*365.25,IF(H658="Months",F699/F658*12,""))</f>
        <v/>
      </c>
      <c r="I699" s="256" t="str">
        <f>IF(AND(H658="Days",I698="Days"),F699/F658*I697,IF(AND(H658="Months",I698="Months"),F699/F658*I697,IF(AND(H658="Days",I698="Months"),F699/F658*30.4375*I697,IF(AND(H658="Months",I698="Days"),F699/F658/30.4375*I697,""))))</f>
        <v/>
      </c>
      <c r="O699" s="21"/>
    </row>
    <row r="700" spans="1:15" s="26" customFormat="1" x14ac:dyDescent="0.25">
      <c r="A700" s="255" t="s">
        <v>78</v>
      </c>
      <c r="B700" s="464" t="str">
        <f>B669</f>
        <v>Wholesale Mark-up</v>
      </c>
      <c r="C700" s="464"/>
      <c r="D700" s="464"/>
      <c r="E700" s="464"/>
      <c r="F700" s="256">
        <f>SUMPRODUCT(F669:I669,F660:I660)</f>
        <v>0</v>
      </c>
      <c r="G700" s="256">
        <f>F700*G697</f>
        <v>0</v>
      </c>
      <c r="H700" s="256" t="str">
        <f>IF(H658="Days",F700/F658*365.25,IF(H658="Months",F700/F658*12,""))</f>
        <v/>
      </c>
      <c r="I700" s="256" t="str">
        <f>IF(AND(H658="Days",I698="Days"),F700/F658*I697,IF(AND(H658="Months",I698="Months"),F700/F658*I697,IF(AND(H658="Days",I698="Months"),F700/F658*30.4375*I697,IF(AND(H658="Months",I698="Days"),F700/F658/30.4375*I697,""))))</f>
        <v/>
      </c>
      <c r="O700" s="21"/>
    </row>
    <row r="701" spans="1:15" s="26" customFormat="1" x14ac:dyDescent="0.25">
      <c r="A701" s="255" t="s">
        <v>79</v>
      </c>
      <c r="B701" s="281" t="str">
        <f>B670</f>
        <v>Reimbursement Price</v>
      </c>
      <c r="C701" s="275"/>
      <c r="D701" s="276"/>
      <c r="E701" s="277"/>
      <c r="F701" s="256">
        <f>SUMPRODUCT(F670:I670,F660:I660)</f>
        <v>0</v>
      </c>
      <c r="G701" s="256">
        <f>F701*G697</f>
        <v>0</v>
      </c>
      <c r="H701" s="256" t="str">
        <f>IF(H658="Days",F701/F658*365.25,IF(H658="Months",F701/F658*12,""))</f>
        <v/>
      </c>
      <c r="I701" s="256" t="str">
        <f>IF(AND(H658="Days",I698="Days"),F701/F658*I697,IF(AND(H658="Months",I698="Months"),F701/F658*I697,IF(AND(H658="Days",I698="Months"),F701/F658*30.4375*I697,IF(AND(H658="Months",I698="Days"),F701/F658/30.4375*I697,""))))</f>
        <v/>
      </c>
      <c r="O701" s="21"/>
    </row>
    <row r="702" spans="1:15" s="26" customFormat="1" x14ac:dyDescent="0.25">
      <c r="A702" s="255" t="s">
        <v>80</v>
      </c>
      <c r="B702" s="495" t="str">
        <f>B671</f>
        <v>Framework Agreement Rebate</v>
      </c>
      <c r="C702" s="496"/>
      <c r="D702" s="496"/>
      <c r="E702" s="497"/>
      <c r="F702" s="256">
        <f>SUMPRODUCT(F671:I671,F660:I660)</f>
        <v>0</v>
      </c>
      <c r="G702" s="256">
        <f>F702*G697</f>
        <v>0</v>
      </c>
      <c r="H702" s="256" t="str">
        <f>IF(H658="Days",F702/F658*365.25,IF(H658="Months",F702/F658*12,""))</f>
        <v/>
      </c>
      <c r="I702" s="256" t="str">
        <f>IF(AND(H658="Days",I698="Days"),F702/F658*I697,IF(AND(H658="Months",I698="Months"),F702/F658*I697,IF(AND(H658="Days",I698="Months"),F702/F658*30.4375*I697,IF(AND(H658="Months",I698="Days"),F702/F658/30.4375*I697,""))))</f>
        <v/>
      </c>
      <c r="O702" s="21"/>
    </row>
    <row r="703" spans="1:15" s="26" customFormat="1" x14ac:dyDescent="0.25">
      <c r="A703" s="255" t="s">
        <v>81</v>
      </c>
      <c r="B703" s="495" t="str">
        <f>B672</f>
        <v xml:space="preserve">VAT on Drug Cost </v>
      </c>
      <c r="C703" s="496"/>
      <c r="D703" s="496"/>
      <c r="E703" s="497"/>
      <c r="F703" s="256">
        <f>SUMPRODUCT(F672:I672,F660:I660)</f>
        <v>0</v>
      </c>
      <c r="G703" s="256">
        <f>F703*G697</f>
        <v>0</v>
      </c>
      <c r="H703" s="256" t="str">
        <f>IF(H658="Days",F703/F658*365.25,IF(H658="Months",F703/F658*12,""))</f>
        <v/>
      </c>
      <c r="I703" s="256" t="str">
        <f>IF(AND(H658="Days",I698="Days"),F703/F658*I697,IF(AND(H658="Months",I698="Months"),F703/F658*I697,IF(AND(H658="Days",I698="Months"),F703/F658*30.4375*I697,IF(AND(H658="Months",I698="Days"),F703/F658/30.4375*I697,""))))</f>
        <v/>
      </c>
      <c r="O703" s="21"/>
    </row>
    <row r="704" spans="1:15" s="26" customFormat="1" x14ac:dyDescent="0.25">
      <c r="A704" s="255" t="s">
        <v>154</v>
      </c>
      <c r="B704" s="495" t="s">
        <v>155</v>
      </c>
      <c r="C704" s="496"/>
      <c r="D704" s="496"/>
      <c r="E704" s="497"/>
      <c r="F704" s="256" t="str">
        <f>IF(H690="","",H690)</f>
        <v/>
      </c>
      <c r="G704" s="256" t="str">
        <f>IF(F704="","",F704*G697)</f>
        <v/>
      </c>
      <c r="H704" s="256" t="str">
        <f>IF(F704="","",IF(H658="Days",F704/F658*365.25,IF(H658="Months",F704/F658*12,"")))</f>
        <v/>
      </c>
      <c r="I704" s="256" t="str">
        <f>IF(F704="","",IF(AND(H658="Days",I698="Days"),F704/F658*I697,IF(AND(H658="Months",I698="Months"),F704/F658*I697,IF(AND(H658="Days",I698="Months"),F704/F658*30.4375*I697,IF(AND(H658="Months",I698="Days"),F704/F658/30.4375*I697,"")))))</f>
        <v/>
      </c>
      <c r="O704" s="21"/>
    </row>
    <row r="705" spans="1:19" s="26" customFormat="1" x14ac:dyDescent="0.25">
      <c r="A705" s="255" t="s">
        <v>156</v>
      </c>
      <c r="B705" s="495" t="s">
        <v>157</v>
      </c>
      <c r="C705" s="496"/>
      <c r="D705" s="496"/>
      <c r="E705" s="497"/>
      <c r="F705" s="256" t="str">
        <f>IF(H691="","",H691)</f>
        <v/>
      </c>
      <c r="G705" s="256" t="str">
        <f>IF(F705="","",F705*G697)</f>
        <v/>
      </c>
      <c r="H705" s="256" t="str">
        <f>IF(F705="","",IF(H658="Days",F705/F658*365.25,IF(H658="Months",F705/F658*12,"")))</f>
        <v/>
      </c>
      <c r="I705" s="256" t="str">
        <f>IF(F705="","",IF(AND(H658="Days",I698="Days"),F705/F658*I697,IF(AND(H658="Months",I698="Months"),F705/F658*I697,IF(AND(H658="Days",I698="Months"),F705/F658*30.4375*I697,IF(AND(H658="Months",I698="Days"),F705/F658/30.4375*I697,"")))))</f>
        <v/>
      </c>
      <c r="O705" s="21"/>
    </row>
    <row r="706" spans="1:19" s="155" customFormat="1" x14ac:dyDescent="0.25">
      <c r="A706" s="186" t="s">
        <v>158</v>
      </c>
      <c r="B706" s="498" t="s">
        <v>159</v>
      </c>
      <c r="C706" s="499"/>
      <c r="D706" s="499"/>
      <c r="E706" s="500"/>
      <c r="F706" s="187">
        <f>SUM(F701:F704)</f>
        <v>0</v>
      </c>
      <c r="G706" s="187">
        <f t="shared" ref="G706:I706" si="60">SUM(G701:G704)</f>
        <v>0</v>
      </c>
      <c r="H706" s="187">
        <f t="shared" si="60"/>
        <v>0</v>
      </c>
      <c r="I706" s="187">
        <f t="shared" si="60"/>
        <v>0</v>
      </c>
      <c r="K706" s="98" t="s">
        <v>191</v>
      </c>
      <c r="O706" s="189"/>
    </row>
    <row r="707" spans="1:19" s="26" customFormat="1" ht="15.75" thickBot="1" x14ac:dyDescent="0.3">
      <c r="A707" s="257" t="s">
        <v>160</v>
      </c>
      <c r="B707" s="501" t="s">
        <v>161</v>
      </c>
      <c r="C707" s="502"/>
      <c r="D707" s="502"/>
      <c r="E707" s="503"/>
      <c r="F707" s="250">
        <f>IF(F705="",SUM(F701+F702),F701+F702+F705)</f>
        <v>0</v>
      </c>
      <c r="G707" s="250">
        <f t="shared" ref="G707" si="61">IF(G705="",SUM(G701+G702),G701+G702+G705)</f>
        <v>0</v>
      </c>
      <c r="H707" s="250" t="e">
        <f>IF(H705="",SUM(H701+H702),H701+H702+H705)</f>
        <v>#VALUE!</v>
      </c>
      <c r="I707" s="250" t="e">
        <f t="shared" ref="I707" si="62">IF(I705="",SUM(I701+I702),I701+I702+I705)</f>
        <v>#VALUE!</v>
      </c>
      <c r="K707" s="14" t="s">
        <v>192</v>
      </c>
      <c r="O707" s="21"/>
    </row>
    <row r="708" spans="1:19" s="26" customFormat="1" x14ac:dyDescent="0.25">
      <c r="B708" s="229"/>
      <c r="C708" s="66"/>
      <c r="D708" s="66"/>
      <c r="E708" s="66"/>
      <c r="O708" s="21"/>
    </row>
    <row r="709" spans="1:19" s="26" customFormat="1" x14ac:dyDescent="0.25"/>
    <row r="710" spans="1:19" s="26" customFormat="1" x14ac:dyDescent="0.25">
      <c r="B710" s="286" t="s">
        <v>101</v>
      </c>
      <c r="C710" s="286"/>
      <c r="D710" s="286"/>
      <c r="E710" s="286"/>
    </row>
    <row r="711" spans="1:19" s="26" customFormat="1" ht="15.75" customHeight="1" x14ac:dyDescent="0.25"/>
    <row r="712" spans="1:19" s="26" customFormat="1" x14ac:dyDescent="0.25">
      <c r="B712" s="234"/>
      <c r="C712" s="234"/>
      <c r="D712" s="234"/>
      <c r="E712" s="234"/>
      <c r="F712" s="234"/>
      <c r="G712" s="234"/>
      <c r="H712" s="234"/>
      <c r="I712" s="234"/>
      <c r="J712" s="234"/>
      <c r="K712" s="234"/>
      <c r="L712" s="234"/>
      <c r="M712" s="234"/>
      <c r="N712" s="234"/>
      <c r="O712" s="234"/>
      <c r="P712" s="234"/>
      <c r="Q712" s="234"/>
      <c r="R712" s="234"/>
      <c r="S712" s="234"/>
    </row>
    <row r="713" spans="1:19" s="26" customFormat="1" x14ac:dyDescent="0.25">
      <c r="B713" s="234"/>
      <c r="C713" s="234"/>
      <c r="D713" s="234"/>
      <c r="E713" s="234"/>
      <c r="F713" s="234"/>
      <c r="G713" s="234"/>
      <c r="H713" s="234"/>
      <c r="I713" s="234"/>
      <c r="J713" s="234"/>
      <c r="K713" s="234"/>
      <c r="L713" s="234"/>
      <c r="M713" s="234"/>
      <c r="N713" s="234"/>
      <c r="O713" s="234"/>
      <c r="P713" s="234"/>
      <c r="Q713" s="234"/>
      <c r="R713" s="234"/>
      <c r="S713" s="234"/>
    </row>
    <row r="714" spans="1:19" s="26" customFormat="1" x14ac:dyDescent="0.25">
      <c r="B714" s="234"/>
      <c r="C714" s="234"/>
      <c r="D714" s="234"/>
      <c r="E714" s="234"/>
      <c r="F714" s="234"/>
      <c r="G714" s="234"/>
      <c r="H714" s="234"/>
      <c r="I714" s="234"/>
      <c r="J714" s="234"/>
      <c r="K714" s="234"/>
      <c r="L714" s="234"/>
      <c r="M714" s="234"/>
      <c r="N714" s="234"/>
      <c r="O714" s="234"/>
      <c r="P714" s="234"/>
      <c r="Q714" s="234"/>
      <c r="R714" s="234"/>
      <c r="S714" s="234"/>
    </row>
    <row r="715" spans="1:19" s="26" customFormat="1" x14ac:dyDescent="0.25">
      <c r="B715" s="234"/>
      <c r="C715" s="234"/>
      <c r="D715" s="234"/>
      <c r="E715" s="234"/>
      <c r="F715" s="234"/>
      <c r="G715" s="234"/>
      <c r="H715" s="234"/>
      <c r="I715" s="234"/>
      <c r="J715" s="234"/>
      <c r="K715" s="234"/>
      <c r="L715" s="234"/>
      <c r="M715" s="234"/>
      <c r="N715" s="234"/>
      <c r="O715" s="234"/>
      <c r="P715" s="234"/>
      <c r="Q715" s="234"/>
      <c r="R715" s="234"/>
      <c r="S715" s="234"/>
    </row>
    <row r="716" spans="1:19" s="26" customFormat="1" x14ac:dyDescent="0.25">
      <c r="B716" s="234"/>
      <c r="C716" s="234"/>
      <c r="D716" s="234"/>
      <c r="E716" s="234"/>
      <c r="F716" s="234"/>
      <c r="G716" s="234"/>
      <c r="H716" s="234"/>
      <c r="I716" s="234"/>
      <c r="J716" s="234"/>
      <c r="K716" s="234"/>
      <c r="L716" s="234"/>
      <c r="M716" s="234"/>
      <c r="N716" s="234"/>
      <c r="O716" s="234"/>
      <c r="P716" s="234"/>
      <c r="Q716" s="234"/>
      <c r="R716" s="234"/>
      <c r="S716" s="234"/>
    </row>
    <row r="717" spans="1:19" s="26" customFormat="1" x14ac:dyDescent="0.25">
      <c r="B717" s="234"/>
      <c r="C717" s="234"/>
      <c r="D717" s="234"/>
      <c r="E717" s="234"/>
      <c r="F717" s="234"/>
      <c r="G717" s="234"/>
      <c r="H717" s="234"/>
      <c r="I717" s="234"/>
      <c r="J717" s="234"/>
      <c r="K717" s="234"/>
      <c r="L717" s="234"/>
      <c r="M717" s="234"/>
      <c r="N717" s="234"/>
      <c r="O717" s="234"/>
      <c r="P717" s="234"/>
      <c r="Q717" s="234"/>
      <c r="R717" s="234"/>
      <c r="S717" s="234"/>
    </row>
    <row r="718" spans="1:19" s="26" customFormat="1" x14ac:dyDescent="0.25">
      <c r="B718" s="234"/>
      <c r="C718" s="234"/>
      <c r="D718" s="234"/>
      <c r="E718" s="234"/>
      <c r="F718" s="234"/>
      <c r="G718" s="234"/>
      <c r="H718" s="234"/>
      <c r="I718" s="234"/>
      <c r="J718" s="234"/>
      <c r="K718" s="234"/>
      <c r="L718" s="234"/>
      <c r="M718" s="234"/>
      <c r="N718" s="234"/>
      <c r="O718" s="234"/>
      <c r="P718" s="234"/>
      <c r="Q718" s="234"/>
      <c r="R718" s="234"/>
      <c r="S718" s="234"/>
    </row>
    <row r="719" spans="1:19" s="26" customFormat="1" x14ac:dyDescent="0.25">
      <c r="B719" s="234"/>
      <c r="C719" s="234"/>
      <c r="D719" s="234"/>
      <c r="E719" s="234"/>
      <c r="F719" s="234"/>
      <c r="G719" s="234"/>
      <c r="H719" s="234"/>
      <c r="I719" s="234"/>
      <c r="J719" s="234"/>
      <c r="K719" s="234"/>
      <c r="L719" s="234"/>
      <c r="M719" s="234"/>
      <c r="N719" s="234"/>
      <c r="O719" s="234"/>
      <c r="P719" s="234"/>
      <c r="Q719" s="234"/>
      <c r="R719" s="234"/>
      <c r="S719" s="234"/>
    </row>
    <row r="720" spans="1:19" s="26" customFormat="1" x14ac:dyDescent="0.25">
      <c r="B720" s="234"/>
      <c r="C720" s="234"/>
      <c r="D720" s="234"/>
      <c r="E720" s="234"/>
      <c r="F720" s="234"/>
      <c r="G720" s="234"/>
      <c r="H720" s="234"/>
      <c r="I720" s="234"/>
      <c r="J720" s="234"/>
      <c r="K720" s="234"/>
      <c r="L720" s="234"/>
      <c r="M720" s="234"/>
      <c r="N720" s="234"/>
      <c r="O720" s="234"/>
      <c r="P720" s="234"/>
      <c r="Q720" s="234"/>
      <c r="R720" s="234"/>
      <c r="S720" s="234"/>
    </row>
    <row r="721" spans="1:22" s="26" customFormat="1" x14ac:dyDescent="0.25">
      <c r="B721" s="234"/>
      <c r="C721" s="234"/>
      <c r="D721" s="234"/>
      <c r="E721" s="234"/>
      <c r="F721" s="234"/>
      <c r="G721" s="234"/>
      <c r="H721" s="234"/>
      <c r="I721" s="234"/>
      <c r="J721" s="234"/>
      <c r="K721" s="234"/>
      <c r="L721" s="234"/>
      <c r="M721" s="234"/>
      <c r="N721" s="234"/>
      <c r="O721" s="234"/>
      <c r="P721" s="234"/>
      <c r="Q721" s="234"/>
      <c r="R721" s="234"/>
      <c r="S721" s="234"/>
    </row>
    <row r="724" spans="1:22" ht="15.75" thickBot="1" x14ac:dyDescent="0.3"/>
    <row r="725" spans="1:22" s="26" customFormat="1" ht="15.75" thickBot="1" x14ac:dyDescent="0.3">
      <c r="B725" s="410" t="str">
        <f>CONCATENATE("Comparator 8: ",NameComparator8)</f>
        <v xml:space="preserve">Comparator 8: </v>
      </c>
      <c r="C725" s="411"/>
      <c r="D725" s="411"/>
      <c r="E725" s="411"/>
      <c r="F725" s="411"/>
      <c r="G725" s="412"/>
    </row>
    <row r="726" spans="1:22" s="26" customFormat="1" x14ac:dyDescent="0.25">
      <c r="B726" s="227"/>
      <c r="C726" s="227"/>
      <c r="D726" s="227"/>
      <c r="F726" s="278"/>
      <c r="G726" s="278"/>
      <c r="H726" s="278"/>
      <c r="I726" s="278"/>
      <c r="J726" s="278"/>
    </row>
    <row r="727" spans="1:22" s="26" customFormat="1" x14ac:dyDescent="0.25"/>
    <row r="728" spans="1:22" s="26" customFormat="1" ht="28.5" customHeight="1" thickBot="1" x14ac:dyDescent="0.3">
      <c r="B728" s="334" t="s">
        <v>118</v>
      </c>
      <c r="C728" s="334"/>
      <c r="D728" s="334"/>
      <c r="E728" s="334"/>
      <c r="K728" s="408" t="s">
        <v>209</v>
      </c>
      <c r="L728" s="408"/>
      <c r="M728" s="408"/>
      <c r="N728" s="408"/>
      <c r="O728" s="408"/>
      <c r="P728" s="225"/>
      <c r="Q728" s="225"/>
      <c r="R728" s="225"/>
      <c r="S728" s="225"/>
      <c r="T728" s="225"/>
      <c r="U728" s="225"/>
      <c r="V728" s="225"/>
    </row>
    <row r="729" spans="1:22" s="26" customFormat="1" ht="18.95" customHeight="1" thickBot="1" x14ac:dyDescent="0.3">
      <c r="B729" s="465" t="s">
        <v>119</v>
      </c>
      <c r="C729" s="466"/>
      <c r="D729" s="466"/>
      <c r="E729" s="466"/>
      <c r="F729" s="466"/>
      <c r="G729" s="466"/>
      <c r="H729" s="466"/>
      <c r="I729" s="467"/>
      <c r="K729" s="408"/>
      <c r="L729" s="408"/>
      <c r="M729" s="408"/>
      <c r="N729" s="408"/>
      <c r="O729" s="408"/>
      <c r="P729" s="225"/>
      <c r="Q729" s="225"/>
      <c r="R729" s="225"/>
      <c r="S729" s="225"/>
      <c r="T729" s="225"/>
      <c r="U729" s="225"/>
      <c r="V729" s="225"/>
    </row>
    <row r="730" spans="1:22" s="26" customFormat="1" ht="15.75" thickBot="1" x14ac:dyDescent="0.3">
      <c r="B730" s="285"/>
      <c r="C730" s="283"/>
      <c r="D730" s="283"/>
      <c r="E730" s="283"/>
      <c r="F730" s="466" t="s">
        <v>120</v>
      </c>
      <c r="G730" s="466"/>
      <c r="H730" s="466"/>
      <c r="I730" s="467"/>
      <c r="K730" s="14"/>
    </row>
    <row r="731" spans="1:22" s="26" customFormat="1" ht="15.75" thickBot="1" x14ac:dyDescent="0.3">
      <c r="B731" s="472" t="s">
        <v>174</v>
      </c>
      <c r="C731" s="473"/>
      <c r="D731" s="473"/>
      <c r="E731" s="474"/>
      <c r="F731" s="149"/>
      <c r="G731" s="149"/>
      <c r="H731" s="149"/>
      <c r="I731" s="149"/>
      <c r="K731" s="14" t="s">
        <v>180</v>
      </c>
    </row>
    <row r="732" spans="1:22" s="26" customFormat="1" ht="30" customHeight="1" thickBot="1" x14ac:dyDescent="0.3">
      <c r="B732" s="472" t="s">
        <v>106</v>
      </c>
      <c r="C732" s="473"/>
      <c r="D732" s="473"/>
      <c r="E732" s="474"/>
      <c r="F732" s="235"/>
      <c r="G732" s="235"/>
      <c r="H732" s="235"/>
      <c r="I732" s="235"/>
      <c r="J732" s="26" t="s">
        <v>104</v>
      </c>
      <c r="K732" s="408" t="s">
        <v>181</v>
      </c>
      <c r="L732" s="408"/>
      <c r="M732" s="408"/>
      <c r="N732" s="408"/>
      <c r="O732" s="408"/>
      <c r="P732" s="21"/>
      <c r="Q732" s="21"/>
      <c r="R732" s="21"/>
      <c r="S732" s="21"/>
      <c r="T732" s="21"/>
    </row>
    <row r="733" spans="1:22" s="26" customFormat="1" ht="15.75" thickBot="1" x14ac:dyDescent="0.3">
      <c r="A733" s="14"/>
      <c r="B733" s="472" t="s">
        <v>107</v>
      </c>
      <c r="C733" s="473"/>
      <c r="D733" s="473"/>
      <c r="E733" s="474"/>
      <c r="F733" s="151"/>
      <c r="G733" s="151"/>
      <c r="H733" s="151"/>
      <c r="I733" s="151"/>
      <c r="J733" s="236"/>
      <c r="K733" s="110" t="s">
        <v>182</v>
      </c>
      <c r="N733" s="21"/>
      <c r="O733" s="21"/>
      <c r="P733" s="21"/>
      <c r="Q733" s="21"/>
      <c r="R733" s="21"/>
      <c r="S733" s="21"/>
      <c r="T733" s="21"/>
    </row>
    <row r="734" spans="1:22" s="26" customFormat="1" ht="15.75" thickBot="1" x14ac:dyDescent="0.3">
      <c r="A734" s="15"/>
      <c r="B734" s="472" t="s">
        <v>108</v>
      </c>
      <c r="C734" s="473"/>
      <c r="D734" s="473"/>
      <c r="E734" s="474"/>
      <c r="F734" s="489"/>
      <c r="G734" s="490"/>
      <c r="H734" s="490"/>
      <c r="I734" s="491"/>
      <c r="J734" s="237" t="s">
        <v>104</v>
      </c>
      <c r="K734" s="110" t="s">
        <v>210</v>
      </c>
    </row>
    <row r="735" spans="1:22" s="26" customFormat="1" ht="15.75" thickBot="1" x14ac:dyDescent="0.3">
      <c r="A735" s="15"/>
      <c r="B735" s="472" t="s">
        <v>74</v>
      </c>
      <c r="C735" s="473"/>
      <c r="D735" s="473"/>
      <c r="E735" s="474"/>
      <c r="F735" s="492"/>
      <c r="G735" s="493"/>
      <c r="H735" s="493"/>
      <c r="I735" s="494"/>
      <c r="J735" s="237" t="s">
        <v>104</v>
      </c>
      <c r="K735" s="110" t="s">
        <v>184</v>
      </c>
    </row>
    <row r="736" spans="1:22" s="26" customFormat="1" ht="15.75" thickBot="1" x14ac:dyDescent="0.3">
      <c r="B736" s="472" t="s">
        <v>75</v>
      </c>
      <c r="C736" s="473"/>
      <c r="D736" s="473"/>
      <c r="E736" s="474"/>
      <c r="F736" s="492"/>
      <c r="G736" s="493"/>
      <c r="H736" s="493"/>
      <c r="I736" s="494"/>
      <c r="J736" s="26" t="s">
        <v>104</v>
      </c>
      <c r="K736" s="110" t="s">
        <v>185</v>
      </c>
    </row>
    <row r="737" spans="1:22" s="26" customFormat="1" ht="15.75" thickBot="1" x14ac:dyDescent="0.3">
      <c r="B737" s="472" t="s">
        <v>76</v>
      </c>
      <c r="C737" s="473"/>
      <c r="D737" s="473"/>
      <c r="E737" s="474"/>
      <c r="F737" s="492"/>
      <c r="G737" s="493"/>
      <c r="H737" s="493"/>
      <c r="I737" s="494"/>
      <c r="J737" s="237" t="s">
        <v>104</v>
      </c>
      <c r="K737" s="110" t="s">
        <v>219</v>
      </c>
    </row>
    <row r="738" spans="1:22" s="26" customFormat="1" ht="15.75" thickBot="1" x14ac:dyDescent="0.3">
      <c r="B738" s="472" t="s">
        <v>172</v>
      </c>
      <c r="C738" s="473"/>
      <c r="D738" s="473"/>
      <c r="E738" s="474"/>
      <c r="F738" s="492"/>
      <c r="G738" s="493"/>
      <c r="H738" s="493"/>
      <c r="I738" s="494"/>
      <c r="J738" s="237" t="s">
        <v>104</v>
      </c>
      <c r="K738" s="110" t="s">
        <v>217</v>
      </c>
    </row>
    <row r="739" spans="1:22" s="26" customFormat="1" ht="15.75" thickBot="1" x14ac:dyDescent="0.3">
      <c r="B739" s="472" t="s">
        <v>173</v>
      </c>
      <c r="C739" s="473"/>
      <c r="D739" s="473"/>
      <c r="E739" s="474"/>
      <c r="F739" s="492"/>
      <c r="G739" s="493"/>
      <c r="H739" s="493"/>
      <c r="I739" s="494"/>
      <c r="J739" s="237" t="s">
        <v>104</v>
      </c>
      <c r="K739" s="110" t="s">
        <v>218</v>
      </c>
    </row>
    <row r="740" spans="1:22" s="26" customFormat="1" ht="30" customHeight="1" x14ac:dyDescent="0.25">
      <c r="B740" s="112"/>
      <c r="C740" s="112"/>
      <c r="D740" s="112"/>
      <c r="E740" s="278"/>
      <c r="F740" s="278"/>
      <c r="G740" s="238"/>
      <c r="H740" s="278"/>
      <c r="I740" s="278"/>
      <c r="J740" s="239"/>
      <c r="K740" s="110"/>
    </row>
    <row r="741" spans="1:22" s="26" customFormat="1" ht="15.75" thickBot="1" x14ac:dyDescent="0.3">
      <c r="B741" s="334" t="s">
        <v>171</v>
      </c>
      <c r="C741" s="334"/>
      <c r="D741" s="334"/>
      <c r="E741" s="334"/>
      <c r="F741" s="278"/>
      <c r="G741" s="278"/>
      <c r="H741" s="278"/>
      <c r="I741" s="278"/>
      <c r="J741" s="239"/>
      <c r="K741" s="404" t="s">
        <v>195</v>
      </c>
      <c r="L741" s="404"/>
      <c r="M741" s="404"/>
      <c r="N741" s="404"/>
      <c r="O741" s="404"/>
      <c r="P741" s="274"/>
      <c r="Q741" s="274"/>
      <c r="R741" s="274"/>
      <c r="S741" s="274"/>
      <c r="T741" s="274"/>
      <c r="U741" s="274"/>
      <c r="V741" s="274"/>
    </row>
    <row r="742" spans="1:22" s="26" customFormat="1" ht="29.1" customHeight="1" thickBot="1" x14ac:dyDescent="0.3">
      <c r="B742" s="465" t="s">
        <v>121</v>
      </c>
      <c r="C742" s="466"/>
      <c r="D742" s="466"/>
      <c r="E742" s="466"/>
      <c r="F742" s="466"/>
      <c r="G742" s="466"/>
      <c r="H742" s="466"/>
      <c r="I742" s="467"/>
      <c r="J742" s="239"/>
      <c r="K742" s="404"/>
      <c r="L742" s="404"/>
      <c r="M742" s="404"/>
      <c r="N742" s="404"/>
      <c r="O742" s="404"/>
      <c r="P742" s="274"/>
      <c r="Q742" s="274"/>
      <c r="R742" s="274"/>
      <c r="S742" s="274"/>
      <c r="T742" s="274"/>
      <c r="U742" s="274"/>
      <c r="V742" s="274"/>
    </row>
    <row r="743" spans="1:22" s="26" customFormat="1" ht="30" customHeight="1" thickBot="1" x14ac:dyDescent="0.3">
      <c r="B743" s="472" t="s">
        <v>122</v>
      </c>
      <c r="C743" s="473"/>
      <c r="D743" s="473"/>
      <c r="E743" s="474"/>
      <c r="F743" s="468"/>
      <c r="G743" s="469"/>
      <c r="H743" s="470"/>
      <c r="I743" s="471"/>
      <c r="J743" s="239"/>
      <c r="K743" s="408" t="s">
        <v>186</v>
      </c>
      <c r="L743" s="408"/>
      <c r="M743" s="408"/>
      <c r="N743" s="408"/>
      <c r="O743" s="408"/>
    </row>
    <row r="744" spans="1:22" s="26" customFormat="1" ht="23.1" customHeight="1" thickBot="1" x14ac:dyDescent="0.3">
      <c r="B744" s="472" t="str">
        <f>B731</f>
        <v>Pack Identification</v>
      </c>
      <c r="C744" s="473"/>
      <c r="D744" s="473"/>
      <c r="E744" s="474"/>
      <c r="F744" s="192" t="str">
        <f>IF(ISBLANK(F731),"",F731)</f>
        <v/>
      </c>
      <c r="G744" s="192" t="str">
        <f t="shared" ref="G744:I744" si="63">IF(ISBLANK(G731),"",G731)</f>
        <v/>
      </c>
      <c r="H744" s="192" t="str">
        <f t="shared" si="63"/>
        <v/>
      </c>
      <c r="I744" s="192" t="str">
        <f t="shared" si="63"/>
        <v/>
      </c>
      <c r="J744" s="239"/>
      <c r="K744" s="408"/>
      <c r="L744" s="408"/>
      <c r="M744" s="408"/>
      <c r="N744" s="408"/>
      <c r="O744" s="408"/>
    </row>
    <row r="745" spans="1:22" s="26" customFormat="1" ht="15.75" thickBot="1" x14ac:dyDescent="0.3">
      <c r="B745" s="512" t="s">
        <v>123</v>
      </c>
      <c r="C745" s="513"/>
      <c r="D745" s="513"/>
      <c r="E745" s="514"/>
      <c r="F745" s="145"/>
      <c r="G745" s="154"/>
      <c r="H745" s="154"/>
      <c r="I745" s="154"/>
      <c r="J745" s="239"/>
      <c r="K745" s="408" t="s">
        <v>187</v>
      </c>
      <c r="L745" s="408"/>
      <c r="M745" s="408"/>
      <c r="N745" s="408"/>
      <c r="O745" s="408"/>
    </row>
    <row r="746" spans="1:22" s="26" customFormat="1" ht="75.75" customHeight="1" x14ac:dyDescent="0.25">
      <c r="B746" s="284"/>
      <c r="C746" s="284"/>
      <c r="D746" s="284"/>
      <c r="E746" s="284"/>
      <c r="F746" s="278"/>
      <c r="G746" s="278"/>
      <c r="H746" s="278"/>
      <c r="I746" s="278"/>
      <c r="J746" s="239"/>
      <c r="K746" s="408"/>
      <c r="L746" s="408"/>
      <c r="M746" s="408"/>
      <c r="N746" s="408"/>
      <c r="O746" s="408"/>
    </row>
    <row r="747" spans="1:22" s="26" customFormat="1" x14ac:dyDescent="0.25">
      <c r="B747" s="511"/>
      <c r="C747" s="511"/>
      <c r="D747" s="511"/>
      <c r="E747" s="511"/>
      <c r="K747" s="408"/>
      <c r="L747" s="408"/>
      <c r="M747" s="408"/>
      <c r="N747" s="408"/>
      <c r="O747" s="408"/>
    </row>
    <row r="748" spans="1:22" s="26" customFormat="1" x14ac:dyDescent="0.25">
      <c r="B748" s="278"/>
      <c r="C748" s="278"/>
      <c r="D748" s="278"/>
      <c r="E748" s="278"/>
      <c r="O748" s="21"/>
    </row>
    <row r="749" spans="1:22" s="26" customFormat="1" x14ac:dyDescent="0.25">
      <c r="A749" s="155"/>
      <c r="B749" s="286" t="s">
        <v>124</v>
      </c>
      <c r="C749" s="273"/>
      <c r="D749" s="66"/>
      <c r="E749" s="66"/>
      <c r="F749" s="390"/>
      <c r="G749" s="390"/>
      <c r="H749" s="390"/>
      <c r="I749" s="390"/>
      <c r="O749" s="21"/>
    </row>
    <row r="750" spans="1:22" s="26" customFormat="1" x14ac:dyDescent="0.25">
      <c r="A750" s="14" t="s">
        <v>125</v>
      </c>
      <c r="B750" s="273"/>
      <c r="C750" s="273"/>
      <c r="D750" s="66"/>
      <c r="E750" s="66"/>
      <c r="F750" s="273"/>
      <c r="G750" s="273"/>
      <c r="H750" s="273"/>
      <c r="I750" s="273"/>
      <c r="O750" s="21"/>
    </row>
    <row r="751" spans="1:22" s="26" customFormat="1" ht="15.75" thickBot="1" x14ac:dyDescent="0.3">
      <c r="B751" s="66"/>
      <c r="C751" s="66"/>
      <c r="D751" s="66"/>
      <c r="E751" s="66"/>
      <c r="F751" s="390" t="s">
        <v>126</v>
      </c>
      <c r="G751" s="390"/>
      <c r="H751" s="390"/>
      <c r="I751" s="390"/>
      <c r="O751" s="21"/>
    </row>
    <row r="752" spans="1:22" s="26" customFormat="1" ht="15.75" thickBot="1" x14ac:dyDescent="0.3">
      <c r="B752" s="66"/>
      <c r="C752" s="66"/>
      <c r="D752" s="66"/>
      <c r="E752" s="66"/>
      <c r="F752" s="156" t="str">
        <f>IF(F731="","",F731)</f>
        <v/>
      </c>
      <c r="G752" s="156" t="str">
        <f>IF(G731="","",G731)</f>
        <v/>
      </c>
      <c r="H752" s="156" t="str">
        <f>IF(H731="","",H731)</f>
        <v/>
      </c>
      <c r="I752" s="156" t="str">
        <f>IF(I731="","",I731)</f>
        <v/>
      </c>
      <c r="O752" s="21"/>
    </row>
    <row r="753" spans="1:15" s="26" customFormat="1" x14ac:dyDescent="0.25">
      <c r="A753" s="91" t="s">
        <v>77</v>
      </c>
      <c r="B753" s="475" t="s">
        <v>82</v>
      </c>
      <c r="C753" s="476"/>
      <c r="D753" s="476"/>
      <c r="E753" s="240"/>
      <c r="F753" s="241" t="str">
        <f>IF(OR(F732="",F733="",F734=""),"",IF(F732="Price to Wholesaler",F733,IF(F732="Reimbursement Price",(F755/(1+E754)*1),"Error")))</f>
        <v/>
      </c>
      <c r="G753" s="241" t="str">
        <f>IF(OR(G732="",G733="",F734=""),"",IF(G732="Price to Wholesaler",G733,IF(G732="Reimbursement Price",(G755/(1+E754)*1),"Error")))</f>
        <v/>
      </c>
      <c r="H753" s="241" t="str">
        <f>IF(OR(H732="",H733="",F734=""),"",IF(H732="Price to Wholesaler",H733,IF(H732="Reimbursement Price",(H755/(1+E754)*1),"Error")))</f>
        <v/>
      </c>
      <c r="I753" s="241" t="str">
        <f>IF(OR(I732="",I733="",F734=""),"",IF(I732="Price to Wholesaler",I733,IF(I732="Reimbursement Price",(I755/(1+E754)*1),"Error")))</f>
        <v/>
      </c>
      <c r="O753" s="21"/>
    </row>
    <row r="754" spans="1:15" s="26" customFormat="1" x14ac:dyDescent="0.25">
      <c r="A754" s="282" t="s">
        <v>78</v>
      </c>
      <c r="B754" s="477" t="s">
        <v>83</v>
      </c>
      <c r="C754" s="478"/>
      <c r="D754" s="478"/>
      <c r="E754" s="93" t="str">
        <f>IF(OR(F734=""),"",IF(AND(F734="CDS",F735="Yes"),CYF,IF(AND(F734="CDS",F735="No"),CNF,IF(F734="HT",CHT,IF(F734="Hosp",CHO,"Error")))))</f>
        <v/>
      </c>
      <c r="F754" s="242" t="str">
        <f>IF(OR(F734="",F733="",F732=""),"",F753*E754)</f>
        <v/>
      </c>
      <c r="G754" s="242" t="str">
        <f>IF(OR(F734="",G733="",G732=""),"",G753*E754)</f>
        <v/>
      </c>
      <c r="H754" s="242" t="str">
        <f>IF(OR(F734="",H733="",H732=""),"",H753*E754)</f>
        <v/>
      </c>
      <c r="I754" s="242" t="str">
        <f>IF(OR(F734="",I733="",I732=""),"",I753*E754)</f>
        <v/>
      </c>
      <c r="O754" s="21"/>
    </row>
    <row r="755" spans="1:15" s="26" customFormat="1" x14ac:dyDescent="0.25">
      <c r="A755" s="282" t="s">
        <v>79</v>
      </c>
      <c r="B755" s="477" t="str">
        <f>IF(F734="Hosp","Hospital Price", "Reimbursement Price")</f>
        <v>Reimbursement Price</v>
      </c>
      <c r="C755" s="478"/>
      <c r="D755" s="478"/>
      <c r="E755" s="243" t="str">
        <f>IF(F732="Price to Wholesaler","A+B","")</f>
        <v/>
      </c>
      <c r="F755" s="242" t="str">
        <f>IF(F732="Reimbursement Price",F733,IF(ISBLANK(E754),"",IF(F732="Price to Wholesaler",(F753+F754),IF(F732="","","Error"))))</f>
        <v/>
      </c>
      <c r="G755" s="242" t="str">
        <f>IF(G732="Reimbursement Price",G733,IF(ISBLANK(E754),"",IF(G732="Price to Wholesaler",(G753+G754),IF(G732="","","Error"))))</f>
        <v/>
      </c>
      <c r="H755" s="242" t="str">
        <f>IF(H732="Reimbursement Price",H733,IF(ISBLANK(E754),"",IF(H732="Price to Wholesaler",(H753+H754),IF(H732="","","Error"))))</f>
        <v/>
      </c>
      <c r="I755" s="242" t="str">
        <f>IF(I732="Reimbursement Price",I733,IF(ISBLANK(E754),"",IF(I732="Price to Wholesaler",(I753+I754),IF(I732="","","Error"))))</f>
        <v/>
      </c>
      <c r="O755" s="21"/>
    </row>
    <row r="756" spans="1:15" s="26" customFormat="1" x14ac:dyDescent="0.25">
      <c r="A756" s="282" t="s">
        <v>80</v>
      </c>
      <c r="B756" s="477" t="s">
        <v>214</v>
      </c>
      <c r="C756" s="478"/>
      <c r="D756" s="478"/>
      <c r="E756" s="268" t="str">
        <f>IF(OR(F737="",AND(F737="Yes",F738=""),AND(F737="No",F739="")),"",IF(AND(F737="No",F739="Patented Exclusive or Off Patent Exclusive and subject to clause 10 of Framework Agreement"),MR,IF(AND(F737="No",F739="Off Patent Non-Exclusive or Generic"),"None",IF(AND(F737="Yes",F738="Biosimilar"),"None",IF(AND(F737="Yes",F738="Patented or Off Patent Exclusive"),MR,IF(AND(F737="Yes",F738="Off Patent Non-Exclusive 12.5% Rebate incorporated into Price to Wholesaler"),"None",IF(AND(F737="Yes",F738="Off Patent Non-Exclusive 12.5% Rebate"),MRB,"Error")))))))</f>
        <v/>
      </c>
      <c r="F756" s="242" t="str">
        <f>IF(OR(F737="",AND(F737="Yes",F738=""),AND(F737="No",F739=""),F732="",ISBLANK(F733)),"",IF(E756="None",0,(E756*F753)))</f>
        <v/>
      </c>
      <c r="G756" s="242" t="str">
        <f>IF(OR(F737="",AND(F737="Yes",F738=""),AND(F737="No",F739=""),G732="",ISBLANK(G733)),"",IF(E756="None",0,(E756*G753)))</f>
        <v/>
      </c>
      <c r="H756" s="242" t="str">
        <f>IF(OR(F737="",AND(F737="Yes",F738=""),AND(F737="No",F739=""),H732="",ISBLANK(H733)),"",IF(E756="None",0,(E756*H753)))</f>
        <v/>
      </c>
      <c r="I756" s="242" t="str">
        <f>IF(OR(F737="",AND(F737="Yes",F738=""),AND(F737="No",F739=""),I732="",ISBLANK(I733)),"",IF(E756="None",0,(E756*I753)))</f>
        <v/>
      </c>
      <c r="O756" s="21"/>
    </row>
    <row r="757" spans="1:15" s="26" customFormat="1" ht="15.75" thickBot="1" x14ac:dyDescent="0.3">
      <c r="A757" s="280" t="s">
        <v>81</v>
      </c>
      <c r="B757" s="479" t="s">
        <v>94</v>
      </c>
      <c r="C757" s="480"/>
      <c r="D757" s="480"/>
      <c r="E757" s="160" t="str">
        <f>IF(F736="","",IF(F736="Yes",0,VT))</f>
        <v/>
      </c>
      <c r="F757" s="244" t="str">
        <f>IF(OR($B736="",F733="",ISBLANK(F733)),"",($E757*F755))</f>
        <v/>
      </c>
      <c r="G757" s="244" t="str">
        <f t="shared" ref="G757:I757" si="64">IF(OR($B736="",G733="",ISBLANK(G733)),"",($E757*G755))</f>
        <v/>
      </c>
      <c r="H757" s="244" t="str">
        <f t="shared" si="64"/>
        <v/>
      </c>
      <c r="I757" s="244" t="str">
        <f t="shared" si="64"/>
        <v/>
      </c>
      <c r="O757" s="21"/>
    </row>
    <row r="758" spans="1:15" s="26" customFormat="1" ht="15.75" thickBot="1" x14ac:dyDescent="0.3">
      <c r="A758" s="279" t="s">
        <v>127</v>
      </c>
      <c r="B758" s="481" t="s">
        <v>128</v>
      </c>
      <c r="C758" s="481"/>
      <c r="D758" s="481"/>
      <c r="E758" s="279"/>
      <c r="F758" s="245" t="str">
        <f>IF(OR(F732="",$F734="",$F736="",$F737=""),"",SUM(F755:F757))</f>
        <v/>
      </c>
      <c r="G758" s="245" t="str">
        <f t="shared" ref="G758:I758" si="65">IF(OR(G732="",$F734="",$F736="",$F737=""),"",SUM(G755:G757))</f>
        <v/>
      </c>
      <c r="H758" s="245" t="str">
        <f t="shared" si="65"/>
        <v/>
      </c>
      <c r="I758" s="245" t="str">
        <f t="shared" si="65"/>
        <v/>
      </c>
      <c r="O758" s="21"/>
    </row>
    <row r="759" spans="1:15" s="26" customFormat="1" ht="15.75" thickBot="1" x14ac:dyDescent="0.3">
      <c r="A759" s="279" t="s">
        <v>129</v>
      </c>
      <c r="B759" s="482" t="s">
        <v>130</v>
      </c>
      <c r="C759" s="482"/>
      <c r="D759" s="482"/>
      <c r="E759" s="245"/>
      <c r="F759" s="245" t="str">
        <f>IF(OR(F732="",$F734="",$F736="",$F737=""),"",SUM(F755:F756))</f>
        <v/>
      </c>
      <c r="G759" s="245" t="str">
        <f t="shared" ref="G759:I759" si="66">IF(OR(G732="",$F734="",$F736="",$F737=""),"",SUM(G755:G756))</f>
        <v/>
      </c>
      <c r="H759" s="245" t="str">
        <f t="shared" si="66"/>
        <v/>
      </c>
      <c r="I759" s="245" t="str">
        <f t="shared" si="66"/>
        <v/>
      </c>
      <c r="O759" s="21"/>
    </row>
    <row r="760" spans="1:15" s="26" customFormat="1" x14ac:dyDescent="0.25">
      <c r="B760" s="66"/>
      <c r="C760" s="66"/>
      <c r="D760" s="66"/>
      <c r="E760" s="66"/>
      <c r="K760" s="26" t="s">
        <v>131</v>
      </c>
      <c r="O760" s="21"/>
    </row>
    <row r="761" spans="1:15" s="26" customFormat="1" x14ac:dyDescent="0.25">
      <c r="A761" s="155" t="s">
        <v>132</v>
      </c>
      <c r="B761" s="66"/>
      <c r="C761" s="66"/>
      <c r="D761" s="66"/>
      <c r="E761" s="66"/>
      <c r="F761" s="246"/>
      <c r="G761" s="246"/>
      <c r="H761" s="246"/>
      <c r="I761" s="246"/>
      <c r="O761" s="21"/>
    </row>
    <row r="762" spans="1:15" s="26" customFormat="1" x14ac:dyDescent="0.25">
      <c r="A762" s="125"/>
      <c r="B762" s="125" t="s">
        <v>133</v>
      </c>
      <c r="C762" s="125"/>
      <c r="D762" s="125"/>
      <c r="E762" s="125"/>
      <c r="F762" s="125"/>
      <c r="G762" s="125"/>
      <c r="H762" s="125"/>
      <c r="O762" s="21"/>
    </row>
    <row r="763" spans="1:15" s="26" customFormat="1" x14ac:dyDescent="0.25">
      <c r="B763" s="21" t="s">
        <v>134</v>
      </c>
      <c r="C763" s="229"/>
      <c r="D763" s="229"/>
      <c r="E763" s="66"/>
      <c r="O763" s="21"/>
    </row>
    <row r="764" spans="1:15" s="26" customFormat="1" ht="15.75" thickBot="1" x14ac:dyDescent="0.3">
      <c r="B764" s="165"/>
      <c r="C764" s="229"/>
      <c r="D764" s="229"/>
      <c r="E764" s="66"/>
      <c r="O764" s="21"/>
    </row>
    <row r="765" spans="1:15" s="26" customFormat="1" ht="15.75" thickBot="1" x14ac:dyDescent="0.3">
      <c r="B765" s="230"/>
      <c r="C765" s="66"/>
      <c r="D765" s="66"/>
      <c r="E765" s="66"/>
      <c r="G765" s="13" t="s">
        <v>135</v>
      </c>
      <c r="H765" s="13" t="s">
        <v>136</v>
      </c>
      <c r="O765" s="21"/>
    </row>
    <row r="766" spans="1:15" s="26" customFormat="1" x14ac:dyDescent="0.25">
      <c r="B766" s="483" t="s">
        <v>137</v>
      </c>
      <c r="C766" s="484"/>
      <c r="D766" s="484"/>
      <c r="E766" s="484"/>
      <c r="F766" s="485"/>
      <c r="G766" s="247" t="str">
        <f>IF(F734="","",IF(F734="CDS","per dispensing",IF(F734="HT","per month",IF(F734="Hosp","No Fee", ERROR))))</f>
        <v/>
      </c>
      <c r="H766" s="248" t="str">
        <f>IF(F734="","",IF(F734="CDS",DF,IF(F734="HT",PC,IF(F734="Hosp","No Fee",ERROR))))</f>
        <v/>
      </c>
      <c r="I766" s="26" t="s">
        <v>138</v>
      </c>
      <c r="O766" s="21"/>
    </row>
    <row r="767" spans="1:15" s="26" customFormat="1" ht="15.75" thickBot="1" x14ac:dyDescent="0.3">
      <c r="B767" s="486" t="s">
        <v>92</v>
      </c>
      <c r="C767" s="487"/>
      <c r="D767" s="487"/>
      <c r="E767" s="487"/>
      <c r="F767" s="488"/>
      <c r="G767" s="249" t="str">
        <f>IF(OR(F734="",F736=""),"",IF(F734="Hosp","No Fee",IF(F734="HT","No VAT",IF(AND(F734="CDS",F736="No"),VT,"No VAT"))))</f>
        <v/>
      </c>
      <c r="H767" s="250" t="str">
        <f>IF(OR(F736="",F734="Hosp"),"",IF(OR(F736="Yes",F734="HT"),0,H766*G767))</f>
        <v/>
      </c>
      <c r="O767" s="21"/>
    </row>
    <row r="768" spans="1:15" s="26" customFormat="1" x14ac:dyDescent="0.25">
      <c r="B768" s="230"/>
      <c r="C768" s="66"/>
      <c r="D768" s="66"/>
      <c r="E768" s="66"/>
      <c r="O768" s="21"/>
    </row>
    <row r="769" spans="1:20" s="26" customFormat="1" x14ac:dyDescent="0.25">
      <c r="B769" s="230"/>
      <c r="C769" s="66"/>
      <c r="D769" s="66"/>
      <c r="E769" s="66"/>
      <c r="O769" s="21"/>
    </row>
    <row r="770" spans="1:20" s="26" customFormat="1" ht="33.950000000000003" customHeight="1" thickBot="1" x14ac:dyDescent="0.3">
      <c r="A770" s="165" t="s">
        <v>193</v>
      </c>
      <c r="B770" s="230"/>
      <c r="C770" s="66"/>
      <c r="D770" s="66"/>
      <c r="E770" s="66"/>
      <c r="K770" s="408" t="s">
        <v>197</v>
      </c>
      <c r="L770" s="408"/>
      <c r="M770" s="408"/>
      <c r="N770" s="408"/>
      <c r="O770" s="408"/>
      <c r="P770" s="195"/>
      <c r="Q770" s="195"/>
      <c r="R770" s="195"/>
      <c r="S770" s="195"/>
      <c r="T770" s="195"/>
    </row>
    <row r="771" spans="1:20" s="26" customFormat="1" ht="17.100000000000001" customHeight="1" thickBot="1" x14ac:dyDescent="0.3">
      <c r="A771" s="14" t="s">
        <v>194</v>
      </c>
      <c r="B771" s="230"/>
      <c r="C771" s="66"/>
      <c r="D771" s="66"/>
      <c r="E771" s="66"/>
      <c r="G771" s="13" t="s">
        <v>101</v>
      </c>
      <c r="H771" s="13" t="s">
        <v>136</v>
      </c>
      <c r="K771" s="408" t="str">
        <f>IF(F734="HT","For High tech, if a treatment cycle =28 days the corresponding pharmacy fee is =62.03*12/365.25*28.  The pharmacy fee remains the same regardless of the number of products dispensed that month.",IF(F734="CDS","For CDS, if 2 packets of the same pack presentation are required per treatment cycle, one dispensing fee applies (€5.48). If multiple pack presentations are required, multiple dispensing fees apply",""))</f>
        <v/>
      </c>
      <c r="L771" s="408"/>
      <c r="M771" s="408"/>
      <c r="N771" s="408"/>
      <c r="O771" s="408"/>
      <c r="P771" s="195"/>
      <c r="Q771" s="195"/>
      <c r="R771" s="195"/>
      <c r="S771" s="195"/>
      <c r="T771" s="195"/>
    </row>
    <row r="772" spans="1:20" s="26" customFormat="1" ht="16.5" customHeight="1" x14ac:dyDescent="0.25">
      <c r="A772" s="170" t="s">
        <v>139</v>
      </c>
      <c r="B772" s="504" t="s">
        <v>140</v>
      </c>
      <c r="C772" s="504"/>
      <c r="D772" s="504"/>
      <c r="E772" s="504"/>
      <c r="F772" s="504"/>
      <c r="G772" s="251"/>
      <c r="H772" s="252"/>
      <c r="K772" s="408"/>
      <c r="L772" s="408"/>
      <c r="M772" s="408"/>
      <c r="N772" s="408"/>
      <c r="O772" s="408"/>
      <c r="P772" s="195"/>
      <c r="Q772" s="195"/>
      <c r="R772" s="195"/>
      <c r="S772" s="195"/>
      <c r="T772" s="195"/>
    </row>
    <row r="773" spans="1:20" s="26" customFormat="1" x14ac:dyDescent="0.25">
      <c r="A773" s="173" t="s">
        <v>141</v>
      </c>
      <c r="B773" s="505" t="s">
        <v>142</v>
      </c>
      <c r="C773" s="505"/>
      <c r="D773" s="505"/>
      <c r="E773" s="505"/>
      <c r="F773" s="505"/>
      <c r="G773" s="253"/>
      <c r="H773" s="254"/>
      <c r="K773" s="14" t="s">
        <v>188</v>
      </c>
      <c r="O773" s="21"/>
    </row>
    <row r="774" spans="1:20" s="26" customFormat="1" x14ac:dyDescent="0.25">
      <c r="A774" s="173" t="s">
        <v>143</v>
      </c>
      <c r="B774" s="505" t="s">
        <v>144</v>
      </c>
      <c r="C774" s="505"/>
      <c r="D774" s="505"/>
      <c r="E774" s="505"/>
      <c r="F774" s="505"/>
      <c r="G774" s="253"/>
      <c r="H774" s="254"/>
      <c r="K774" s="14" t="s">
        <v>189</v>
      </c>
      <c r="O774" s="21"/>
    </row>
    <row r="775" spans="1:20" s="26" customFormat="1" x14ac:dyDescent="0.25">
      <c r="A775" s="173" t="s">
        <v>145</v>
      </c>
      <c r="B775" s="505" t="s">
        <v>146</v>
      </c>
      <c r="C775" s="505"/>
      <c r="D775" s="505"/>
      <c r="E775" s="505"/>
      <c r="F775" s="505"/>
      <c r="G775" s="255"/>
      <c r="H775" s="256" t="str">
        <f>IF(ISBLANK(H772),"",SUM(H772:H774))</f>
        <v/>
      </c>
      <c r="O775" s="21"/>
    </row>
    <row r="776" spans="1:20" s="26" customFormat="1" ht="15.75" thickBot="1" x14ac:dyDescent="0.3">
      <c r="A776" s="178" t="s">
        <v>147</v>
      </c>
      <c r="B776" s="515" t="s">
        <v>196</v>
      </c>
      <c r="C776" s="515"/>
      <c r="D776" s="515"/>
      <c r="E776" s="515"/>
      <c r="F776" s="515"/>
      <c r="G776" s="257"/>
      <c r="H776" s="250" t="str">
        <f>IF(ISBLANK(H772),"",SUM(H772:H773))</f>
        <v/>
      </c>
      <c r="O776" s="21"/>
    </row>
    <row r="777" spans="1:20" s="26" customFormat="1" x14ac:dyDescent="0.25">
      <c r="B777" s="66"/>
      <c r="C777" s="66"/>
      <c r="D777" s="66"/>
      <c r="E777" s="66"/>
      <c r="O777" s="21"/>
    </row>
    <row r="778" spans="1:20" s="26" customFormat="1" x14ac:dyDescent="0.25">
      <c r="B778" s="66"/>
      <c r="C778" s="66"/>
      <c r="D778" s="66"/>
      <c r="E778" s="66"/>
      <c r="O778" s="21"/>
    </row>
    <row r="779" spans="1:20" s="26" customFormat="1" x14ac:dyDescent="0.25">
      <c r="A779" s="155" t="s">
        <v>148</v>
      </c>
      <c r="B779" s="66"/>
      <c r="C779" s="66"/>
      <c r="D779" s="66"/>
      <c r="E779" s="66"/>
      <c r="O779" s="21"/>
    </row>
    <row r="780" spans="1:20" s="26" customFormat="1" ht="15.75" thickBot="1" x14ac:dyDescent="0.3">
      <c r="B780" s="66"/>
      <c r="C780" s="66"/>
      <c r="D780" s="66"/>
      <c r="E780" s="66"/>
      <c r="O780" s="21"/>
    </row>
    <row r="781" spans="1:20" s="26" customFormat="1" ht="29.1" customHeight="1" x14ac:dyDescent="0.25">
      <c r="A781" s="65"/>
      <c r="B781" s="278"/>
      <c r="C781" s="278"/>
      <c r="D781" s="278"/>
      <c r="E781" s="278"/>
      <c r="F781" s="506" t="s">
        <v>149</v>
      </c>
      <c r="G781" s="180" t="s">
        <v>150</v>
      </c>
      <c r="H781" s="508" t="s">
        <v>151</v>
      </c>
      <c r="I781" s="180" t="s">
        <v>152</v>
      </c>
      <c r="J781" s="66"/>
      <c r="K781" s="408" t="s">
        <v>269</v>
      </c>
      <c r="L781" s="408"/>
      <c r="M781" s="408"/>
      <c r="N781" s="408"/>
      <c r="O781" s="408"/>
    </row>
    <row r="782" spans="1:20" s="26" customFormat="1" x14ac:dyDescent="0.25">
      <c r="A782" s="65"/>
      <c r="B782" s="278"/>
      <c r="C782" s="278"/>
      <c r="D782" s="278"/>
      <c r="E782" s="278"/>
      <c r="F782" s="507"/>
      <c r="G782" s="253"/>
      <c r="H782" s="509"/>
      <c r="I782" s="182"/>
      <c r="J782" s="66"/>
      <c r="K782" s="408"/>
      <c r="L782" s="408"/>
      <c r="M782" s="408"/>
      <c r="N782" s="408"/>
      <c r="O782" s="408"/>
    </row>
    <row r="783" spans="1:20" s="26" customFormat="1" ht="15.75" thickBot="1" x14ac:dyDescent="0.3">
      <c r="A783" s="65"/>
      <c r="B783" s="278"/>
      <c r="C783" s="278"/>
      <c r="D783" s="278"/>
      <c r="E783" s="278"/>
      <c r="F783" s="507"/>
      <c r="G783" s="183" t="s">
        <v>153</v>
      </c>
      <c r="H783" s="510"/>
      <c r="I783" s="184"/>
      <c r="J783" s="66"/>
      <c r="K783" s="408"/>
      <c r="L783" s="408"/>
      <c r="M783" s="408"/>
      <c r="N783" s="408"/>
      <c r="O783" s="408"/>
    </row>
    <row r="784" spans="1:20" s="26" customFormat="1" x14ac:dyDescent="0.25">
      <c r="A784" s="247" t="s">
        <v>77</v>
      </c>
      <c r="B784" s="463" t="str">
        <f>B753</f>
        <v>Price to Wholesaler</v>
      </c>
      <c r="C784" s="463"/>
      <c r="D784" s="463"/>
      <c r="E784" s="463"/>
      <c r="F784" s="256">
        <f>SUMPRODUCT(F753:I753,F745:I745)</f>
        <v>0</v>
      </c>
      <c r="G784" s="256">
        <f>F784*G782</f>
        <v>0</v>
      </c>
      <c r="H784" s="256" t="str">
        <f>IF(H743="Days",F784/F743*365.25,IF(H743="Months",F784/F743*12,""))</f>
        <v/>
      </c>
      <c r="I784" s="256" t="str">
        <f>IF(AND(H743="Days",I783="Days"),F784/F743*I782,IF(AND(H743="Months",I783="Months"),F784/F743*I782,IF(AND(H743="Days",I783="Months"),F784/F743*30.4375*I782,IF(AND(H743="Months",I783="Days"),F784/F743/30.4375*I782,""))))</f>
        <v/>
      </c>
      <c r="O784" s="21"/>
    </row>
    <row r="785" spans="1:19" s="26" customFormat="1" x14ac:dyDescent="0.25">
      <c r="A785" s="255" t="s">
        <v>78</v>
      </c>
      <c r="B785" s="464" t="str">
        <f>B754</f>
        <v>Wholesale Mark-up</v>
      </c>
      <c r="C785" s="464"/>
      <c r="D785" s="464"/>
      <c r="E785" s="464"/>
      <c r="F785" s="256">
        <f>SUMPRODUCT(F754:I754,F745:I745)</f>
        <v>0</v>
      </c>
      <c r="G785" s="256">
        <f>F785*G782</f>
        <v>0</v>
      </c>
      <c r="H785" s="256" t="str">
        <f>IF(H743="Days",F785/F743*365.25,IF(H743="Months",F785/F743*12,""))</f>
        <v/>
      </c>
      <c r="I785" s="256" t="str">
        <f>IF(AND(H743="Days",I783="Days"),F785/F743*I782,IF(AND(H743="Months",I783="Months"),F785/F743*I782,IF(AND(H743="Days",I783="Months"),F785/F743*30.4375*I782,IF(AND(H743="Months",I783="Days"),F785/F743/30.4375*I782,""))))</f>
        <v/>
      </c>
      <c r="O785" s="21"/>
    </row>
    <row r="786" spans="1:19" s="26" customFormat="1" x14ac:dyDescent="0.25">
      <c r="A786" s="255" t="s">
        <v>79</v>
      </c>
      <c r="B786" s="281" t="str">
        <f>B755</f>
        <v>Reimbursement Price</v>
      </c>
      <c r="C786" s="275"/>
      <c r="D786" s="276"/>
      <c r="E786" s="277"/>
      <c r="F786" s="256">
        <f>SUMPRODUCT(F755:I755,F745:I745)</f>
        <v>0</v>
      </c>
      <c r="G786" s="256">
        <f>F786*G782</f>
        <v>0</v>
      </c>
      <c r="H786" s="256" t="str">
        <f>IF(H743="Days",F786/F743*365.25,IF(H743="Months",F786/F743*12,""))</f>
        <v/>
      </c>
      <c r="I786" s="256" t="str">
        <f>IF(AND(H743="Days",I783="Days"),F786/F743*I782,IF(AND(H743="Months",I783="Months"),F786/F743*I782,IF(AND(H743="Days",I783="Months"),F786/F743*30.4375*I782,IF(AND(H743="Months",I783="Days"),F786/F743/30.4375*I782,""))))</f>
        <v/>
      </c>
      <c r="O786" s="21"/>
    </row>
    <row r="787" spans="1:19" s="26" customFormat="1" x14ac:dyDescent="0.25">
      <c r="A787" s="255" t="s">
        <v>80</v>
      </c>
      <c r="B787" s="495" t="str">
        <f>B756</f>
        <v>Framework Agreement Rebate</v>
      </c>
      <c r="C787" s="496"/>
      <c r="D787" s="496"/>
      <c r="E787" s="497"/>
      <c r="F787" s="256">
        <f>SUMPRODUCT(F756:I756,F745:I745)</f>
        <v>0</v>
      </c>
      <c r="G787" s="256">
        <f>F787*G782</f>
        <v>0</v>
      </c>
      <c r="H787" s="256" t="str">
        <f>IF(H743="Days",F787/F743*365.25,IF(H743="Months",F787/F743*12,""))</f>
        <v/>
      </c>
      <c r="I787" s="256" t="str">
        <f>IF(AND(H743="Days",I783="Days"),F787/F743*I782,IF(AND(H743="Months",I783="Months"),F787/F743*I782,IF(AND(H743="Days",I783="Months"),F787/F743*30.4375*I782,IF(AND(H743="Months",I783="Days"),F787/F743/30.4375*I782,""))))</f>
        <v/>
      </c>
      <c r="O787" s="21"/>
    </row>
    <row r="788" spans="1:19" s="26" customFormat="1" x14ac:dyDescent="0.25">
      <c r="A788" s="255" t="s">
        <v>81</v>
      </c>
      <c r="B788" s="495" t="str">
        <f>B757</f>
        <v xml:space="preserve">VAT on Drug Cost </v>
      </c>
      <c r="C788" s="496"/>
      <c r="D788" s="496"/>
      <c r="E788" s="497"/>
      <c r="F788" s="256">
        <f>SUMPRODUCT(F757:I757,F745:I745)</f>
        <v>0</v>
      </c>
      <c r="G788" s="256">
        <f>F788*G782</f>
        <v>0</v>
      </c>
      <c r="H788" s="256" t="str">
        <f>IF(H743="Days",F788/F743*365.25,IF(H743="Months",F788/F743*12,""))</f>
        <v/>
      </c>
      <c r="I788" s="256" t="str">
        <f>IF(AND(H743="Days",I783="Days"),F788/F743*I782,IF(AND(H743="Months",I783="Months"),F788/F743*I782,IF(AND(H743="Days",I783="Months"),F788/F743*30.4375*I782,IF(AND(H743="Months",I783="Days"),F788/F743/30.4375*I782,""))))</f>
        <v/>
      </c>
      <c r="O788" s="21"/>
    </row>
    <row r="789" spans="1:19" s="26" customFormat="1" x14ac:dyDescent="0.25">
      <c r="A789" s="255" t="s">
        <v>154</v>
      </c>
      <c r="B789" s="495" t="s">
        <v>155</v>
      </c>
      <c r="C789" s="496"/>
      <c r="D789" s="496"/>
      <c r="E789" s="497"/>
      <c r="F789" s="256" t="str">
        <f>IF(H775="","",H775)</f>
        <v/>
      </c>
      <c r="G789" s="256" t="str">
        <f>IF(F789="","",F789*G782)</f>
        <v/>
      </c>
      <c r="H789" s="256" t="str">
        <f>IF(F789="","",IF(H743="Days",F789/F743*365.25,IF(H743="Months",F789/F743*12,"")))</f>
        <v/>
      </c>
      <c r="I789" s="256" t="str">
        <f>IF(F789="","",IF(AND(H743="Days",I783="Days"),F789/F743*I782,IF(AND(H743="Months",I783="Months"),F789/F743*I782,IF(AND(H743="Days",I783="Months"),F789/F743*30.4375*I782,IF(AND(H743="Months",I783="Days"),F789/F743/30.4375*I782,"")))))</f>
        <v/>
      </c>
      <c r="O789" s="21"/>
    </row>
    <row r="790" spans="1:19" s="26" customFormat="1" x14ac:dyDescent="0.25">
      <c r="A790" s="255" t="s">
        <v>156</v>
      </c>
      <c r="B790" s="495" t="s">
        <v>157</v>
      </c>
      <c r="C790" s="496"/>
      <c r="D790" s="496"/>
      <c r="E790" s="497"/>
      <c r="F790" s="256" t="str">
        <f>IF(H776="","",H776)</f>
        <v/>
      </c>
      <c r="G790" s="256" t="str">
        <f>IF(F790="","",F790*G782)</f>
        <v/>
      </c>
      <c r="H790" s="256" t="str">
        <f>IF(F790="","",IF(H743="Days",F790/F743*365.25,IF(H743="Months",F790/F743*12,"")))</f>
        <v/>
      </c>
      <c r="I790" s="256" t="str">
        <f>IF(F790="","",IF(AND(H743="Days",I783="Days"),F790/F743*I782,IF(AND(H743="Months",I783="Months"),F790/F743*I782,IF(AND(H743="Days",I783="Months"),F790/F743*30.4375*I782,IF(AND(H743="Months",I783="Days"),F790/F743/30.4375*I782,"")))))</f>
        <v/>
      </c>
      <c r="O790" s="21"/>
    </row>
    <row r="791" spans="1:19" s="155" customFormat="1" x14ac:dyDescent="0.25">
      <c r="A791" s="186" t="s">
        <v>158</v>
      </c>
      <c r="B791" s="498" t="s">
        <v>159</v>
      </c>
      <c r="C791" s="499"/>
      <c r="D791" s="499"/>
      <c r="E791" s="500"/>
      <c r="F791" s="187">
        <f>SUM(F786:F789)</f>
        <v>0</v>
      </c>
      <c r="G791" s="187">
        <f t="shared" ref="G791:I791" si="67">SUM(G786:G789)</f>
        <v>0</v>
      </c>
      <c r="H791" s="187">
        <f t="shared" si="67"/>
        <v>0</v>
      </c>
      <c r="I791" s="187">
        <f t="shared" si="67"/>
        <v>0</v>
      </c>
      <c r="K791" s="98" t="s">
        <v>191</v>
      </c>
      <c r="O791" s="189"/>
    </row>
    <row r="792" spans="1:19" s="26" customFormat="1" ht="15.75" thickBot="1" x14ac:dyDescent="0.3">
      <c r="A792" s="257" t="s">
        <v>160</v>
      </c>
      <c r="B792" s="501" t="s">
        <v>161</v>
      </c>
      <c r="C792" s="502"/>
      <c r="D792" s="502"/>
      <c r="E792" s="503"/>
      <c r="F792" s="250">
        <f>IF(F790="",SUM(F786+F787),F786+F787+F790)</f>
        <v>0</v>
      </c>
      <c r="G792" s="250">
        <f t="shared" ref="G792" si="68">IF(G790="",SUM(G786+G787),G786+G787+G790)</f>
        <v>0</v>
      </c>
      <c r="H792" s="250" t="e">
        <f>IF(H790="",SUM(H786+H787),H786+H787+H790)</f>
        <v>#VALUE!</v>
      </c>
      <c r="I792" s="250" t="e">
        <f t="shared" ref="I792" si="69">IF(I790="",SUM(I786+I787),I786+I787+I790)</f>
        <v>#VALUE!</v>
      </c>
      <c r="K792" s="14" t="s">
        <v>192</v>
      </c>
      <c r="O792" s="21"/>
    </row>
    <row r="793" spans="1:19" s="26" customFormat="1" x14ac:dyDescent="0.25">
      <c r="B793" s="229"/>
      <c r="C793" s="66"/>
      <c r="D793" s="66"/>
      <c r="E793" s="66"/>
      <c r="O793" s="21"/>
    </row>
    <row r="794" spans="1:19" s="26" customFormat="1" x14ac:dyDescent="0.25"/>
    <row r="795" spans="1:19" s="26" customFormat="1" x14ac:dyDescent="0.25">
      <c r="B795" s="286" t="s">
        <v>101</v>
      </c>
      <c r="C795" s="286"/>
      <c r="D795" s="286"/>
      <c r="E795" s="286"/>
    </row>
    <row r="796" spans="1:19" s="26" customFormat="1" ht="15.75" customHeight="1" x14ac:dyDescent="0.25"/>
    <row r="797" spans="1:19" s="26" customFormat="1" x14ac:dyDescent="0.25">
      <c r="B797" s="234"/>
      <c r="C797" s="234"/>
      <c r="D797" s="234"/>
      <c r="E797" s="234"/>
      <c r="F797" s="234"/>
      <c r="G797" s="234"/>
      <c r="H797" s="234"/>
      <c r="I797" s="234"/>
      <c r="J797" s="234"/>
      <c r="K797" s="234"/>
      <c r="L797" s="234"/>
      <c r="M797" s="234"/>
      <c r="N797" s="234"/>
      <c r="O797" s="234"/>
      <c r="P797" s="234"/>
      <c r="Q797" s="234"/>
      <c r="R797" s="234"/>
      <c r="S797" s="234"/>
    </row>
    <row r="798" spans="1:19" s="26" customFormat="1" x14ac:dyDescent="0.25">
      <c r="B798" s="234"/>
      <c r="C798" s="234"/>
      <c r="D798" s="234"/>
      <c r="E798" s="234"/>
      <c r="F798" s="234"/>
      <c r="G798" s="234"/>
      <c r="H798" s="234"/>
      <c r="I798" s="234"/>
      <c r="J798" s="234"/>
      <c r="K798" s="234"/>
      <c r="L798" s="234"/>
      <c r="M798" s="234"/>
      <c r="N798" s="234"/>
      <c r="O798" s="234"/>
      <c r="P798" s="234"/>
      <c r="Q798" s="234"/>
      <c r="R798" s="234"/>
      <c r="S798" s="234"/>
    </row>
    <row r="799" spans="1:19" s="26" customFormat="1" x14ac:dyDescent="0.25">
      <c r="B799" s="234"/>
      <c r="C799" s="234"/>
      <c r="D799" s="234"/>
      <c r="E799" s="234"/>
      <c r="F799" s="234"/>
      <c r="G799" s="234"/>
      <c r="H799" s="234"/>
      <c r="I799" s="234"/>
      <c r="J799" s="234"/>
      <c r="K799" s="234"/>
      <c r="L799" s="234"/>
      <c r="M799" s="234"/>
      <c r="N799" s="234"/>
      <c r="O799" s="234"/>
      <c r="P799" s="234"/>
      <c r="Q799" s="234"/>
      <c r="R799" s="234"/>
      <c r="S799" s="234"/>
    </row>
    <row r="800" spans="1:19" s="26" customFormat="1" x14ac:dyDescent="0.25">
      <c r="B800" s="234"/>
      <c r="C800" s="234"/>
      <c r="D800" s="234"/>
      <c r="E800" s="234"/>
      <c r="F800" s="234"/>
      <c r="G800" s="234"/>
      <c r="H800" s="234"/>
      <c r="I800" s="234"/>
      <c r="J800" s="234"/>
      <c r="K800" s="234"/>
      <c r="L800" s="234"/>
      <c r="M800" s="234"/>
      <c r="N800" s="234"/>
      <c r="O800" s="234"/>
      <c r="P800" s="234"/>
      <c r="Q800" s="234"/>
      <c r="R800" s="234"/>
      <c r="S800" s="234"/>
    </row>
    <row r="801" spans="2:22" s="26" customFormat="1" x14ac:dyDescent="0.25">
      <c r="B801" s="234"/>
      <c r="C801" s="234"/>
      <c r="D801" s="234"/>
      <c r="E801" s="234"/>
      <c r="F801" s="234"/>
      <c r="G801" s="234"/>
      <c r="H801" s="234"/>
      <c r="I801" s="234"/>
      <c r="J801" s="234"/>
      <c r="K801" s="234"/>
      <c r="L801" s="234"/>
      <c r="M801" s="234"/>
      <c r="N801" s="234"/>
      <c r="O801" s="234"/>
      <c r="P801" s="234"/>
      <c r="Q801" s="234"/>
      <c r="R801" s="234"/>
      <c r="S801" s="234"/>
    </row>
    <row r="802" spans="2:22" s="26" customFormat="1" x14ac:dyDescent="0.25">
      <c r="B802" s="234"/>
      <c r="C802" s="234"/>
      <c r="D802" s="234"/>
      <c r="E802" s="234"/>
      <c r="F802" s="234"/>
      <c r="G802" s="234"/>
      <c r="H802" s="234"/>
      <c r="I802" s="234"/>
      <c r="J802" s="234"/>
      <c r="K802" s="234"/>
      <c r="L802" s="234"/>
      <c r="M802" s="234"/>
      <c r="N802" s="234"/>
      <c r="O802" s="234"/>
      <c r="P802" s="234"/>
      <c r="Q802" s="234"/>
      <c r="R802" s="234"/>
      <c r="S802" s="234"/>
    </row>
    <row r="803" spans="2:22" s="26" customFormat="1" x14ac:dyDescent="0.25">
      <c r="B803" s="234"/>
      <c r="C803" s="234"/>
      <c r="D803" s="234"/>
      <c r="E803" s="234"/>
      <c r="F803" s="234"/>
      <c r="G803" s="234"/>
      <c r="H803" s="234"/>
      <c r="I803" s="234"/>
      <c r="J803" s="234"/>
      <c r="K803" s="234"/>
      <c r="L803" s="234"/>
      <c r="M803" s="234"/>
      <c r="N803" s="234"/>
      <c r="O803" s="234"/>
      <c r="P803" s="234"/>
      <c r="Q803" s="234"/>
      <c r="R803" s="234"/>
      <c r="S803" s="234"/>
    </row>
    <row r="804" spans="2:22" s="26" customFormat="1" x14ac:dyDescent="0.25">
      <c r="B804" s="234"/>
      <c r="C804" s="234"/>
      <c r="D804" s="234"/>
      <c r="E804" s="234"/>
      <c r="F804" s="234"/>
      <c r="G804" s="234"/>
      <c r="H804" s="234"/>
      <c r="I804" s="234"/>
      <c r="J804" s="234"/>
      <c r="K804" s="234"/>
      <c r="L804" s="234"/>
      <c r="M804" s="234"/>
      <c r="N804" s="234"/>
      <c r="O804" s="234"/>
      <c r="P804" s="234"/>
      <c r="Q804" s="234"/>
      <c r="R804" s="234"/>
      <c r="S804" s="234"/>
    </row>
    <row r="805" spans="2:22" s="26" customFormat="1" x14ac:dyDescent="0.25">
      <c r="B805" s="234"/>
      <c r="C805" s="234"/>
      <c r="D805" s="234"/>
      <c r="E805" s="234"/>
      <c r="F805" s="234"/>
      <c r="G805" s="234"/>
      <c r="H805" s="234"/>
      <c r="I805" s="234"/>
      <c r="J805" s="234"/>
      <c r="K805" s="234"/>
      <c r="L805" s="234"/>
      <c r="M805" s="234"/>
      <c r="N805" s="234"/>
      <c r="O805" s="234"/>
      <c r="P805" s="234"/>
      <c r="Q805" s="234"/>
      <c r="R805" s="234"/>
      <c r="S805" s="234"/>
    </row>
    <row r="806" spans="2:22" s="26" customFormat="1" x14ac:dyDescent="0.25">
      <c r="B806" s="234"/>
      <c r="C806" s="234"/>
      <c r="D806" s="234"/>
      <c r="E806" s="234"/>
      <c r="F806" s="234"/>
      <c r="G806" s="234"/>
      <c r="H806" s="234"/>
      <c r="I806" s="234"/>
      <c r="J806" s="234"/>
      <c r="K806" s="234"/>
      <c r="L806" s="234"/>
      <c r="M806" s="234"/>
      <c r="N806" s="234"/>
      <c r="O806" s="234"/>
      <c r="P806" s="234"/>
      <c r="Q806" s="234"/>
      <c r="R806" s="234"/>
      <c r="S806" s="234"/>
    </row>
    <row r="809" spans="2:22" ht="15.75" thickBot="1" x14ac:dyDescent="0.3"/>
    <row r="810" spans="2:22" s="26" customFormat="1" ht="15.75" thickBot="1" x14ac:dyDescent="0.3">
      <c r="B810" s="410" t="str">
        <f>CONCATENATE("Comparator 9: ",NameComparator9)</f>
        <v xml:space="preserve">Comparator 9: </v>
      </c>
      <c r="C810" s="411"/>
      <c r="D810" s="411"/>
      <c r="E810" s="411"/>
      <c r="F810" s="411"/>
      <c r="G810" s="412"/>
    </row>
    <row r="811" spans="2:22" s="26" customFormat="1" x14ac:dyDescent="0.25">
      <c r="B811" s="227"/>
      <c r="C811" s="227"/>
      <c r="D811" s="227"/>
      <c r="F811" s="278"/>
      <c r="G811" s="278"/>
      <c r="H811" s="278"/>
      <c r="I811" s="278"/>
      <c r="J811" s="278"/>
    </row>
    <row r="812" spans="2:22" s="26" customFormat="1" x14ac:dyDescent="0.25"/>
    <row r="813" spans="2:22" s="26" customFormat="1" ht="28.5" customHeight="1" thickBot="1" x14ac:dyDescent="0.3">
      <c r="B813" s="334" t="s">
        <v>118</v>
      </c>
      <c r="C813" s="334"/>
      <c r="D813" s="334"/>
      <c r="E813" s="334"/>
      <c r="K813" s="408" t="s">
        <v>209</v>
      </c>
      <c r="L813" s="408"/>
      <c r="M813" s="408"/>
      <c r="N813" s="408"/>
      <c r="O813" s="408"/>
      <c r="P813" s="225"/>
      <c r="Q813" s="225"/>
      <c r="R813" s="225"/>
      <c r="S813" s="225"/>
      <c r="T813" s="225"/>
      <c r="U813" s="225"/>
      <c r="V813" s="225"/>
    </row>
    <row r="814" spans="2:22" s="26" customFormat="1" ht="18.95" customHeight="1" thickBot="1" x14ac:dyDescent="0.3">
      <c r="B814" s="465" t="s">
        <v>119</v>
      </c>
      <c r="C814" s="466"/>
      <c r="D814" s="466"/>
      <c r="E814" s="466"/>
      <c r="F814" s="466"/>
      <c r="G814" s="466"/>
      <c r="H814" s="466"/>
      <c r="I814" s="467"/>
      <c r="K814" s="408"/>
      <c r="L814" s="408"/>
      <c r="M814" s="408"/>
      <c r="N814" s="408"/>
      <c r="O814" s="408"/>
      <c r="P814" s="225"/>
      <c r="Q814" s="225"/>
      <c r="R814" s="225"/>
      <c r="S814" s="225"/>
      <c r="T814" s="225"/>
      <c r="U814" s="225"/>
      <c r="V814" s="225"/>
    </row>
    <row r="815" spans="2:22" s="26" customFormat="1" ht="15.75" thickBot="1" x14ac:dyDescent="0.3">
      <c r="B815" s="285"/>
      <c r="C815" s="283"/>
      <c r="D815" s="283"/>
      <c r="E815" s="283"/>
      <c r="F815" s="466" t="s">
        <v>120</v>
      </c>
      <c r="G815" s="466"/>
      <c r="H815" s="466"/>
      <c r="I815" s="467"/>
      <c r="K815" s="14"/>
    </row>
    <row r="816" spans="2:22" s="26" customFormat="1" ht="15.75" thickBot="1" x14ac:dyDescent="0.3">
      <c r="B816" s="472" t="s">
        <v>174</v>
      </c>
      <c r="C816" s="473"/>
      <c r="D816" s="473"/>
      <c r="E816" s="474"/>
      <c r="F816" s="149"/>
      <c r="G816" s="149"/>
      <c r="H816" s="149"/>
      <c r="I816" s="149"/>
      <c r="K816" s="14" t="s">
        <v>180</v>
      </c>
    </row>
    <row r="817" spans="1:22" s="26" customFormat="1" ht="30" customHeight="1" thickBot="1" x14ac:dyDescent="0.3">
      <c r="B817" s="472" t="s">
        <v>106</v>
      </c>
      <c r="C817" s="473"/>
      <c r="D817" s="473"/>
      <c r="E817" s="474"/>
      <c r="F817" s="235"/>
      <c r="G817" s="235"/>
      <c r="H817" s="235"/>
      <c r="I817" s="235"/>
      <c r="J817" s="26" t="s">
        <v>104</v>
      </c>
      <c r="K817" s="408" t="s">
        <v>181</v>
      </c>
      <c r="L817" s="408"/>
      <c r="M817" s="408"/>
      <c r="N817" s="408"/>
      <c r="O817" s="408"/>
      <c r="P817" s="21"/>
      <c r="Q817" s="21"/>
      <c r="R817" s="21"/>
      <c r="S817" s="21"/>
      <c r="T817" s="21"/>
    </row>
    <row r="818" spans="1:22" s="26" customFormat="1" ht="15.75" thickBot="1" x14ac:dyDescent="0.3">
      <c r="A818" s="14"/>
      <c r="B818" s="472" t="s">
        <v>107</v>
      </c>
      <c r="C818" s="473"/>
      <c r="D818" s="473"/>
      <c r="E818" s="474"/>
      <c r="F818" s="151"/>
      <c r="G818" s="151"/>
      <c r="H818" s="151"/>
      <c r="I818" s="151"/>
      <c r="J818" s="236"/>
      <c r="K818" s="110" t="s">
        <v>182</v>
      </c>
      <c r="N818" s="21"/>
      <c r="O818" s="21"/>
      <c r="P818" s="21"/>
      <c r="Q818" s="21"/>
      <c r="R818" s="21"/>
      <c r="S818" s="21"/>
      <c r="T818" s="21"/>
    </row>
    <row r="819" spans="1:22" s="26" customFormat="1" ht="15.75" thickBot="1" x14ac:dyDescent="0.3">
      <c r="A819" s="15"/>
      <c r="B819" s="472" t="s">
        <v>108</v>
      </c>
      <c r="C819" s="473"/>
      <c r="D819" s="473"/>
      <c r="E819" s="474"/>
      <c r="F819" s="489"/>
      <c r="G819" s="490"/>
      <c r="H819" s="490"/>
      <c r="I819" s="491"/>
      <c r="J819" s="237" t="s">
        <v>104</v>
      </c>
      <c r="K819" s="110" t="s">
        <v>210</v>
      </c>
    </row>
    <row r="820" spans="1:22" s="26" customFormat="1" ht="15.75" thickBot="1" x14ac:dyDescent="0.3">
      <c r="A820" s="15"/>
      <c r="B820" s="472" t="s">
        <v>74</v>
      </c>
      <c r="C820" s="473"/>
      <c r="D820" s="473"/>
      <c r="E820" s="474"/>
      <c r="F820" s="492"/>
      <c r="G820" s="493"/>
      <c r="H820" s="493"/>
      <c r="I820" s="494"/>
      <c r="J820" s="237" t="s">
        <v>104</v>
      </c>
      <c r="K820" s="110" t="s">
        <v>184</v>
      </c>
    </row>
    <row r="821" spans="1:22" s="26" customFormat="1" ht="15.75" thickBot="1" x14ac:dyDescent="0.3">
      <c r="B821" s="472" t="s">
        <v>75</v>
      </c>
      <c r="C821" s="473"/>
      <c r="D821" s="473"/>
      <c r="E821" s="474"/>
      <c r="F821" s="492"/>
      <c r="G821" s="493"/>
      <c r="H821" s="493"/>
      <c r="I821" s="494"/>
      <c r="J821" s="26" t="s">
        <v>104</v>
      </c>
      <c r="K821" s="110" t="s">
        <v>185</v>
      </c>
    </row>
    <row r="822" spans="1:22" s="26" customFormat="1" ht="15.75" thickBot="1" x14ac:dyDescent="0.3">
      <c r="B822" s="472" t="s">
        <v>76</v>
      </c>
      <c r="C822" s="473"/>
      <c r="D822" s="473"/>
      <c r="E822" s="474"/>
      <c r="F822" s="492"/>
      <c r="G822" s="493"/>
      <c r="H822" s="493"/>
      <c r="I822" s="494"/>
      <c r="J822" s="237" t="s">
        <v>104</v>
      </c>
      <c r="K822" s="110" t="s">
        <v>219</v>
      </c>
    </row>
    <row r="823" spans="1:22" s="26" customFormat="1" ht="15.75" thickBot="1" x14ac:dyDescent="0.3">
      <c r="B823" s="472" t="s">
        <v>172</v>
      </c>
      <c r="C823" s="473"/>
      <c r="D823" s="473"/>
      <c r="E823" s="474"/>
      <c r="F823" s="492"/>
      <c r="G823" s="493"/>
      <c r="H823" s="493"/>
      <c r="I823" s="494"/>
      <c r="J823" s="237" t="s">
        <v>104</v>
      </c>
      <c r="K823" s="110" t="s">
        <v>217</v>
      </c>
    </row>
    <row r="824" spans="1:22" s="26" customFormat="1" ht="15.75" thickBot="1" x14ac:dyDescent="0.3">
      <c r="B824" s="472" t="s">
        <v>173</v>
      </c>
      <c r="C824" s="473"/>
      <c r="D824" s="473"/>
      <c r="E824" s="474"/>
      <c r="F824" s="492"/>
      <c r="G824" s="493"/>
      <c r="H824" s="493"/>
      <c r="I824" s="494"/>
      <c r="J824" s="237" t="s">
        <v>104</v>
      </c>
      <c r="K824" s="110" t="s">
        <v>218</v>
      </c>
    </row>
    <row r="825" spans="1:22" s="26" customFormat="1" ht="30" customHeight="1" x14ac:dyDescent="0.25">
      <c r="B825" s="112"/>
      <c r="C825" s="112"/>
      <c r="D825" s="112"/>
      <c r="E825" s="278"/>
      <c r="F825" s="278"/>
      <c r="G825" s="238"/>
      <c r="H825" s="278"/>
      <c r="I825" s="278"/>
      <c r="J825" s="239"/>
      <c r="K825" s="110"/>
    </row>
    <row r="826" spans="1:22" s="26" customFormat="1" ht="15.75" thickBot="1" x14ac:dyDescent="0.3">
      <c r="B826" s="334" t="s">
        <v>171</v>
      </c>
      <c r="C826" s="334"/>
      <c r="D826" s="334"/>
      <c r="E826" s="334"/>
      <c r="F826" s="278"/>
      <c r="G826" s="278"/>
      <c r="H826" s="278"/>
      <c r="I826" s="278"/>
      <c r="J826" s="239"/>
      <c r="K826" s="404" t="s">
        <v>195</v>
      </c>
      <c r="L826" s="404"/>
      <c r="M826" s="404"/>
      <c r="N826" s="404"/>
      <c r="O826" s="404"/>
      <c r="P826" s="274"/>
      <c r="Q826" s="274"/>
      <c r="R826" s="274"/>
      <c r="S826" s="274"/>
      <c r="T826" s="274"/>
      <c r="U826" s="274"/>
      <c r="V826" s="274"/>
    </row>
    <row r="827" spans="1:22" s="26" customFormat="1" ht="29.1" customHeight="1" thickBot="1" x14ac:dyDescent="0.3">
      <c r="B827" s="465" t="s">
        <v>121</v>
      </c>
      <c r="C827" s="466"/>
      <c r="D827" s="466"/>
      <c r="E827" s="466"/>
      <c r="F827" s="466"/>
      <c r="G827" s="466"/>
      <c r="H827" s="466"/>
      <c r="I827" s="467"/>
      <c r="J827" s="239"/>
      <c r="K827" s="404"/>
      <c r="L827" s="404"/>
      <c r="M827" s="404"/>
      <c r="N827" s="404"/>
      <c r="O827" s="404"/>
      <c r="P827" s="274"/>
      <c r="Q827" s="274"/>
      <c r="R827" s="274"/>
      <c r="S827" s="274"/>
      <c r="T827" s="274"/>
      <c r="U827" s="274"/>
      <c r="V827" s="274"/>
    </row>
    <row r="828" spans="1:22" s="26" customFormat="1" ht="30" customHeight="1" thickBot="1" x14ac:dyDescent="0.3">
      <c r="B828" s="472" t="s">
        <v>122</v>
      </c>
      <c r="C828" s="473"/>
      <c r="D828" s="473"/>
      <c r="E828" s="474"/>
      <c r="F828" s="468"/>
      <c r="G828" s="469"/>
      <c r="H828" s="470"/>
      <c r="I828" s="471"/>
      <c r="J828" s="239"/>
      <c r="K828" s="408" t="s">
        <v>186</v>
      </c>
      <c r="L828" s="408"/>
      <c r="M828" s="408"/>
      <c r="N828" s="408"/>
      <c r="O828" s="408"/>
    </row>
    <row r="829" spans="1:22" s="26" customFormat="1" ht="23.1" customHeight="1" thickBot="1" x14ac:dyDescent="0.3">
      <c r="B829" s="472" t="str">
        <f>B816</f>
        <v>Pack Identification</v>
      </c>
      <c r="C829" s="473"/>
      <c r="D829" s="473"/>
      <c r="E829" s="474"/>
      <c r="F829" s="192" t="str">
        <f>IF(ISBLANK(F816),"",F816)</f>
        <v/>
      </c>
      <c r="G829" s="192" t="str">
        <f t="shared" ref="G829:I829" si="70">IF(ISBLANK(G816),"",G816)</f>
        <v/>
      </c>
      <c r="H829" s="192" t="str">
        <f t="shared" si="70"/>
        <v/>
      </c>
      <c r="I829" s="192" t="str">
        <f t="shared" si="70"/>
        <v/>
      </c>
      <c r="J829" s="239"/>
      <c r="K829" s="408"/>
      <c r="L829" s="408"/>
      <c r="M829" s="408"/>
      <c r="N829" s="408"/>
      <c r="O829" s="408"/>
    </row>
    <row r="830" spans="1:22" s="26" customFormat="1" ht="15.75" thickBot="1" x14ac:dyDescent="0.3">
      <c r="B830" s="512" t="s">
        <v>123</v>
      </c>
      <c r="C830" s="513"/>
      <c r="D830" s="513"/>
      <c r="E830" s="514"/>
      <c r="F830" s="145"/>
      <c r="G830" s="154"/>
      <c r="H830" s="154"/>
      <c r="I830" s="154"/>
      <c r="J830" s="239"/>
      <c r="K830" s="408" t="s">
        <v>187</v>
      </c>
      <c r="L830" s="408"/>
      <c r="M830" s="408"/>
      <c r="N830" s="408"/>
      <c r="O830" s="408"/>
    </row>
    <row r="831" spans="1:22" s="26" customFormat="1" ht="75.75" customHeight="1" x14ac:dyDescent="0.25">
      <c r="B831" s="284"/>
      <c r="C831" s="284"/>
      <c r="D831" s="284"/>
      <c r="E831" s="284"/>
      <c r="F831" s="278"/>
      <c r="G831" s="278"/>
      <c r="H831" s="278"/>
      <c r="I831" s="278"/>
      <c r="J831" s="239"/>
      <c r="K831" s="408"/>
      <c r="L831" s="408"/>
      <c r="M831" s="408"/>
      <c r="N831" s="408"/>
      <c r="O831" s="408"/>
    </row>
    <row r="832" spans="1:22" s="26" customFormat="1" x14ac:dyDescent="0.25">
      <c r="B832" s="511"/>
      <c r="C832" s="511"/>
      <c r="D832" s="511"/>
      <c r="E832" s="511"/>
      <c r="K832" s="408"/>
      <c r="L832" s="408"/>
      <c r="M832" s="408"/>
      <c r="N832" s="408"/>
      <c r="O832" s="408"/>
    </row>
    <row r="833" spans="1:15" s="26" customFormat="1" x14ac:dyDescent="0.25">
      <c r="B833" s="278"/>
      <c r="C833" s="278"/>
      <c r="D833" s="278"/>
      <c r="E833" s="278"/>
      <c r="O833" s="21"/>
    </row>
    <row r="834" spans="1:15" s="26" customFormat="1" x14ac:dyDescent="0.25">
      <c r="A834" s="155"/>
      <c r="B834" s="286" t="s">
        <v>124</v>
      </c>
      <c r="C834" s="273"/>
      <c r="D834" s="66"/>
      <c r="E834" s="66"/>
      <c r="F834" s="390"/>
      <c r="G834" s="390"/>
      <c r="H834" s="390"/>
      <c r="I834" s="390"/>
      <c r="O834" s="21"/>
    </row>
    <row r="835" spans="1:15" s="26" customFormat="1" x14ac:dyDescent="0.25">
      <c r="A835" s="14" t="s">
        <v>125</v>
      </c>
      <c r="B835" s="273"/>
      <c r="C835" s="273"/>
      <c r="D835" s="66"/>
      <c r="E835" s="66"/>
      <c r="F835" s="273"/>
      <c r="G835" s="273"/>
      <c r="H835" s="273"/>
      <c r="I835" s="273"/>
      <c r="O835" s="21"/>
    </row>
    <row r="836" spans="1:15" s="26" customFormat="1" ht="15.75" thickBot="1" x14ac:dyDescent="0.3">
      <c r="B836" s="66"/>
      <c r="C836" s="66"/>
      <c r="D836" s="66"/>
      <c r="E836" s="66"/>
      <c r="F836" s="390" t="s">
        <v>126</v>
      </c>
      <c r="G836" s="390"/>
      <c r="H836" s="390"/>
      <c r="I836" s="390"/>
      <c r="O836" s="21"/>
    </row>
    <row r="837" spans="1:15" s="26" customFormat="1" ht="15.75" thickBot="1" x14ac:dyDescent="0.3">
      <c r="B837" s="66"/>
      <c r="C837" s="66"/>
      <c r="D837" s="66"/>
      <c r="E837" s="66"/>
      <c r="F837" s="156" t="str">
        <f>IF(F816="","",F816)</f>
        <v/>
      </c>
      <c r="G837" s="156" t="str">
        <f>IF(G816="","",G816)</f>
        <v/>
      </c>
      <c r="H837" s="156" t="str">
        <f>IF(H816="","",H816)</f>
        <v/>
      </c>
      <c r="I837" s="156" t="str">
        <f>IF(I816="","",I816)</f>
        <v/>
      </c>
      <c r="O837" s="21"/>
    </row>
    <row r="838" spans="1:15" s="26" customFormat="1" x14ac:dyDescent="0.25">
      <c r="A838" s="91" t="s">
        <v>77</v>
      </c>
      <c r="B838" s="475" t="s">
        <v>82</v>
      </c>
      <c r="C838" s="476"/>
      <c r="D838" s="476"/>
      <c r="E838" s="240"/>
      <c r="F838" s="241" t="str">
        <f>IF(OR(F817="",F818="",F819=""),"",IF(F817="Price to Wholesaler",F818,IF(F817="Reimbursement Price",(F840/(1+E839)*1),"Error")))</f>
        <v/>
      </c>
      <c r="G838" s="241" t="str">
        <f>IF(OR(G817="",G818="",F819=""),"",IF(G817="Price to Wholesaler",G818,IF(G817="Reimbursement Price",(G840/(1+E839)*1),"Error")))</f>
        <v/>
      </c>
      <c r="H838" s="241" t="str">
        <f>IF(OR(H817="",H818="",F819=""),"",IF(H817="Price to Wholesaler",H818,IF(H817="Reimbursement Price",(H840/(1+E839)*1),"Error")))</f>
        <v/>
      </c>
      <c r="I838" s="241" t="str">
        <f>IF(OR(I817="",I818="",F819=""),"",IF(I817="Price to Wholesaler",I818,IF(I817="Reimbursement Price",(I840/(1+E839)*1),"Error")))</f>
        <v/>
      </c>
      <c r="O838" s="21"/>
    </row>
    <row r="839" spans="1:15" s="26" customFormat="1" x14ac:dyDescent="0.25">
      <c r="A839" s="282" t="s">
        <v>78</v>
      </c>
      <c r="B839" s="477" t="s">
        <v>83</v>
      </c>
      <c r="C839" s="478"/>
      <c r="D839" s="478"/>
      <c r="E839" s="93" t="str">
        <f>IF(OR(F819=""),"",IF(AND(F819="CDS",F820="Yes"),CYF,IF(AND(F819="CDS",F820="No"),CNF,IF(F819="HT",CHT,IF(F819="Hosp",CHO,"Error")))))</f>
        <v/>
      </c>
      <c r="F839" s="242" t="str">
        <f>IF(OR(F819="",F818="",F817=""),"",F838*E839)</f>
        <v/>
      </c>
      <c r="G839" s="242" t="str">
        <f>IF(OR(F819="",G818="",G817=""),"",G838*E839)</f>
        <v/>
      </c>
      <c r="H839" s="242" t="str">
        <f>IF(OR(F819="",H818="",H817=""),"",H838*E839)</f>
        <v/>
      </c>
      <c r="I839" s="242" t="str">
        <f>IF(OR(F819="",I818="",I817=""),"",I838*E839)</f>
        <v/>
      </c>
      <c r="O839" s="21"/>
    </row>
    <row r="840" spans="1:15" s="26" customFormat="1" x14ac:dyDescent="0.25">
      <c r="A840" s="282" t="s">
        <v>79</v>
      </c>
      <c r="B840" s="477" t="str">
        <f>IF(F819="Hosp","Hospital Price", "Reimbursement Price")</f>
        <v>Reimbursement Price</v>
      </c>
      <c r="C840" s="478"/>
      <c r="D840" s="478"/>
      <c r="E840" s="243" t="str">
        <f>IF(F817="Price to Wholesaler","A+B","")</f>
        <v/>
      </c>
      <c r="F840" s="242" t="str">
        <f>IF(F817="Reimbursement Price",F818,IF(ISBLANK(E839),"",IF(F817="Price to Wholesaler",(F838+F839),IF(F817="","","Error"))))</f>
        <v/>
      </c>
      <c r="G840" s="242" t="str">
        <f>IF(G817="Reimbursement Price",G818,IF(ISBLANK(E839),"",IF(G817="Price to Wholesaler",(G838+G839),IF(G817="","","Error"))))</f>
        <v/>
      </c>
      <c r="H840" s="242" t="str">
        <f>IF(H817="Reimbursement Price",H818,IF(ISBLANK(E839),"",IF(H817="Price to Wholesaler",(H838+H839),IF(H817="","","Error"))))</f>
        <v/>
      </c>
      <c r="I840" s="242" t="str">
        <f>IF(I817="Reimbursement Price",I818,IF(ISBLANK(E839),"",IF(I817="Price to Wholesaler",(I838+I839),IF(I817="","","Error"))))</f>
        <v/>
      </c>
      <c r="O840" s="21"/>
    </row>
    <row r="841" spans="1:15" s="26" customFormat="1" x14ac:dyDescent="0.25">
      <c r="A841" s="282" t="s">
        <v>80</v>
      </c>
      <c r="B841" s="477" t="s">
        <v>214</v>
      </c>
      <c r="C841" s="478"/>
      <c r="D841" s="478"/>
      <c r="E841" s="268" t="str">
        <f>IF(OR(F822="",AND(F822="Yes",F823=""),AND(F822="No",F824="")),"",IF(AND(F822="No",F824="Patented Exclusive or Off Patent Exclusive and subject to clause 10 of Framework Agreement"),MR,IF(AND(F822="No",F824="Off Patent Non-Exclusive or Generic"),"None",IF(AND(F822="Yes",F823="Biosimilar"),"None",IF(AND(F822="Yes",F823="Patented or Off Patent Exclusive"),MR,IF(AND(F822="Yes",F823="Off Patent Non-Exclusive 12.5% Rebate incorporated into Price to Wholesaler"),"None",IF(AND(F822="Yes",F823="Off Patent Non-Exclusive 12.5% Rebate"),MRB,"Error")))))))</f>
        <v/>
      </c>
      <c r="F841" s="242" t="str">
        <f>IF(OR(F822="",AND(F822="Yes",F823=""),AND(F822="No",F824=""),F817="",ISBLANK(F818)),"",IF(E841="None",0,(E841*F838)))</f>
        <v/>
      </c>
      <c r="G841" s="242" t="str">
        <f>IF(OR(F822="",AND(F822="Yes",F823=""),AND(F822="No",F824=""),G817="",ISBLANK(G818)),"",IF(E841="None",0,(E841*G838)))</f>
        <v/>
      </c>
      <c r="H841" s="242" t="str">
        <f>IF(OR(F822="",AND(F822="Yes",F823=""),AND(F822="No",F824=""),H817="",ISBLANK(H818)),"",IF(E841="None",0,(E841*H838)))</f>
        <v/>
      </c>
      <c r="I841" s="242" t="str">
        <f>IF(OR(F822="",AND(F822="Yes",F823=""),AND(F822="No",F824=""),I817="",ISBLANK(I818)),"",IF(E841="None",0,(E841*I838)))</f>
        <v/>
      </c>
      <c r="O841" s="21"/>
    </row>
    <row r="842" spans="1:15" s="26" customFormat="1" ht="15.75" thickBot="1" x14ac:dyDescent="0.3">
      <c r="A842" s="280" t="s">
        <v>81</v>
      </c>
      <c r="B842" s="479" t="s">
        <v>94</v>
      </c>
      <c r="C842" s="480"/>
      <c r="D842" s="480"/>
      <c r="E842" s="160" t="str">
        <f>IF(F821="","",IF(F821="Yes",0,VT))</f>
        <v/>
      </c>
      <c r="F842" s="244" t="str">
        <f>IF(OR($B821="",F818="",ISBLANK(F818)),"",($E842*F840))</f>
        <v/>
      </c>
      <c r="G842" s="244" t="str">
        <f t="shared" ref="G842:I842" si="71">IF(OR($B821="",G818="",ISBLANK(G818)),"",($E842*G840))</f>
        <v/>
      </c>
      <c r="H842" s="244" t="str">
        <f t="shared" si="71"/>
        <v/>
      </c>
      <c r="I842" s="244" t="str">
        <f t="shared" si="71"/>
        <v/>
      </c>
      <c r="O842" s="21"/>
    </row>
    <row r="843" spans="1:15" s="26" customFormat="1" ht="15.75" thickBot="1" x14ac:dyDescent="0.3">
      <c r="A843" s="279" t="s">
        <v>127</v>
      </c>
      <c r="B843" s="481" t="s">
        <v>128</v>
      </c>
      <c r="C843" s="481"/>
      <c r="D843" s="481"/>
      <c r="E843" s="279"/>
      <c r="F843" s="245" t="str">
        <f>IF(OR(F817="",$F819="",$F821="",$F822=""),"",SUM(F840:F842))</f>
        <v/>
      </c>
      <c r="G843" s="245" t="str">
        <f t="shared" ref="G843:I843" si="72">IF(OR(G817="",$F819="",$F821="",$F822=""),"",SUM(G840:G842))</f>
        <v/>
      </c>
      <c r="H843" s="245" t="str">
        <f t="shared" si="72"/>
        <v/>
      </c>
      <c r="I843" s="245" t="str">
        <f t="shared" si="72"/>
        <v/>
      </c>
      <c r="O843" s="21"/>
    </row>
    <row r="844" spans="1:15" s="26" customFormat="1" ht="15.75" thickBot="1" x14ac:dyDescent="0.3">
      <c r="A844" s="279" t="s">
        <v>129</v>
      </c>
      <c r="B844" s="482" t="s">
        <v>130</v>
      </c>
      <c r="C844" s="482"/>
      <c r="D844" s="482"/>
      <c r="E844" s="245"/>
      <c r="F844" s="245" t="str">
        <f>IF(OR(F817="",$F819="",$F821="",$F822=""),"",SUM(F840:F841))</f>
        <v/>
      </c>
      <c r="G844" s="245" t="str">
        <f t="shared" ref="G844:I844" si="73">IF(OR(G817="",$F819="",$F821="",$F822=""),"",SUM(G840:G841))</f>
        <v/>
      </c>
      <c r="H844" s="245" t="str">
        <f t="shared" si="73"/>
        <v/>
      </c>
      <c r="I844" s="245" t="str">
        <f t="shared" si="73"/>
        <v/>
      </c>
      <c r="O844" s="21"/>
    </row>
    <row r="845" spans="1:15" s="26" customFormat="1" x14ac:dyDescent="0.25">
      <c r="B845" s="66"/>
      <c r="C845" s="66"/>
      <c r="D845" s="66"/>
      <c r="E845" s="66"/>
      <c r="K845" s="26" t="s">
        <v>131</v>
      </c>
      <c r="O845" s="21"/>
    </row>
    <row r="846" spans="1:15" s="26" customFormat="1" x14ac:dyDescent="0.25">
      <c r="A846" s="155" t="s">
        <v>132</v>
      </c>
      <c r="B846" s="66"/>
      <c r="C846" s="66"/>
      <c r="D846" s="66"/>
      <c r="E846" s="66"/>
      <c r="F846" s="246"/>
      <c r="G846" s="246"/>
      <c r="H846" s="246"/>
      <c r="I846" s="246"/>
      <c r="O846" s="21"/>
    </row>
    <row r="847" spans="1:15" s="26" customFormat="1" x14ac:dyDescent="0.25">
      <c r="A847" s="125"/>
      <c r="B847" s="125" t="s">
        <v>133</v>
      </c>
      <c r="C847" s="125"/>
      <c r="D847" s="125"/>
      <c r="E847" s="125"/>
      <c r="F847" s="125"/>
      <c r="G847" s="125"/>
      <c r="H847" s="125"/>
      <c r="O847" s="21"/>
    </row>
    <row r="848" spans="1:15" s="26" customFormat="1" x14ac:dyDescent="0.25">
      <c r="B848" s="21" t="s">
        <v>134</v>
      </c>
      <c r="C848" s="229"/>
      <c r="D848" s="229"/>
      <c r="E848" s="66"/>
      <c r="O848" s="21"/>
    </row>
    <row r="849" spans="1:20" s="26" customFormat="1" ht="15.75" thickBot="1" x14ac:dyDescent="0.3">
      <c r="B849" s="165"/>
      <c r="C849" s="229"/>
      <c r="D849" s="229"/>
      <c r="E849" s="66"/>
      <c r="O849" s="21"/>
    </row>
    <row r="850" spans="1:20" s="26" customFormat="1" ht="15.75" thickBot="1" x14ac:dyDescent="0.3">
      <c r="B850" s="230"/>
      <c r="C850" s="66"/>
      <c r="D850" s="66"/>
      <c r="E850" s="66"/>
      <c r="G850" s="13" t="s">
        <v>135</v>
      </c>
      <c r="H850" s="13" t="s">
        <v>136</v>
      </c>
      <c r="O850" s="21"/>
    </row>
    <row r="851" spans="1:20" s="26" customFormat="1" x14ac:dyDescent="0.25">
      <c r="B851" s="483" t="s">
        <v>137</v>
      </c>
      <c r="C851" s="484"/>
      <c r="D851" s="484"/>
      <c r="E851" s="484"/>
      <c r="F851" s="485"/>
      <c r="G851" s="247" t="str">
        <f>IF(F819="","",IF(F819="CDS","per dispensing",IF(F819="HT","per month",IF(F819="Hosp","No Fee", ERROR))))</f>
        <v/>
      </c>
      <c r="H851" s="248" t="str">
        <f>IF(F819="","",IF(F819="CDS",DF,IF(F819="HT",PC,IF(F819="Hosp","No Fee",ERROR))))</f>
        <v/>
      </c>
      <c r="I851" s="26" t="s">
        <v>138</v>
      </c>
      <c r="O851" s="21"/>
    </row>
    <row r="852" spans="1:20" s="26" customFormat="1" ht="15.75" thickBot="1" x14ac:dyDescent="0.3">
      <c r="B852" s="486" t="s">
        <v>92</v>
      </c>
      <c r="C852" s="487"/>
      <c r="D852" s="487"/>
      <c r="E852" s="487"/>
      <c r="F852" s="488"/>
      <c r="G852" s="249" t="str">
        <f>IF(OR(F819="",F821=""),"",IF(F819="Hosp","No Fee",IF(F819="HT","No VAT",IF(AND(F819="CDS",F821="No"),VT,"No VAT"))))</f>
        <v/>
      </c>
      <c r="H852" s="250" t="str">
        <f>IF(OR(F821="",F819="Hosp"),"",IF(OR(F821="Yes",F819="HT"),0,H851*G852))</f>
        <v/>
      </c>
      <c r="O852" s="21"/>
    </row>
    <row r="853" spans="1:20" s="26" customFormat="1" x14ac:dyDescent="0.25">
      <c r="B853" s="230"/>
      <c r="C853" s="66"/>
      <c r="D853" s="66"/>
      <c r="E853" s="66"/>
      <c r="O853" s="21"/>
    </row>
    <row r="854" spans="1:20" s="26" customFormat="1" x14ac:dyDescent="0.25">
      <c r="B854" s="230"/>
      <c r="C854" s="66"/>
      <c r="D854" s="66"/>
      <c r="E854" s="66"/>
      <c r="O854" s="21"/>
    </row>
    <row r="855" spans="1:20" s="26" customFormat="1" ht="33.950000000000003" customHeight="1" thickBot="1" x14ac:dyDescent="0.3">
      <c r="A855" s="165" t="s">
        <v>193</v>
      </c>
      <c r="B855" s="230"/>
      <c r="C855" s="66"/>
      <c r="D855" s="66"/>
      <c r="E855" s="66"/>
      <c r="K855" s="408" t="s">
        <v>197</v>
      </c>
      <c r="L855" s="408"/>
      <c r="M855" s="408"/>
      <c r="N855" s="408"/>
      <c r="O855" s="408"/>
      <c r="P855" s="195"/>
      <c r="Q855" s="195"/>
      <c r="R855" s="195"/>
      <c r="S855" s="195"/>
      <c r="T855" s="195"/>
    </row>
    <row r="856" spans="1:20" s="26" customFormat="1" ht="17.100000000000001" customHeight="1" thickBot="1" x14ac:dyDescent="0.3">
      <c r="A856" s="14" t="s">
        <v>194</v>
      </c>
      <c r="B856" s="230"/>
      <c r="C856" s="66"/>
      <c r="D856" s="66"/>
      <c r="E856" s="66"/>
      <c r="G856" s="13" t="s">
        <v>101</v>
      </c>
      <c r="H856" s="13" t="s">
        <v>136</v>
      </c>
      <c r="K856" s="408" t="str">
        <f>IF(F819="HT","For High tech, if a treatment cycle =28 days the corresponding pharmacy fee is =62.03*12/365.25*28.  The pharmacy fee remains the same regardless of the number of products dispensed that month.",IF(F819="CDS","For CDS, if 2 packets of the same pack presentation are required per treatment cycle, one dispensing fee applies (€5.48). If multiple pack presentations are required, multiple dispensing fees apply",""))</f>
        <v/>
      </c>
      <c r="L856" s="408"/>
      <c r="M856" s="408"/>
      <c r="N856" s="408"/>
      <c r="O856" s="408"/>
      <c r="P856" s="195"/>
      <c r="Q856" s="195"/>
      <c r="R856" s="195"/>
      <c r="S856" s="195"/>
      <c r="T856" s="195"/>
    </row>
    <row r="857" spans="1:20" s="26" customFormat="1" ht="16.5" customHeight="1" x14ac:dyDescent="0.25">
      <c r="A857" s="170" t="s">
        <v>139</v>
      </c>
      <c r="B857" s="504" t="s">
        <v>140</v>
      </c>
      <c r="C857" s="504"/>
      <c r="D857" s="504"/>
      <c r="E857" s="504"/>
      <c r="F857" s="504"/>
      <c r="G857" s="251"/>
      <c r="H857" s="252"/>
      <c r="K857" s="408"/>
      <c r="L857" s="408"/>
      <c r="M857" s="408"/>
      <c r="N857" s="408"/>
      <c r="O857" s="408"/>
      <c r="P857" s="195"/>
      <c r="Q857" s="195"/>
      <c r="R857" s="195"/>
      <c r="S857" s="195"/>
      <c r="T857" s="195"/>
    </row>
    <row r="858" spans="1:20" s="26" customFormat="1" x14ac:dyDescent="0.25">
      <c r="A858" s="173" t="s">
        <v>141</v>
      </c>
      <c r="B858" s="505" t="s">
        <v>142</v>
      </c>
      <c r="C858" s="505"/>
      <c r="D858" s="505"/>
      <c r="E858" s="505"/>
      <c r="F858" s="505"/>
      <c r="G858" s="253"/>
      <c r="H858" s="254"/>
      <c r="K858" s="14" t="s">
        <v>188</v>
      </c>
      <c r="O858" s="21"/>
    </row>
    <row r="859" spans="1:20" s="26" customFormat="1" x14ac:dyDescent="0.25">
      <c r="A859" s="173" t="s">
        <v>143</v>
      </c>
      <c r="B859" s="505" t="s">
        <v>144</v>
      </c>
      <c r="C859" s="505"/>
      <c r="D859" s="505"/>
      <c r="E859" s="505"/>
      <c r="F859" s="505"/>
      <c r="G859" s="253"/>
      <c r="H859" s="254"/>
      <c r="K859" s="14" t="s">
        <v>189</v>
      </c>
      <c r="O859" s="21"/>
    </row>
    <row r="860" spans="1:20" s="26" customFormat="1" x14ac:dyDescent="0.25">
      <c r="A860" s="173" t="s">
        <v>145</v>
      </c>
      <c r="B860" s="505" t="s">
        <v>146</v>
      </c>
      <c r="C860" s="505"/>
      <c r="D860" s="505"/>
      <c r="E860" s="505"/>
      <c r="F860" s="505"/>
      <c r="G860" s="255"/>
      <c r="H860" s="256" t="str">
        <f>IF(ISBLANK(H857),"",SUM(H857:H859))</f>
        <v/>
      </c>
      <c r="O860" s="21"/>
    </row>
    <row r="861" spans="1:20" s="26" customFormat="1" ht="15.75" thickBot="1" x14ac:dyDescent="0.3">
      <c r="A861" s="178" t="s">
        <v>147</v>
      </c>
      <c r="B861" s="515" t="s">
        <v>196</v>
      </c>
      <c r="C861" s="515"/>
      <c r="D861" s="515"/>
      <c r="E861" s="515"/>
      <c r="F861" s="515"/>
      <c r="G861" s="257"/>
      <c r="H861" s="250" t="str">
        <f>IF(ISBLANK(H857),"",SUM(H857:H858))</f>
        <v/>
      </c>
      <c r="O861" s="21"/>
    </row>
    <row r="862" spans="1:20" s="26" customFormat="1" x14ac:dyDescent="0.25">
      <c r="B862" s="66"/>
      <c r="C862" s="66"/>
      <c r="D862" s="66"/>
      <c r="E862" s="66"/>
      <c r="O862" s="21"/>
    </row>
    <row r="863" spans="1:20" s="26" customFormat="1" x14ac:dyDescent="0.25">
      <c r="B863" s="66"/>
      <c r="C863" s="66"/>
      <c r="D863" s="66"/>
      <c r="E863" s="66"/>
      <c r="O863" s="21"/>
    </row>
    <row r="864" spans="1:20" s="26" customFormat="1" x14ac:dyDescent="0.25">
      <c r="A864" s="155" t="s">
        <v>148</v>
      </c>
      <c r="B864" s="66"/>
      <c r="C864" s="66"/>
      <c r="D864" s="66"/>
      <c r="E864" s="66"/>
      <c r="O864" s="21"/>
    </row>
    <row r="865" spans="1:15" s="26" customFormat="1" ht="15.75" thickBot="1" x14ac:dyDescent="0.3">
      <c r="B865" s="66"/>
      <c r="C865" s="66"/>
      <c r="D865" s="66"/>
      <c r="E865" s="66"/>
      <c r="O865" s="21"/>
    </row>
    <row r="866" spans="1:15" s="26" customFormat="1" ht="29.1" customHeight="1" x14ac:dyDescent="0.25">
      <c r="A866" s="65"/>
      <c r="B866" s="278"/>
      <c r="C866" s="278"/>
      <c r="D866" s="278"/>
      <c r="E866" s="278"/>
      <c r="F866" s="506" t="s">
        <v>149</v>
      </c>
      <c r="G866" s="180" t="s">
        <v>150</v>
      </c>
      <c r="H866" s="508" t="s">
        <v>151</v>
      </c>
      <c r="I866" s="180" t="s">
        <v>152</v>
      </c>
      <c r="J866" s="66"/>
      <c r="K866" s="408" t="s">
        <v>269</v>
      </c>
      <c r="L866" s="408"/>
      <c r="M866" s="408"/>
      <c r="N866" s="408"/>
      <c r="O866" s="408"/>
    </row>
    <row r="867" spans="1:15" s="26" customFormat="1" x14ac:dyDescent="0.25">
      <c r="A867" s="65"/>
      <c r="B867" s="278"/>
      <c r="C867" s="278"/>
      <c r="D867" s="278"/>
      <c r="E867" s="278"/>
      <c r="F867" s="507"/>
      <c r="G867" s="253"/>
      <c r="H867" s="509"/>
      <c r="I867" s="182"/>
      <c r="J867" s="66"/>
      <c r="K867" s="408"/>
      <c r="L867" s="408"/>
      <c r="M867" s="408"/>
      <c r="N867" s="408"/>
      <c r="O867" s="408"/>
    </row>
    <row r="868" spans="1:15" s="26" customFormat="1" ht="15.75" thickBot="1" x14ac:dyDescent="0.3">
      <c r="A868" s="65"/>
      <c r="B868" s="278"/>
      <c r="C868" s="278"/>
      <c r="D868" s="278"/>
      <c r="E868" s="278"/>
      <c r="F868" s="507"/>
      <c r="G868" s="183" t="s">
        <v>153</v>
      </c>
      <c r="H868" s="510"/>
      <c r="I868" s="184"/>
      <c r="J868" s="66"/>
      <c r="K868" s="408"/>
      <c r="L868" s="408"/>
      <c r="M868" s="408"/>
      <c r="N868" s="408"/>
      <c r="O868" s="408"/>
    </row>
    <row r="869" spans="1:15" s="26" customFormat="1" x14ac:dyDescent="0.25">
      <c r="A869" s="247" t="s">
        <v>77</v>
      </c>
      <c r="B869" s="463" t="str">
        <f>B838</f>
        <v>Price to Wholesaler</v>
      </c>
      <c r="C869" s="463"/>
      <c r="D869" s="463"/>
      <c r="E869" s="463"/>
      <c r="F869" s="256">
        <f>SUMPRODUCT(F838:I838,F830:I830)</f>
        <v>0</v>
      </c>
      <c r="G869" s="256">
        <f>F869*G867</f>
        <v>0</v>
      </c>
      <c r="H869" s="256" t="str">
        <f>IF(H828="Days",F869/F828*365.25,IF(H828="Months",F869/F828*12,""))</f>
        <v/>
      </c>
      <c r="I869" s="256" t="str">
        <f>IF(AND(H828="Days",I868="Days"),F869/F828*I867,IF(AND(H828="Months",I868="Months"),F869/F828*I867,IF(AND(H828="Days",I868="Months"),F869/F828*30.4375*I867,IF(AND(H828="Months",I868="Days"),F869/F828/30.4375*I867,""))))</f>
        <v/>
      </c>
      <c r="O869" s="21"/>
    </row>
    <row r="870" spans="1:15" s="26" customFormat="1" x14ac:dyDescent="0.25">
      <c r="A870" s="255" t="s">
        <v>78</v>
      </c>
      <c r="B870" s="464" t="str">
        <f>B839</f>
        <v>Wholesale Mark-up</v>
      </c>
      <c r="C870" s="464"/>
      <c r="D870" s="464"/>
      <c r="E870" s="464"/>
      <c r="F870" s="256">
        <f>SUMPRODUCT(F839:I839,F830:I830)</f>
        <v>0</v>
      </c>
      <c r="G870" s="256">
        <f>F870*G867</f>
        <v>0</v>
      </c>
      <c r="H870" s="256" t="str">
        <f>IF(H828="Days",F870/F828*365.25,IF(H828="Months",F870/F828*12,""))</f>
        <v/>
      </c>
      <c r="I870" s="256" t="str">
        <f>IF(AND(H828="Days",I868="Days"),F870/F828*I867,IF(AND(H828="Months",I868="Months"),F870/F828*I867,IF(AND(H828="Days",I868="Months"),F870/F828*30.4375*I867,IF(AND(H828="Months",I868="Days"),F870/F828/30.4375*I867,""))))</f>
        <v/>
      </c>
      <c r="O870" s="21"/>
    </row>
    <row r="871" spans="1:15" s="26" customFormat="1" x14ac:dyDescent="0.25">
      <c r="A871" s="255" t="s">
        <v>79</v>
      </c>
      <c r="B871" s="281" t="str">
        <f>B840</f>
        <v>Reimbursement Price</v>
      </c>
      <c r="C871" s="275"/>
      <c r="D871" s="276"/>
      <c r="E871" s="277"/>
      <c r="F871" s="256">
        <f>SUMPRODUCT(F840:I840,F830:I830)</f>
        <v>0</v>
      </c>
      <c r="G871" s="256">
        <f>F871*G867</f>
        <v>0</v>
      </c>
      <c r="H871" s="256" t="str">
        <f>IF(H828="Days",F871/F828*365.25,IF(H828="Months",F871/F828*12,""))</f>
        <v/>
      </c>
      <c r="I871" s="256" t="str">
        <f>IF(AND(H828="Days",I868="Days"),F871/F828*I867,IF(AND(H828="Months",I868="Months"),F871/F828*I867,IF(AND(H828="Days",I868="Months"),F871/F828*30.4375*I867,IF(AND(H828="Months",I868="Days"),F871/F828/30.4375*I867,""))))</f>
        <v/>
      </c>
      <c r="O871" s="21"/>
    </row>
    <row r="872" spans="1:15" s="26" customFormat="1" x14ac:dyDescent="0.25">
      <c r="A872" s="255" t="s">
        <v>80</v>
      </c>
      <c r="B872" s="495" t="str">
        <f>B841</f>
        <v>Framework Agreement Rebate</v>
      </c>
      <c r="C872" s="496"/>
      <c r="D872" s="496"/>
      <c r="E872" s="497"/>
      <c r="F872" s="256">
        <f>SUMPRODUCT(F841:I841,F830:I830)</f>
        <v>0</v>
      </c>
      <c r="G872" s="256">
        <f>F872*G867</f>
        <v>0</v>
      </c>
      <c r="H872" s="256" t="str">
        <f>IF(H828="Days",F872/F828*365.25,IF(H828="Months",F872/F828*12,""))</f>
        <v/>
      </c>
      <c r="I872" s="256" t="str">
        <f>IF(AND(H828="Days",I868="Days"),F872/F828*I867,IF(AND(H828="Months",I868="Months"),F872/F828*I867,IF(AND(H828="Days",I868="Months"),F872/F828*30.4375*I867,IF(AND(H828="Months",I868="Days"),F872/F828/30.4375*I867,""))))</f>
        <v/>
      </c>
      <c r="O872" s="21"/>
    </row>
    <row r="873" spans="1:15" s="26" customFormat="1" x14ac:dyDescent="0.25">
      <c r="A873" s="255" t="s">
        <v>81</v>
      </c>
      <c r="B873" s="495" t="str">
        <f>B842</f>
        <v xml:space="preserve">VAT on Drug Cost </v>
      </c>
      <c r="C873" s="496"/>
      <c r="D873" s="496"/>
      <c r="E873" s="497"/>
      <c r="F873" s="256">
        <f>SUMPRODUCT(F842:I842,F830:I830)</f>
        <v>0</v>
      </c>
      <c r="G873" s="256">
        <f>F873*G867</f>
        <v>0</v>
      </c>
      <c r="H873" s="256" t="str">
        <f>IF(H828="Days",F873/F828*365.25,IF(H828="Months",F873/F828*12,""))</f>
        <v/>
      </c>
      <c r="I873" s="256" t="str">
        <f>IF(AND(H828="Days",I868="Days"),F873/F828*I867,IF(AND(H828="Months",I868="Months"),F873/F828*I867,IF(AND(H828="Days",I868="Months"),F873/F828*30.4375*I867,IF(AND(H828="Months",I868="Days"),F873/F828/30.4375*I867,""))))</f>
        <v/>
      </c>
      <c r="O873" s="21"/>
    </row>
    <row r="874" spans="1:15" s="26" customFormat="1" x14ac:dyDescent="0.25">
      <c r="A874" s="255" t="s">
        <v>154</v>
      </c>
      <c r="B874" s="495" t="s">
        <v>155</v>
      </c>
      <c r="C874" s="496"/>
      <c r="D874" s="496"/>
      <c r="E874" s="497"/>
      <c r="F874" s="256" t="str">
        <f>IF(H860="","",H860)</f>
        <v/>
      </c>
      <c r="G874" s="256" t="str">
        <f>IF(F874="","",F874*G867)</f>
        <v/>
      </c>
      <c r="H874" s="256" t="str">
        <f>IF(F874="","",IF(H828="Days",F874/F828*365.25,IF(H828="Months",F874/F828*12,"")))</f>
        <v/>
      </c>
      <c r="I874" s="256" t="str">
        <f>IF(F874="","",IF(AND(H828="Days",I868="Days"),F874/F828*I867,IF(AND(H828="Months",I868="Months"),F874/F828*I867,IF(AND(H828="Days",I868="Months"),F874/F828*30.4375*I867,IF(AND(H828="Months",I868="Days"),F874/F828/30.4375*I867,"")))))</f>
        <v/>
      </c>
      <c r="O874" s="21"/>
    </row>
    <row r="875" spans="1:15" s="26" customFormat="1" x14ac:dyDescent="0.25">
      <c r="A875" s="255" t="s">
        <v>156</v>
      </c>
      <c r="B875" s="495" t="s">
        <v>157</v>
      </c>
      <c r="C875" s="496"/>
      <c r="D875" s="496"/>
      <c r="E875" s="497"/>
      <c r="F875" s="256" t="str">
        <f>IF(H861="","",H861)</f>
        <v/>
      </c>
      <c r="G875" s="256" t="str">
        <f>IF(F875="","",F875*G867)</f>
        <v/>
      </c>
      <c r="H875" s="256" t="str">
        <f>IF(F875="","",IF(H828="Days",F875/F828*365.25,IF(H828="Months",F875/F828*12,"")))</f>
        <v/>
      </c>
      <c r="I875" s="256" t="str">
        <f>IF(F875="","",IF(AND(H828="Days",I868="Days"),F875/F828*I867,IF(AND(H828="Months",I868="Months"),F875/F828*I867,IF(AND(H828="Days",I868="Months"),F875/F828*30.4375*I867,IF(AND(H828="Months",I868="Days"),F875/F828/30.4375*I867,"")))))</f>
        <v/>
      </c>
      <c r="O875" s="21"/>
    </row>
    <row r="876" spans="1:15" s="155" customFormat="1" x14ac:dyDescent="0.25">
      <c r="A876" s="186" t="s">
        <v>158</v>
      </c>
      <c r="B876" s="498" t="s">
        <v>159</v>
      </c>
      <c r="C876" s="499"/>
      <c r="D876" s="499"/>
      <c r="E876" s="500"/>
      <c r="F876" s="187">
        <f>SUM(F871:F874)</f>
        <v>0</v>
      </c>
      <c r="G876" s="187">
        <f t="shared" ref="G876:I876" si="74">SUM(G871:G874)</f>
        <v>0</v>
      </c>
      <c r="H876" s="187">
        <f t="shared" si="74"/>
        <v>0</v>
      </c>
      <c r="I876" s="187">
        <f t="shared" si="74"/>
        <v>0</v>
      </c>
      <c r="K876" s="98" t="s">
        <v>191</v>
      </c>
      <c r="O876" s="189"/>
    </row>
    <row r="877" spans="1:15" s="26" customFormat="1" ht="15.75" thickBot="1" x14ac:dyDescent="0.3">
      <c r="A877" s="257" t="s">
        <v>160</v>
      </c>
      <c r="B877" s="501" t="s">
        <v>161</v>
      </c>
      <c r="C877" s="502"/>
      <c r="D877" s="502"/>
      <c r="E877" s="503"/>
      <c r="F877" s="250">
        <f>IF(F875="",SUM(F871+F872),F871+F872+F875)</f>
        <v>0</v>
      </c>
      <c r="G877" s="250">
        <f t="shared" ref="G877" si="75">IF(G875="",SUM(G871+G872),G871+G872+G875)</f>
        <v>0</v>
      </c>
      <c r="H877" s="250" t="e">
        <f>IF(H875="",SUM(H871+H872),H871+H872+H875)</f>
        <v>#VALUE!</v>
      </c>
      <c r="I877" s="250" t="e">
        <f t="shared" ref="I877" si="76">IF(I875="",SUM(I871+I872),I871+I872+I875)</f>
        <v>#VALUE!</v>
      </c>
      <c r="K877" s="14" t="s">
        <v>192</v>
      </c>
      <c r="O877" s="21"/>
    </row>
    <row r="878" spans="1:15" s="26" customFormat="1" x14ac:dyDescent="0.25">
      <c r="B878" s="229"/>
      <c r="C878" s="66"/>
      <c r="D878" s="66"/>
      <c r="E878" s="66"/>
      <c r="O878" s="21"/>
    </row>
    <row r="879" spans="1:15" s="26" customFormat="1" x14ac:dyDescent="0.25"/>
    <row r="880" spans="1:15" s="26" customFormat="1" x14ac:dyDescent="0.25">
      <c r="B880" s="286" t="s">
        <v>101</v>
      </c>
      <c r="C880" s="286"/>
      <c r="D880" s="286"/>
      <c r="E880" s="286"/>
    </row>
    <row r="881" spans="2:19" s="26" customFormat="1" ht="15.75" customHeight="1" x14ac:dyDescent="0.25"/>
    <row r="882" spans="2:19" s="26" customFormat="1" x14ac:dyDescent="0.25">
      <c r="B882" s="234"/>
      <c r="C882" s="234"/>
      <c r="D882" s="234"/>
      <c r="E882" s="234"/>
      <c r="F882" s="234"/>
      <c r="G882" s="234"/>
      <c r="H882" s="234"/>
      <c r="I882" s="234"/>
      <c r="J882" s="234"/>
      <c r="K882" s="234"/>
      <c r="L882" s="234"/>
      <c r="M882" s="234"/>
      <c r="N882" s="234"/>
      <c r="O882" s="234"/>
      <c r="P882" s="234"/>
      <c r="Q882" s="234"/>
      <c r="R882" s="234"/>
      <c r="S882" s="234"/>
    </row>
    <row r="883" spans="2:19" s="26" customFormat="1" x14ac:dyDescent="0.25">
      <c r="B883" s="234"/>
      <c r="C883" s="234"/>
      <c r="D883" s="234"/>
      <c r="E883" s="234"/>
      <c r="F883" s="234"/>
      <c r="G883" s="234"/>
      <c r="H883" s="234"/>
      <c r="I883" s="234"/>
      <c r="J883" s="234"/>
      <c r="K883" s="234"/>
      <c r="L883" s="234"/>
      <c r="M883" s="234"/>
      <c r="N883" s="234"/>
      <c r="O883" s="234"/>
      <c r="P883" s="234"/>
      <c r="Q883" s="234"/>
      <c r="R883" s="234"/>
      <c r="S883" s="234"/>
    </row>
    <row r="884" spans="2:19" s="26" customFormat="1" x14ac:dyDescent="0.25">
      <c r="B884" s="234"/>
      <c r="C884" s="234"/>
      <c r="D884" s="234"/>
      <c r="E884" s="234"/>
      <c r="F884" s="234"/>
      <c r="G884" s="234"/>
      <c r="H884" s="234"/>
      <c r="I884" s="234"/>
      <c r="J884" s="234"/>
      <c r="K884" s="234"/>
      <c r="L884" s="234"/>
      <c r="M884" s="234"/>
      <c r="N884" s="234"/>
      <c r="O884" s="234"/>
      <c r="P884" s="234"/>
      <c r="Q884" s="234"/>
      <c r="R884" s="234"/>
      <c r="S884" s="234"/>
    </row>
    <row r="885" spans="2:19" s="26" customFormat="1" x14ac:dyDescent="0.25">
      <c r="B885" s="234"/>
      <c r="C885" s="234"/>
      <c r="D885" s="234"/>
      <c r="E885" s="234"/>
      <c r="F885" s="234"/>
      <c r="G885" s="234"/>
      <c r="H885" s="234"/>
      <c r="I885" s="234"/>
      <c r="J885" s="234"/>
      <c r="K885" s="234"/>
      <c r="L885" s="234"/>
      <c r="M885" s="234"/>
      <c r="N885" s="234"/>
      <c r="O885" s="234"/>
      <c r="P885" s="234"/>
      <c r="Q885" s="234"/>
      <c r="R885" s="234"/>
      <c r="S885" s="234"/>
    </row>
    <row r="886" spans="2:19" s="26" customFormat="1" x14ac:dyDescent="0.25">
      <c r="B886" s="234"/>
      <c r="C886" s="234"/>
      <c r="D886" s="234"/>
      <c r="E886" s="234"/>
      <c r="F886" s="234"/>
      <c r="G886" s="234"/>
      <c r="H886" s="234"/>
      <c r="I886" s="234"/>
      <c r="J886" s="234"/>
      <c r="K886" s="234"/>
      <c r="L886" s="234"/>
      <c r="M886" s="234"/>
      <c r="N886" s="234"/>
      <c r="O886" s="234"/>
      <c r="P886" s="234"/>
      <c r="Q886" s="234"/>
      <c r="R886" s="234"/>
      <c r="S886" s="234"/>
    </row>
    <row r="887" spans="2:19" s="26" customFormat="1" x14ac:dyDescent="0.25">
      <c r="B887" s="234"/>
      <c r="C887" s="234"/>
      <c r="D887" s="234"/>
      <c r="E887" s="234"/>
      <c r="F887" s="234"/>
      <c r="G887" s="234"/>
      <c r="H887" s="234"/>
      <c r="I887" s="234"/>
      <c r="J887" s="234"/>
      <c r="K887" s="234"/>
      <c r="L887" s="234"/>
      <c r="M887" s="234"/>
      <c r="N887" s="234"/>
      <c r="O887" s="234"/>
      <c r="P887" s="234"/>
      <c r="Q887" s="234"/>
      <c r="R887" s="234"/>
      <c r="S887" s="234"/>
    </row>
    <row r="888" spans="2:19" s="26" customFormat="1" x14ac:dyDescent="0.25">
      <c r="B888" s="234"/>
      <c r="C888" s="234"/>
      <c r="D888" s="234"/>
      <c r="E888" s="234"/>
      <c r="F888" s="234"/>
      <c r="G888" s="234"/>
      <c r="H888" s="234"/>
      <c r="I888" s="234"/>
      <c r="J888" s="234"/>
      <c r="K888" s="234"/>
      <c r="L888" s="234"/>
      <c r="M888" s="234"/>
      <c r="N888" s="234"/>
      <c r="O888" s="234"/>
      <c r="P888" s="234"/>
      <c r="Q888" s="234"/>
      <c r="R888" s="234"/>
      <c r="S888" s="234"/>
    </row>
    <row r="889" spans="2:19" s="26" customFormat="1" x14ac:dyDescent="0.25">
      <c r="B889" s="234"/>
      <c r="C889" s="234"/>
      <c r="D889" s="234"/>
      <c r="E889" s="234"/>
      <c r="F889" s="234"/>
      <c r="G889" s="234"/>
      <c r="H889" s="234"/>
      <c r="I889" s="234"/>
      <c r="J889" s="234"/>
      <c r="K889" s="234"/>
      <c r="L889" s="234"/>
      <c r="M889" s="234"/>
      <c r="N889" s="234"/>
      <c r="O889" s="234"/>
      <c r="P889" s="234"/>
      <c r="Q889" s="234"/>
      <c r="R889" s="234"/>
      <c r="S889" s="234"/>
    </row>
    <row r="890" spans="2:19" s="26" customFormat="1" x14ac:dyDescent="0.25">
      <c r="B890" s="234"/>
      <c r="C890" s="234"/>
      <c r="D890" s="234"/>
      <c r="E890" s="234"/>
      <c r="F890" s="234"/>
      <c r="G890" s="234"/>
      <c r="H890" s="234"/>
      <c r="I890" s="234"/>
      <c r="J890" s="234"/>
      <c r="K890" s="234"/>
      <c r="L890" s="234"/>
      <c r="M890" s="234"/>
      <c r="N890" s="234"/>
      <c r="O890" s="234"/>
      <c r="P890" s="234"/>
      <c r="Q890" s="234"/>
      <c r="R890" s="234"/>
      <c r="S890" s="234"/>
    </row>
    <row r="891" spans="2:19" s="26" customFormat="1" x14ac:dyDescent="0.25">
      <c r="B891" s="234"/>
      <c r="C891" s="234"/>
      <c r="D891" s="234"/>
      <c r="E891" s="234"/>
      <c r="F891" s="234"/>
      <c r="G891" s="234"/>
      <c r="H891" s="234"/>
      <c r="I891" s="234"/>
      <c r="J891" s="234"/>
      <c r="K891" s="234"/>
      <c r="L891" s="234"/>
      <c r="M891" s="234"/>
      <c r="N891" s="234"/>
      <c r="O891" s="234"/>
      <c r="P891" s="234"/>
      <c r="Q891" s="234"/>
      <c r="R891" s="234"/>
      <c r="S891" s="234"/>
    </row>
    <row r="894" spans="2:19" ht="15.75" thickBot="1" x14ac:dyDescent="0.3"/>
    <row r="895" spans="2:19" s="26" customFormat="1" ht="15.75" thickBot="1" x14ac:dyDescent="0.3">
      <c r="B895" s="410" t="str">
        <f>CONCATENATE("Comparator 10: ",NameComparator10)</f>
        <v xml:space="preserve">Comparator 10: </v>
      </c>
      <c r="C895" s="411"/>
      <c r="D895" s="411"/>
      <c r="E895" s="411"/>
      <c r="F895" s="411"/>
      <c r="G895" s="412"/>
    </row>
    <row r="896" spans="2:19" s="26" customFormat="1" x14ac:dyDescent="0.25">
      <c r="B896" s="227"/>
      <c r="C896" s="227"/>
      <c r="D896" s="227"/>
      <c r="F896" s="278"/>
      <c r="G896" s="278"/>
      <c r="H896" s="278"/>
      <c r="I896" s="278"/>
      <c r="J896" s="278"/>
    </row>
    <row r="897" spans="1:22" s="26" customFormat="1" x14ac:dyDescent="0.25"/>
    <row r="898" spans="1:22" s="26" customFormat="1" ht="28.5" customHeight="1" thickBot="1" x14ac:dyDescent="0.3">
      <c r="B898" s="334" t="s">
        <v>118</v>
      </c>
      <c r="C898" s="334"/>
      <c r="D898" s="334"/>
      <c r="E898" s="334"/>
      <c r="K898" s="408" t="s">
        <v>209</v>
      </c>
      <c r="L898" s="408"/>
      <c r="M898" s="408"/>
      <c r="N898" s="408"/>
      <c r="O898" s="408"/>
      <c r="P898" s="225"/>
      <c r="Q898" s="225"/>
      <c r="R898" s="225"/>
      <c r="S898" s="225"/>
      <c r="T898" s="225"/>
      <c r="U898" s="225"/>
      <c r="V898" s="225"/>
    </row>
    <row r="899" spans="1:22" s="26" customFormat="1" ht="18.95" customHeight="1" thickBot="1" x14ac:dyDescent="0.3">
      <c r="B899" s="465" t="s">
        <v>119</v>
      </c>
      <c r="C899" s="466"/>
      <c r="D899" s="466"/>
      <c r="E899" s="466"/>
      <c r="F899" s="466"/>
      <c r="G899" s="466"/>
      <c r="H899" s="466"/>
      <c r="I899" s="467"/>
      <c r="K899" s="408"/>
      <c r="L899" s="408"/>
      <c r="M899" s="408"/>
      <c r="N899" s="408"/>
      <c r="O899" s="408"/>
      <c r="P899" s="225"/>
      <c r="Q899" s="225"/>
      <c r="R899" s="225"/>
      <c r="S899" s="225"/>
      <c r="T899" s="225"/>
      <c r="U899" s="225"/>
      <c r="V899" s="225"/>
    </row>
    <row r="900" spans="1:22" s="26" customFormat="1" ht="15.75" thickBot="1" x14ac:dyDescent="0.3">
      <c r="B900" s="285"/>
      <c r="C900" s="283"/>
      <c r="D900" s="283"/>
      <c r="E900" s="283"/>
      <c r="F900" s="466" t="s">
        <v>120</v>
      </c>
      <c r="G900" s="466"/>
      <c r="H900" s="466"/>
      <c r="I900" s="467"/>
      <c r="K900" s="14"/>
    </row>
    <row r="901" spans="1:22" s="26" customFormat="1" ht="15.75" thickBot="1" x14ac:dyDescent="0.3">
      <c r="B901" s="472" t="s">
        <v>174</v>
      </c>
      <c r="C901" s="473"/>
      <c r="D901" s="473"/>
      <c r="E901" s="474"/>
      <c r="F901" s="149"/>
      <c r="G901" s="149"/>
      <c r="H901" s="149"/>
      <c r="I901" s="149"/>
      <c r="K901" s="14" t="s">
        <v>180</v>
      </c>
    </row>
    <row r="902" spans="1:22" s="26" customFormat="1" ht="30" customHeight="1" thickBot="1" x14ac:dyDescent="0.3">
      <c r="B902" s="472" t="s">
        <v>106</v>
      </c>
      <c r="C902" s="473"/>
      <c r="D902" s="473"/>
      <c r="E902" s="474"/>
      <c r="F902" s="235"/>
      <c r="G902" s="235"/>
      <c r="H902" s="235"/>
      <c r="I902" s="235"/>
      <c r="J902" s="26" t="s">
        <v>104</v>
      </c>
      <c r="K902" s="408" t="s">
        <v>181</v>
      </c>
      <c r="L902" s="408"/>
      <c r="M902" s="408"/>
      <c r="N902" s="408"/>
      <c r="O902" s="408"/>
      <c r="P902" s="21"/>
      <c r="Q902" s="21"/>
      <c r="R902" s="21"/>
      <c r="S902" s="21"/>
      <c r="T902" s="21"/>
    </row>
    <row r="903" spans="1:22" s="26" customFormat="1" ht="15.75" thickBot="1" x14ac:dyDescent="0.3">
      <c r="A903" s="14"/>
      <c r="B903" s="472" t="s">
        <v>107</v>
      </c>
      <c r="C903" s="473"/>
      <c r="D903" s="473"/>
      <c r="E903" s="474"/>
      <c r="F903" s="151"/>
      <c r="G903" s="151"/>
      <c r="H903" s="151"/>
      <c r="I903" s="151"/>
      <c r="J903" s="236"/>
      <c r="K903" s="110" t="s">
        <v>182</v>
      </c>
      <c r="N903" s="21"/>
      <c r="O903" s="21"/>
      <c r="P903" s="21"/>
      <c r="Q903" s="21"/>
      <c r="R903" s="21"/>
      <c r="S903" s="21"/>
      <c r="T903" s="21"/>
    </row>
    <row r="904" spans="1:22" s="26" customFormat="1" ht="15.75" thickBot="1" x14ac:dyDescent="0.3">
      <c r="A904" s="15"/>
      <c r="B904" s="472" t="s">
        <v>108</v>
      </c>
      <c r="C904" s="473"/>
      <c r="D904" s="473"/>
      <c r="E904" s="474"/>
      <c r="F904" s="489"/>
      <c r="G904" s="490"/>
      <c r="H904" s="490"/>
      <c r="I904" s="491"/>
      <c r="J904" s="237" t="s">
        <v>104</v>
      </c>
      <c r="K904" s="110" t="s">
        <v>210</v>
      </c>
    </row>
    <row r="905" spans="1:22" s="26" customFormat="1" ht="15.75" thickBot="1" x14ac:dyDescent="0.3">
      <c r="A905" s="15"/>
      <c r="B905" s="472" t="s">
        <v>74</v>
      </c>
      <c r="C905" s="473"/>
      <c r="D905" s="473"/>
      <c r="E905" s="474"/>
      <c r="F905" s="492"/>
      <c r="G905" s="493"/>
      <c r="H905" s="493"/>
      <c r="I905" s="494"/>
      <c r="J905" s="237" t="s">
        <v>104</v>
      </c>
      <c r="K905" s="110" t="s">
        <v>184</v>
      </c>
    </row>
    <row r="906" spans="1:22" s="26" customFormat="1" ht="15.75" thickBot="1" x14ac:dyDescent="0.3">
      <c r="B906" s="472" t="s">
        <v>75</v>
      </c>
      <c r="C906" s="473"/>
      <c r="D906" s="473"/>
      <c r="E906" s="474"/>
      <c r="F906" s="492"/>
      <c r="G906" s="493"/>
      <c r="H906" s="493"/>
      <c r="I906" s="494"/>
      <c r="J906" s="26" t="s">
        <v>104</v>
      </c>
      <c r="K906" s="110" t="s">
        <v>185</v>
      </c>
    </row>
    <row r="907" spans="1:22" s="26" customFormat="1" ht="15.75" thickBot="1" x14ac:dyDescent="0.3">
      <c r="B907" s="472" t="s">
        <v>76</v>
      </c>
      <c r="C907" s="473"/>
      <c r="D907" s="473"/>
      <c r="E907" s="474"/>
      <c r="F907" s="492"/>
      <c r="G907" s="493"/>
      <c r="H907" s="493"/>
      <c r="I907" s="494"/>
      <c r="J907" s="237" t="s">
        <v>104</v>
      </c>
      <c r="K907" s="110" t="s">
        <v>219</v>
      </c>
    </row>
    <row r="908" spans="1:22" s="26" customFormat="1" ht="15.75" thickBot="1" x14ac:dyDescent="0.3">
      <c r="B908" s="472" t="s">
        <v>172</v>
      </c>
      <c r="C908" s="473"/>
      <c r="D908" s="473"/>
      <c r="E908" s="474"/>
      <c r="F908" s="492"/>
      <c r="G908" s="493"/>
      <c r="H908" s="493"/>
      <c r="I908" s="494"/>
      <c r="J908" s="237" t="s">
        <v>104</v>
      </c>
      <c r="K908" s="110" t="s">
        <v>217</v>
      </c>
    </row>
    <row r="909" spans="1:22" s="26" customFormat="1" ht="15.75" thickBot="1" x14ac:dyDescent="0.3">
      <c r="B909" s="472" t="s">
        <v>173</v>
      </c>
      <c r="C909" s="473"/>
      <c r="D909" s="473"/>
      <c r="E909" s="474"/>
      <c r="F909" s="492"/>
      <c r="G909" s="493"/>
      <c r="H909" s="493"/>
      <c r="I909" s="494"/>
      <c r="J909" s="237" t="s">
        <v>104</v>
      </c>
      <c r="K909" s="110" t="s">
        <v>218</v>
      </c>
    </row>
    <row r="910" spans="1:22" s="26" customFormat="1" ht="30" customHeight="1" x14ac:dyDescent="0.25">
      <c r="B910" s="112"/>
      <c r="C910" s="112"/>
      <c r="D910" s="112"/>
      <c r="E910" s="278"/>
      <c r="F910" s="278"/>
      <c r="G910" s="238"/>
      <c r="H910" s="278"/>
      <c r="I910" s="278"/>
      <c r="J910" s="239"/>
      <c r="K910" s="110"/>
    </row>
    <row r="911" spans="1:22" s="26" customFormat="1" ht="15.75" thickBot="1" x14ac:dyDescent="0.3">
      <c r="B911" s="334" t="s">
        <v>171</v>
      </c>
      <c r="C911" s="334"/>
      <c r="D911" s="334"/>
      <c r="E911" s="334"/>
      <c r="F911" s="278"/>
      <c r="G911" s="278"/>
      <c r="H911" s="278"/>
      <c r="I911" s="278"/>
      <c r="J911" s="239"/>
      <c r="K911" s="404" t="s">
        <v>195</v>
      </c>
      <c r="L911" s="404"/>
      <c r="M911" s="404"/>
      <c r="N911" s="404"/>
      <c r="O911" s="404"/>
      <c r="P911" s="274"/>
      <c r="Q911" s="274"/>
      <c r="R911" s="274"/>
      <c r="S911" s="274"/>
      <c r="T911" s="274"/>
      <c r="U911" s="274"/>
      <c r="V911" s="274"/>
    </row>
    <row r="912" spans="1:22" s="26" customFormat="1" ht="29.1" customHeight="1" thickBot="1" x14ac:dyDescent="0.3">
      <c r="B912" s="465" t="s">
        <v>121</v>
      </c>
      <c r="C912" s="466"/>
      <c r="D912" s="466"/>
      <c r="E912" s="466"/>
      <c r="F912" s="466"/>
      <c r="G912" s="466"/>
      <c r="H912" s="466"/>
      <c r="I912" s="467"/>
      <c r="J912" s="239"/>
      <c r="K912" s="404"/>
      <c r="L912" s="404"/>
      <c r="M912" s="404"/>
      <c r="N912" s="404"/>
      <c r="O912" s="404"/>
      <c r="P912" s="274"/>
      <c r="Q912" s="274"/>
      <c r="R912" s="274"/>
      <c r="S912" s="274"/>
      <c r="T912" s="274"/>
      <c r="U912" s="274"/>
      <c r="V912" s="274"/>
    </row>
    <row r="913" spans="1:15" s="26" customFormat="1" ht="30" customHeight="1" thickBot="1" x14ac:dyDescent="0.3">
      <c r="B913" s="472" t="s">
        <v>122</v>
      </c>
      <c r="C913" s="473"/>
      <c r="D913" s="473"/>
      <c r="E913" s="474"/>
      <c r="F913" s="468"/>
      <c r="G913" s="469"/>
      <c r="H913" s="470"/>
      <c r="I913" s="471"/>
      <c r="J913" s="239"/>
      <c r="K913" s="408" t="s">
        <v>186</v>
      </c>
      <c r="L913" s="408"/>
      <c r="M913" s="408"/>
      <c r="N913" s="408"/>
      <c r="O913" s="408"/>
    </row>
    <row r="914" spans="1:15" s="26" customFormat="1" ht="23.1" customHeight="1" thickBot="1" x14ac:dyDescent="0.3">
      <c r="B914" s="472" t="str">
        <f>B901</f>
        <v>Pack Identification</v>
      </c>
      <c r="C914" s="473"/>
      <c r="D914" s="473"/>
      <c r="E914" s="474"/>
      <c r="F914" s="192" t="str">
        <f>IF(ISBLANK(F901),"",F901)</f>
        <v/>
      </c>
      <c r="G914" s="192" t="str">
        <f t="shared" ref="G914:I914" si="77">IF(ISBLANK(G901),"",G901)</f>
        <v/>
      </c>
      <c r="H914" s="192" t="str">
        <f t="shared" si="77"/>
        <v/>
      </c>
      <c r="I914" s="192" t="str">
        <f t="shared" si="77"/>
        <v/>
      </c>
      <c r="J914" s="239"/>
      <c r="K914" s="408"/>
      <c r="L914" s="408"/>
      <c r="M914" s="408"/>
      <c r="N914" s="408"/>
      <c r="O914" s="408"/>
    </row>
    <row r="915" spans="1:15" s="26" customFormat="1" ht="15.75" thickBot="1" x14ac:dyDescent="0.3">
      <c r="B915" s="512" t="s">
        <v>123</v>
      </c>
      <c r="C915" s="513"/>
      <c r="D915" s="513"/>
      <c r="E915" s="514"/>
      <c r="F915" s="145"/>
      <c r="G915" s="154"/>
      <c r="H915" s="154"/>
      <c r="I915" s="154"/>
      <c r="J915" s="239"/>
      <c r="K915" s="408" t="s">
        <v>187</v>
      </c>
      <c r="L915" s="408"/>
      <c r="M915" s="408"/>
      <c r="N915" s="408"/>
      <c r="O915" s="408"/>
    </row>
    <row r="916" spans="1:15" s="26" customFormat="1" ht="75.75" customHeight="1" x14ac:dyDescent="0.25">
      <c r="B916" s="284"/>
      <c r="C916" s="284"/>
      <c r="D916" s="284"/>
      <c r="E916" s="284"/>
      <c r="F916" s="278"/>
      <c r="G916" s="278"/>
      <c r="H916" s="278"/>
      <c r="I916" s="278"/>
      <c r="J916" s="239"/>
      <c r="K916" s="408"/>
      <c r="L916" s="408"/>
      <c r="M916" s="408"/>
      <c r="N916" s="408"/>
      <c r="O916" s="408"/>
    </row>
    <row r="917" spans="1:15" s="26" customFormat="1" x14ac:dyDescent="0.25">
      <c r="B917" s="511"/>
      <c r="C917" s="511"/>
      <c r="D917" s="511"/>
      <c r="E917" s="511"/>
      <c r="K917" s="408"/>
      <c r="L917" s="408"/>
      <c r="M917" s="408"/>
      <c r="N917" s="408"/>
      <c r="O917" s="408"/>
    </row>
    <row r="918" spans="1:15" s="26" customFormat="1" x14ac:dyDescent="0.25">
      <c r="B918" s="278"/>
      <c r="C918" s="278"/>
      <c r="D918" s="278"/>
      <c r="E918" s="278"/>
      <c r="O918" s="21"/>
    </row>
    <row r="919" spans="1:15" s="26" customFormat="1" x14ac:dyDescent="0.25">
      <c r="A919" s="155"/>
      <c r="B919" s="286" t="s">
        <v>124</v>
      </c>
      <c r="C919" s="273"/>
      <c r="D919" s="66"/>
      <c r="E919" s="66"/>
      <c r="F919" s="390"/>
      <c r="G919" s="390"/>
      <c r="H919" s="390"/>
      <c r="I919" s="390"/>
      <c r="O919" s="21"/>
    </row>
    <row r="920" spans="1:15" s="26" customFormat="1" x14ac:dyDescent="0.25">
      <c r="A920" s="14" t="s">
        <v>125</v>
      </c>
      <c r="B920" s="273"/>
      <c r="C920" s="273"/>
      <c r="D920" s="66"/>
      <c r="E920" s="66"/>
      <c r="F920" s="273"/>
      <c r="G920" s="273"/>
      <c r="H920" s="273"/>
      <c r="I920" s="273"/>
      <c r="O920" s="21"/>
    </row>
    <row r="921" spans="1:15" s="26" customFormat="1" ht="15.75" thickBot="1" x14ac:dyDescent="0.3">
      <c r="B921" s="66"/>
      <c r="C921" s="66"/>
      <c r="D921" s="66"/>
      <c r="E921" s="66"/>
      <c r="F921" s="390" t="s">
        <v>126</v>
      </c>
      <c r="G921" s="390"/>
      <c r="H921" s="390"/>
      <c r="I921" s="390"/>
      <c r="O921" s="21"/>
    </row>
    <row r="922" spans="1:15" s="26" customFormat="1" ht="15.75" thickBot="1" x14ac:dyDescent="0.3">
      <c r="B922" s="66"/>
      <c r="C922" s="66"/>
      <c r="D922" s="66"/>
      <c r="E922" s="66"/>
      <c r="F922" s="156" t="str">
        <f>IF(F901="","",F901)</f>
        <v/>
      </c>
      <c r="G922" s="156" t="str">
        <f>IF(G901="","",G901)</f>
        <v/>
      </c>
      <c r="H922" s="156" t="str">
        <f>IF(H901="","",H901)</f>
        <v/>
      </c>
      <c r="I922" s="156" t="str">
        <f>IF(I901="","",I901)</f>
        <v/>
      </c>
      <c r="O922" s="21"/>
    </row>
    <row r="923" spans="1:15" s="26" customFormat="1" x14ac:dyDescent="0.25">
      <c r="A923" s="91" t="s">
        <v>77</v>
      </c>
      <c r="B923" s="475" t="s">
        <v>82</v>
      </c>
      <c r="C923" s="476"/>
      <c r="D923" s="476"/>
      <c r="E923" s="240"/>
      <c r="F923" s="241" t="str">
        <f>IF(OR(F902="",F903="",F904=""),"",IF(F902="Price to Wholesaler",F903,IF(F902="Reimbursement Price",(F925/(1+E924)*1),"Error")))</f>
        <v/>
      </c>
      <c r="G923" s="241" t="str">
        <f>IF(OR(G902="",G903="",F904=""),"",IF(G902="Price to Wholesaler",G903,IF(G902="Reimbursement Price",(G925/(1+E924)*1),"Error")))</f>
        <v/>
      </c>
      <c r="H923" s="241" t="str">
        <f>IF(OR(H902="",H903="",F904=""),"",IF(H902="Price to Wholesaler",H903,IF(H902="Reimbursement Price",(H925/(1+E924)*1),"Error")))</f>
        <v/>
      </c>
      <c r="I923" s="241" t="str">
        <f>IF(OR(I902="",I903="",F904=""),"",IF(I902="Price to Wholesaler",I903,IF(I902="Reimbursement Price",(I925/(1+E924)*1),"Error")))</f>
        <v/>
      </c>
      <c r="O923" s="21"/>
    </row>
    <row r="924" spans="1:15" s="26" customFormat="1" x14ac:dyDescent="0.25">
      <c r="A924" s="282" t="s">
        <v>78</v>
      </c>
      <c r="B924" s="477" t="s">
        <v>83</v>
      </c>
      <c r="C924" s="478"/>
      <c r="D924" s="478"/>
      <c r="E924" s="93" t="str">
        <f>IF(OR(F904=""),"",IF(AND(F904="CDS",F905="Yes"),CYF,IF(AND(F904="CDS",F905="No"),CNF,IF(F904="HT",CHT,IF(F904="Hosp",CHO,"Error")))))</f>
        <v/>
      </c>
      <c r="F924" s="242" t="str">
        <f>IF(OR(F904="",F903="",F902=""),"",F923*E924)</f>
        <v/>
      </c>
      <c r="G924" s="242" t="str">
        <f>IF(OR(F904="",G903="",G902=""),"",G923*E924)</f>
        <v/>
      </c>
      <c r="H924" s="242" t="str">
        <f>IF(OR(F904="",H903="",H902=""),"",H923*E924)</f>
        <v/>
      </c>
      <c r="I924" s="242" t="str">
        <f>IF(OR(F904="",I903="",I902=""),"",I923*E924)</f>
        <v/>
      </c>
      <c r="O924" s="21"/>
    </row>
    <row r="925" spans="1:15" s="26" customFormat="1" x14ac:dyDescent="0.25">
      <c r="A925" s="282" t="s">
        <v>79</v>
      </c>
      <c r="B925" s="477" t="str">
        <f>IF(F904="Hosp","Hospital Price", "Reimbursement Price")</f>
        <v>Reimbursement Price</v>
      </c>
      <c r="C925" s="478"/>
      <c r="D925" s="478"/>
      <c r="E925" s="243" t="str">
        <f>IF(F902="Price to Wholesaler","A+B","")</f>
        <v/>
      </c>
      <c r="F925" s="242" t="str">
        <f>IF(F902="Reimbursement Price",F903,IF(ISBLANK(E924),"",IF(F902="Price to Wholesaler",(F923+F924),IF(F902="","","Error"))))</f>
        <v/>
      </c>
      <c r="G925" s="242" t="str">
        <f>IF(G902="Reimbursement Price",G903,IF(ISBLANK(E924),"",IF(G902="Price to Wholesaler",(G923+G924),IF(G902="","","Error"))))</f>
        <v/>
      </c>
      <c r="H925" s="242" t="str">
        <f>IF(H902="Reimbursement Price",H903,IF(ISBLANK(E924),"",IF(H902="Price to Wholesaler",(H923+H924),IF(H902="","","Error"))))</f>
        <v/>
      </c>
      <c r="I925" s="242" t="str">
        <f>IF(I902="Reimbursement Price",I903,IF(ISBLANK(E924),"",IF(I902="Price to Wholesaler",(I923+I924),IF(I902="","","Error"))))</f>
        <v/>
      </c>
      <c r="O925" s="21"/>
    </row>
    <row r="926" spans="1:15" s="26" customFormat="1" x14ac:dyDescent="0.25">
      <c r="A926" s="282" t="s">
        <v>80</v>
      </c>
      <c r="B926" s="477" t="s">
        <v>214</v>
      </c>
      <c r="C926" s="478"/>
      <c r="D926" s="478"/>
      <c r="E926" s="268" t="str">
        <f>IF(OR(F907="",AND(F907="Yes",F908=""),AND(F907="No",F909="")),"",IF(AND(F907="No",F909="Patented Exclusive or Off Patent Exclusive and subject to clause 10 of Framework Agreement"),MR,IF(AND(F907="No",F909="Off Patent Non-Exclusive or Generic"),"None",IF(AND(F907="Yes",F908="Biosimilar"),"None",IF(AND(F907="Yes",F908="Patented or Off Patent Exclusive"),MR,IF(AND(F907="Yes",F908="Off Patent Non-Exclusive 12.5% Rebate incorporated into Price to Wholesaler"),"None",IF(AND(F907="Yes",F908="Off Patent Non-Exclusive 12.5% Rebate"),MRB,"Error")))))))</f>
        <v/>
      </c>
      <c r="F926" s="242" t="str">
        <f>IF(OR(F907="",AND(F907="Yes",F908=""),AND(F907="No",F909=""),F902="",ISBLANK(F903)),"",IF(E926="None",0,(E926*F923)))</f>
        <v/>
      </c>
      <c r="G926" s="242" t="str">
        <f>IF(OR(F907="",AND(F907="Yes",F908=""),AND(F907="No",F909=""),G902="",ISBLANK(G903)),"",IF(E926="None",0,(E926*G923)))</f>
        <v/>
      </c>
      <c r="H926" s="242" t="str">
        <f>IF(OR(F907="",AND(F907="Yes",F908=""),AND(F907="No",F909=""),H902="",ISBLANK(H903)),"",IF(E926="None",0,(E926*H923)))</f>
        <v/>
      </c>
      <c r="I926" s="242" t="str">
        <f>IF(OR(F907="",AND(F907="Yes",F908=""),AND(F907="No",F909=""),I902="",ISBLANK(I903)),"",IF(E926="None",0,(E926*I923)))</f>
        <v/>
      </c>
      <c r="O926" s="21"/>
    </row>
    <row r="927" spans="1:15" s="26" customFormat="1" ht="15.75" thickBot="1" x14ac:dyDescent="0.3">
      <c r="A927" s="280" t="s">
        <v>81</v>
      </c>
      <c r="B927" s="479" t="s">
        <v>94</v>
      </c>
      <c r="C927" s="480"/>
      <c r="D927" s="480"/>
      <c r="E927" s="160" t="str">
        <f>IF(F906="","",IF(F906="Yes",0,VT))</f>
        <v/>
      </c>
      <c r="F927" s="244" t="str">
        <f>IF(OR($B906="",F903="",ISBLANK(F903)),"",($E927*F925))</f>
        <v/>
      </c>
      <c r="G927" s="244" t="str">
        <f t="shared" ref="G927:I927" si="78">IF(OR($B906="",G903="",ISBLANK(G903)),"",($E927*G925))</f>
        <v/>
      </c>
      <c r="H927" s="244" t="str">
        <f t="shared" si="78"/>
        <v/>
      </c>
      <c r="I927" s="244" t="str">
        <f t="shared" si="78"/>
        <v/>
      </c>
      <c r="O927" s="21"/>
    </row>
    <row r="928" spans="1:15" s="26" customFormat="1" ht="15.75" thickBot="1" x14ac:dyDescent="0.3">
      <c r="A928" s="279" t="s">
        <v>127</v>
      </c>
      <c r="B928" s="481" t="s">
        <v>128</v>
      </c>
      <c r="C928" s="481"/>
      <c r="D928" s="481"/>
      <c r="E928" s="279"/>
      <c r="F928" s="245" t="str">
        <f>IF(OR(F902="",$F904="",$F906="",$F907=""),"",SUM(F925:F927))</f>
        <v/>
      </c>
      <c r="G928" s="245" t="str">
        <f t="shared" ref="G928:I928" si="79">IF(OR(G902="",$F904="",$F906="",$F907=""),"",SUM(G925:G927))</f>
        <v/>
      </c>
      <c r="H928" s="245" t="str">
        <f t="shared" si="79"/>
        <v/>
      </c>
      <c r="I928" s="245" t="str">
        <f t="shared" si="79"/>
        <v/>
      </c>
      <c r="O928" s="21"/>
    </row>
    <row r="929" spans="1:20" s="26" customFormat="1" ht="15.75" thickBot="1" x14ac:dyDescent="0.3">
      <c r="A929" s="279" t="s">
        <v>129</v>
      </c>
      <c r="B929" s="482" t="s">
        <v>130</v>
      </c>
      <c r="C929" s="482"/>
      <c r="D929" s="482"/>
      <c r="E929" s="245"/>
      <c r="F929" s="245" t="str">
        <f>IF(OR(F902="",$F904="",$F906="",$F907=""),"",SUM(F925:F926))</f>
        <v/>
      </c>
      <c r="G929" s="245" t="str">
        <f t="shared" ref="G929:I929" si="80">IF(OR(G902="",$F904="",$F906="",$F907=""),"",SUM(G925:G926))</f>
        <v/>
      </c>
      <c r="H929" s="245" t="str">
        <f t="shared" si="80"/>
        <v/>
      </c>
      <c r="I929" s="245" t="str">
        <f t="shared" si="80"/>
        <v/>
      </c>
      <c r="O929" s="21"/>
    </row>
    <row r="930" spans="1:20" s="26" customFormat="1" x14ac:dyDescent="0.25">
      <c r="B930" s="66"/>
      <c r="C930" s="66"/>
      <c r="D930" s="66"/>
      <c r="E930" s="66"/>
      <c r="K930" s="26" t="s">
        <v>131</v>
      </c>
      <c r="O930" s="21"/>
    </row>
    <row r="931" spans="1:20" s="26" customFormat="1" x14ac:dyDescent="0.25">
      <c r="A931" s="155" t="s">
        <v>132</v>
      </c>
      <c r="B931" s="66"/>
      <c r="C931" s="66"/>
      <c r="D931" s="66"/>
      <c r="E931" s="66"/>
      <c r="F931" s="246"/>
      <c r="G931" s="246"/>
      <c r="H931" s="246"/>
      <c r="I931" s="246"/>
      <c r="O931" s="21"/>
    </row>
    <row r="932" spans="1:20" s="26" customFormat="1" x14ac:dyDescent="0.25">
      <c r="A932" s="125"/>
      <c r="B932" s="125" t="s">
        <v>133</v>
      </c>
      <c r="C932" s="125"/>
      <c r="D932" s="125"/>
      <c r="E932" s="125"/>
      <c r="F932" s="125"/>
      <c r="G932" s="125"/>
      <c r="H932" s="125"/>
      <c r="O932" s="21"/>
    </row>
    <row r="933" spans="1:20" s="26" customFormat="1" x14ac:dyDescent="0.25">
      <c r="B933" s="21" t="s">
        <v>134</v>
      </c>
      <c r="C933" s="229"/>
      <c r="D933" s="229"/>
      <c r="E933" s="66"/>
      <c r="O933" s="21"/>
    </row>
    <row r="934" spans="1:20" s="26" customFormat="1" ht="15.75" thickBot="1" x14ac:dyDescent="0.3">
      <c r="B934" s="165"/>
      <c r="C934" s="229"/>
      <c r="D934" s="229"/>
      <c r="E934" s="66"/>
      <c r="O934" s="21"/>
    </row>
    <row r="935" spans="1:20" s="26" customFormat="1" ht="15.75" thickBot="1" x14ac:dyDescent="0.3">
      <c r="B935" s="230"/>
      <c r="C935" s="66"/>
      <c r="D935" s="66"/>
      <c r="E935" s="66"/>
      <c r="G935" s="13" t="s">
        <v>135</v>
      </c>
      <c r="H935" s="13" t="s">
        <v>136</v>
      </c>
      <c r="O935" s="21"/>
    </row>
    <row r="936" spans="1:20" s="26" customFormat="1" x14ac:dyDescent="0.25">
      <c r="B936" s="483" t="s">
        <v>137</v>
      </c>
      <c r="C936" s="484"/>
      <c r="D936" s="484"/>
      <c r="E936" s="484"/>
      <c r="F936" s="485"/>
      <c r="G936" s="247" t="str">
        <f>IF(F904="","",IF(F904="CDS","per dispensing",IF(F904="HT","per month",IF(F904="Hosp","No Fee", ERROR))))</f>
        <v/>
      </c>
      <c r="H936" s="248" t="str">
        <f>IF(F904="","",IF(F904="CDS",DF,IF(F904="HT",PC,IF(F904="Hosp","No Fee",ERROR))))</f>
        <v/>
      </c>
      <c r="I936" s="26" t="s">
        <v>138</v>
      </c>
      <c r="O936" s="21"/>
    </row>
    <row r="937" spans="1:20" s="26" customFormat="1" ht="15.75" thickBot="1" x14ac:dyDescent="0.3">
      <c r="B937" s="486" t="s">
        <v>92</v>
      </c>
      <c r="C937" s="487"/>
      <c r="D937" s="487"/>
      <c r="E937" s="487"/>
      <c r="F937" s="488"/>
      <c r="G937" s="249" t="str">
        <f>IF(OR(F904="",F906=""),"",IF(F904="Hosp","No Fee",IF(F904="HT","No VAT",IF(AND(F904="CDS",F906="No"),VT,"No VAT"))))</f>
        <v/>
      </c>
      <c r="H937" s="250" t="str">
        <f>IF(OR(F906="",F904="Hosp"),"",IF(OR(F906="Yes",F904="HT"),0,H936*G937))</f>
        <v/>
      </c>
      <c r="O937" s="21"/>
    </row>
    <row r="938" spans="1:20" s="26" customFormat="1" x14ac:dyDescent="0.25">
      <c r="B938" s="230"/>
      <c r="C938" s="66"/>
      <c r="D938" s="66"/>
      <c r="E938" s="66"/>
      <c r="O938" s="21"/>
    </row>
    <row r="939" spans="1:20" s="26" customFormat="1" x14ac:dyDescent="0.25">
      <c r="B939" s="230"/>
      <c r="C939" s="66"/>
      <c r="D939" s="66"/>
      <c r="E939" s="66"/>
      <c r="O939" s="21"/>
    </row>
    <row r="940" spans="1:20" s="26" customFormat="1" ht="33.950000000000003" customHeight="1" thickBot="1" x14ac:dyDescent="0.3">
      <c r="A940" s="165" t="s">
        <v>193</v>
      </c>
      <c r="B940" s="230"/>
      <c r="C940" s="66"/>
      <c r="D940" s="66"/>
      <c r="E940" s="66"/>
      <c r="K940" s="408" t="s">
        <v>197</v>
      </c>
      <c r="L940" s="408"/>
      <c r="M940" s="408"/>
      <c r="N940" s="408"/>
      <c r="O940" s="408"/>
      <c r="P940" s="195"/>
      <c r="Q940" s="195"/>
      <c r="R940" s="195"/>
      <c r="S940" s="195"/>
      <c r="T940" s="195"/>
    </row>
    <row r="941" spans="1:20" s="26" customFormat="1" ht="17.100000000000001" customHeight="1" thickBot="1" x14ac:dyDescent="0.3">
      <c r="A941" s="14" t="s">
        <v>194</v>
      </c>
      <c r="B941" s="230"/>
      <c r="C941" s="66"/>
      <c r="D941" s="66"/>
      <c r="E941" s="66"/>
      <c r="G941" s="13" t="s">
        <v>101</v>
      </c>
      <c r="H941" s="13" t="s">
        <v>136</v>
      </c>
      <c r="K941" s="408" t="str">
        <f>IF(F904="HT","For High tech, if a treatment cycle =28 days the corresponding pharmacy fee is =62.03*12/365.25*28.  The pharmacy fee remains the same regardless of the number of products dispensed that month.",IF(F904="CDS","For CDS, if 2 packets of the same pack presentation are required per treatment cycle, one dispensing fee applies (€5.48). If multiple pack presentations are required, multiple dispensing fees apply",""))</f>
        <v/>
      </c>
      <c r="L941" s="408"/>
      <c r="M941" s="408"/>
      <c r="N941" s="408"/>
      <c r="O941" s="408"/>
      <c r="P941" s="195"/>
      <c r="Q941" s="195"/>
      <c r="R941" s="195"/>
      <c r="S941" s="195"/>
      <c r="T941" s="195"/>
    </row>
    <row r="942" spans="1:20" s="26" customFormat="1" ht="16.5" customHeight="1" x14ac:dyDescent="0.25">
      <c r="A942" s="170" t="s">
        <v>139</v>
      </c>
      <c r="B942" s="504" t="s">
        <v>140</v>
      </c>
      <c r="C942" s="504"/>
      <c r="D942" s="504"/>
      <c r="E942" s="504"/>
      <c r="F942" s="504"/>
      <c r="G942" s="251"/>
      <c r="H942" s="252"/>
      <c r="K942" s="408"/>
      <c r="L942" s="408"/>
      <c r="M942" s="408"/>
      <c r="N942" s="408"/>
      <c r="O942" s="408"/>
      <c r="P942" s="195"/>
      <c r="Q942" s="195"/>
      <c r="R942" s="195"/>
      <c r="S942" s="195"/>
      <c r="T942" s="195"/>
    </row>
    <row r="943" spans="1:20" s="26" customFormat="1" x14ac:dyDescent="0.25">
      <c r="A943" s="173" t="s">
        <v>141</v>
      </c>
      <c r="B943" s="505" t="s">
        <v>142</v>
      </c>
      <c r="C943" s="505"/>
      <c r="D943" s="505"/>
      <c r="E943" s="505"/>
      <c r="F943" s="505"/>
      <c r="G943" s="253"/>
      <c r="H943" s="254"/>
      <c r="K943" s="14" t="s">
        <v>188</v>
      </c>
      <c r="O943" s="21"/>
    </row>
    <row r="944" spans="1:20" s="26" customFormat="1" x14ac:dyDescent="0.25">
      <c r="A944" s="173" t="s">
        <v>143</v>
      </c>
      <c r="B944" s="505" t="s">
        <v>144</v>
      </c>
      <c r="C944" s="505"/>
      <c r="D944" s="505"/>
      <c r="E944" s="505"/>
      <c r="F944" s="505"/>
      <c r="G944" s="253"/>
      <c r="H944" s="254"/>
      <c r="K944" s="14" t="s">
        <v>189</v>
      </c>
      <c r="O944" s="21"/>
    </row>
    <row r="945" spans="1:15" s="26" customFormat="1" x14ac:dyDescent="0.25">
      <c r="A945" s="173" t="s">
        <v>145</v>
      </c>
      <c r="B945" s="505" t="s">
        <v>146</v>
      </c>
      <c r="C945" s="505"/>
      <c r="D945" s="505"/>
      <c r="E945" s="505"/>
      <c r="F945" s="505"/>
      <c r="G945" s="255"/>
      <c r="H945" s="256" t="str">
        <f>IF(ISBLANK(H942),"",SUM(H942:H944))</f>
        <v/>
      </c>
      <c r="O945" s="21"/>
    </row>
    <row r="946" spans="1:15" s="26" customFormat="1" ht="15.75" thickBot="1" x14ac:dyDescent="0.3">
      <c r="A946" s="178" t="s">
        <v>147</v>
      </c>
      <c r="B946" s="515" t="s">
        <v>196</v>
      </c>
      <c r="C946" s="515"/>
      <c r="D946" s="515"/>
      <c r="E946" s="515"/>
      <c r="F946" s="515"/>
      <c r="G946" s="257"/>
      <c r="H946" s="250" t="str">
        <f>IF(ISBLANK(H942),"",SUM(H942:H943))</f>
        <v/>
      </c>
      <c r="O946" s="21"/>
    </row>
    <row r="947" spans="1:15" s="26" customFormat="1" x14ac:dyDescent="0.25">
      <c r="B947" s="66"/>
      <c r="C947" s="66"/>
      <c r="D947" s="66"/>
      <c r="E947" s="66"/>
      <c r="O947" s="21"/>
    </row>
    <row r="948" spans="1:15" s="26" customFormat="1" x14ac:dyDescent="0.25">
      <c r="B948" s="66"/>
      <c r="C948" s="66"/>
      <c r="D948" s="66"/>
      <c r="E948" s="66"/>
      <c r="O948" s="21"/>
    </row>
    <row r="949" spans="1:15" s="26" customFormat="1" x14ac:dyDescent="0.25">
      <c r="A949" s="155" t="s">
        <v>148</v>
      </c>
      <c r="B949" s="66"/>
      <c r="C949" s="66"/>
      <c r="D949" s="66"/>
      <c r="E949" s="66"/>
      <c r="O949" s="21"/>
    </row>
    <row r="950" spans="1:15" s="26" customFormat="1" ht="15.75" thickBot="1" x14ac:dyDescent="0.3">
      <c r="B950" s="66"/>
      <c r="C950" s="66"/>
      <c r="D950" s="66"/>
      <c r="E950" s="66"/>
      <c r="O950" s="21"/>
    </row>
    <row r="951" spans="1:15" s="26" customFormat="1" ht="29.1" customHeight="1" x14ac:dyDescent="0.25">
      <c r="A951" s="65"/>
      <c r="B951" s="278"/>
      <c r="C951" s="278"/>
      <c r="D951" s="278"/>
      <c r="E951" s="278"/>
      <c r="F951" s="506" t="s">
        <v>149</v>
      </c>
      <c r="G951" s="180" t="s">
        <v>150</v>
      </c>
      <c r="H951" s="508" t="s">
        <v>151</v>
      </c>
      <c r="I951" s="180" t="s">
        <v>152</v>
      </c>
      <c r="J951" s="66"/>
      <c r="K951" s="408" t="s">
        <v>269</v>
      </c>
      <c r="L951" s="408"/>
      <c r="M951" s="408"/>
      <c r="N951" s="408"/>
      <c r="O951" s="408"/>
    </row>
    <row r="952" spans="1:15" s="26" customFormat="1" x14ac:dyDescent="0.25">
      <c r="A952" s="65"/>
      <c r="B952" s="278"/>
      <c r="C952" s="278"/>
      <c r="D952" s="278"/>
      <c r="E952" s="278"/>
      <c r="F952" s="507"/>
      <c r="G952" s="253"/>
      <c r="H952" s="509"/>
      <c r="I952" s="182"/>
      <c r="J952" s="66"/>
      <c r="K952" s="408"/>
      <c r="L952" s="408"/>
      <c r="M952" s="408"/>
      <c r="N952" s="408"/>
      <c r="O952" s="408"/>
    </row>
    <row r="953" spans="1:15" s="26" customFormat="1" ht="15.75" thickBot="1" x14ac:dyDescent="0.3">
      <c r="A953" s="65"/>
      <c r="B953" s="278"/>
      <c r="C953" s="278"/>
      <c r="D953" s="278"/>
      <c r="E953" s="278"/>
      <c r="F953" s="507"/>
      <c r="G953" s="183" t="s">
        <v>153</v>
      </c>
      <c r="H953" s="510"/>
      <c r="I953" s="184"/>
      <c r="J953" s="66"/>
      <c r="K953" s="408"/>
      <c r="L953" s="408"/>
      <c r="M953" s="408"/>
      <c r="N953" s="408"/>
      <c r="O953" s="408"/>
    </row>
    <row r="954" spans="1:15" s="26" customFormat="1" x14ac:dyDescent="0.25">
      <c r="A954" s="247" t="s">
        <v>77</v>
      </c>
      <c r="B954" s="463" t="str">
        <f>B923</f>
        <v>Price to Wholesaler</v>
      </c>
      <c r="C954" s="463"/>
      <c r="D954" s="463"/>
      <c r="E954" s="463"/>
      <c r="F954" s="256">
        <f>SUMPRODUCT(F923:I923,F915:I915)</f>
        <v>0</v>
      </c>
      <c r="G954" s="256">
        <f>F954*G952</f>
        <v>0</v>
      </c>
      <c r="H954" s="256" t="str">
        <f>IF(H913="Days",F954/F913*365.25,IF(H913="Months",F954/F913*12,""))</f>
        <v/>
      </c>
      <c r="I954" s="256" t="str">
        <f>IF(AND(H913="Days",I953="Days"),F954/F913*I952,IF(AND(H913="Months",I953="Months"),F954/F913*I952,IF(AND(H913="Days",I953="Months"),F954/F913*30.4375*I952,IF(AND(H913="Months",I953="Days"),F954/F913/30.4375*I952,""))))</f>
        <v/>
      </c>
      <c r="O954" s="21"/>
    </row>
    <row r="955" spans="1:15" s="26" customFormat="1" x14ac:dyDescent="0.25">
      <c r="A955" s="255" t="s">
        <v>78</v>
      </c>
      <c r="B955" s="464" t="str">
        <f>B924</f>
        <v>Wholesale Mark-up</v>
      </c>
      <c r="C955" s="464"/>
      <c r="D955" s="464"/>
      <c r="E955" s="464"/>
      <c r="F955" s="256">
        <f>SUMPRODUCT(F924:I924,F915:I915)</f>
        <v>0</v>
      </c>
      <c r="G955" s="256">
        <f>F955*G952</f>
        <v>0</v>
      </c>
      <c r="H955" s="256" t="str">
        <f>IF(H913="Days",F955/F913*365.25,IF(H913="Months",F955/F913*12,""))</f>
        <v/>
      </c>
      <c r="I955" s="256" t="str">
        <f>IF(AND(H913="Days",I953="Days"),F955/F913*I952,IF(AND(H913="Months",I953="Months"),F955/F913*I952,IF(AND(H913="Days",I953="Months"),F955/F913*30.4375*I952,IF(AND(H913="Months",I953="Days"),F955/F913/30.4375*I952,""))))</f>
        <v/>
      </c>
      <c r="O955" s="21"/>
    </row>
    <row r="956" spans="1:15" s="26" customFormat="1" x14ac:dyDescent="0.25">
      <c r="A956" s="255" t="s">
        <v>79</v>
      </c>
      <c r="B956" s="281" t="str">
        <f>B925</f>
        <v>Reimbursement Price</v>
      </c>
      <c r="C956" s="275"/>
      <c r="D956" s="276"/>
      <c r="E956" s="277"/>
      <c r="F956" s="256">
        <f>SUMPRODUCT(F925:I925,F915:I915)</f>
        <v>0</v>
      </c>
      <c r="G956" s="256">
        <f>F956*G952</f>
        <v>0</v>
      </c>
      <c r="H956" s="256" t="str">
        <f>IF(H913="Days",F956/F913*365.25,IF(H913="Months",F956/F913*12,""))</f>
        <v/>
      </c>
      <c r="I956" s="256" t="str">
        <f>IF(AND(H913="Days",I953="Days"),F956/F913*I952,IF(AND(H913="Months",I953="Months"),F956/F913*I952,IF(AND(H913="Days",I953="Months"),F956/F913*30.4375*I952,IF(AND(H913="Months",I953="Days"),F956/F913/30.4375*I952,""))))</f>
        <v/>
      </c>
      <c r="O956" s="21"/>
    </row>
    <row r="957" spans="1:15" s="26" customFormat="1" x14ac:dyDescent="0.25">
      <c r="A957" s="255" t="s">
        <v>80</v>
      </c>
      <c r="B957" s="495" t="str">
        <f>B926</f>
        <v>Framework Agreement Rebate</v>
      </c>
      <c r="C957" s="496"/>
      <c r="D957" s="496"/>
      <c r="E957" s="497"/>
      <c r="F957" s="256">
        <f>SUMPRODUCT(F926:I926,F915:I915)</f>
        <v>0</v>
      </c>
      <c r="G957" s="256">
        <f>F957*G952</f>
        <v>0</v>
      </c>
      <c r="H957" s="256" t="str">
        <f>IF(H913="Days",F957/F913*365.25,IF(H913="Months",F957/F913*12,""))</f>
        <v/>
      </c>
      <c r="I957" s="256" t="str">
        <f>IF(AND(H913="Days",I953="Days"),F957/F913*I952,IF(AND(H913="Months",I953="Months"),F957/F913*I952,IF(AND(H913="Days",I953="Months"),F957/F913*30.4375*I952,IF(AND(H913="Months",I953="Days"),F957/F913/30.4375*I952,""))))</f>
        <v/>
      </c>
      <c r="O957" s="21"/>
    </row>
    <row r="958" spans="1:15" s="26" customFormat="1" x14ac:dyDescent="0.25">
      <c r="A958" s="255" t="s">
        <v>81</v>
      </c>
      <c r="B958" s="495" t="str">
        <f>B927</f>
        <v xml:space="preserve">VAT on Drug Cost </v>
      </c>
      <c r="C958" s="496"/>
      <c r="D958" s="496"/>
      <c r="E958" s="497"/>
      <c r="F958" s="256">
        <f>SUMPRODUCT(F927:I927,F915:I915)</f>
        <v>0</v>
      </c>
      <c r="G958" s="256">
        <f>F958*G952</f>
        <v>0</v>
      </c>
      <c r="H958" s="256" t="str">
        <f>IF(H913="Days",F958/F913*365.25,IF(H913="Months",F958/F913*12,""))</f>
        <v/>
      </c>
      <c r="I958" s="256" t="str">
        <f>IF(AND(H913="Days",I953="Days"),F958/F913*I952,IF(AND(H913="Months",I953="Months"),F958/F913*I952,IF(AND(H913="Days",I953="Months"),F958/F913*30.4375*I952,IF(AND(H913="Months",I953="Days"),F958/F913/30.4375*I952,""))))</f>
        <v/>
      </c>
      <c r="O958" s="21"/>
    </row>
    <row r="959" spans="1:15" s="26" customFormat="1" x14ac:dyDescent="0.25">
      <c r="A959" s="255" t="s">
        <v>154</v>
      </c>
      <c r="B959" s="495" t="s">
        <v>155</v>
      </c>
      <c r="C959" s="496"/>
      <c r="D959" s="496"/>
      <c r="E959" s="497"/>
      <c r="F959" s="256" t="str">
        <f>IF(H945="","",H945)</f>
        <v/>
      </c>
      <c r="G959" s="256" t="str">
        <f>IF(F959="","",F959*G952)</f>
        <v/>
      </c>
      <c r="H959" s="256" t="str">
        <f>IF(F959="","",IF(H913="Days",F959/F913*365.25,IF(H913="Months",F959/F913*12,"")))</f>
        <v/>
      </c>
      <c r="I959" s="256" t="str">
        <f>IF(F959="","",IF(AND(H913="Days",I953="Days"),F959/F913*I952,IF(AND(H913="Months",I953="Months"),F959/F913*I952,IF(AND(H913="Days",I953="Months"),F959/F913*30.4375*I952,IF(AND(H913="Months",I953="Days"),F959/F913/30.4375*I952,"")))))</f>
        <v/>
      </c>
      <c r="O959" s="21"/>
    </row>
    <row r="960" spans="1:15" s="26" customFormat="1" x14ac:dyDescent="0.25">
      <c r="A960" s="255" t="s">
        <v>156</v>
      </c>
      <c r="B960" s="495" t="s">
        <v>157</v>
      </c>
      <c r="C960" s="496"/>
      <c r="D960" s="496"/>
      <c r="E960" s="497"/>
      <c r="F960" s="256" t="str">
        <f>IF(H946="","",H946)</f>
        <v/>
      </c>
      <c r="G960" s="256" t="str">
        <f>IF(F960="","",F960*G952)</f>
        <v/>
      </c>
      <c r="H960" s="256" t="str">
        <f>IF(F960="","",IF(H913="Days",F960/F913*365.25,IF(H913="Months",F960/F913*12,"")))</f>
        <v/>
      </c>
      <c r="I960" s="256" t="str">
        <f>IF(F960="","",IF(AND(H913="Days",I953="Days"),F960/F913*I952,IF(AND(H913="Months",I953="Months"),F960/F913*I952,IF(AND(H913="Days",I953="Months"),F960/F913*30.4375*I952,IF(AND(H913="Months",I953="Days"),F960/F913/30.4375*I952,"")))))</f>
        <v/>
      </c>
      <c r="O960" s="21"/>
    </row>
    <row r="961" spans="1:19" s="155" customFormat="1" x14ac:dyDescent="0.25">
      <c r="A961" s="186" t="s">
        <v>158</v>
      </c>
      <c r="B961" s="498" t="s">
        <v>159</v>
      </c>
      <c r="C961" s="499"/>
      <c r="D961" s="499"/>
      <c r="E961" s="500"/>
      <c r="F961" s="187">
        <f>SUM(F956:F959)</f>
        <v>0</v>
      </c>
      <c r="G961" s="187">
        <f t="shared" ref="G961:I961" si="81">SUM(G956:G959)</f>
        <v>0</v>
      </c>
      <c r="H961" s="187">
        <f t="shared" si="81"/>
        <v>0</v>
      </c>
      <c r="I961" s="187">
        <f t="shared" si="81"/>
        <v>0</v>
      </c>
      <c r="K961" s="98" t="s">
        <v>191</v>
      </c>
      <c r="O961" s="189"/>
    </row>
    <row r="962" spans="1:19" s="26" customFormat="1" ht="15.75" thickBot="1" x14ac:dyDescent="0.3">
      <c r="A962" s="257" t="s">
        <v>160</v>
      </c>
      <c r="B962" s="501" t="s">
        <v>161</v>
      </c>
      <c r="C962" s="502"/>
      <c r="D962" s="502"/>
      <c r="E962" s="503"/>
      <c r="F962" s="250">
        <f>IF(F960="",SUM(F956+F957),F956+F957+F960)</f>
        <v>0</v>
      </c>
      <c r="G962" s="250">
        <f t="shared" ref="G962" si="82">IF(G960="",SUM(G956+G957),G956+G957+G960)</f>
        <v>0</v>
      </c>
      <c r="H962" s="250" t="e">
        <f>IF(H960="",SUM(H956+H957),H956+H957+H960)</f>
        <v>#VALUE!</v>
      </c>
      <c r="I962" s="250" t="e">
        <f t="shared" ref="I962" si="83">IF(I960="",SUM(I956+I957),I956+I957+I960)</f>
        <v>#VALUE!</v>
      </c>
      <c r="K962" s="14" t="s">
        <v>192</v>
      </c>
      <c r="O962" s="21"/>
    </row>
    <row r="963" spans="1:19" s="26" customFormat="1" x14ac:dyDescent="0.25">
      <c r="B963" s="229"/>
      <c r="C963" s="66"/>
      <c r="D963" s="66"/>
      <c r="E963" s="66"/>
      <c r="O963" s="21"/>
    </row>
    <row r="964" spans="1:19" s="26" customFormat="1" x14ac:dyDescent="0.25"/>
    <row r="965" spans="1:19" s="26" customFormat="1" x14ac:dyDescent="0.25">
      <c r="B965" s="286" t="s">
        <v>101</v>
      </c>
      <c r="C965" s="286"/>
      <c r="D965" s="286"/>
      <c r="E965" s="286"/>
    </row>
    <row r="966" spans="1:19" s="26" customFormat="1" ht="15.75" customHeight="1" x14ac:dyDescent="0.25"/>
    <row r="967" spans="1:19" s="26" customFormat="1" x14ac:dyDescent="0.25">
      <c r="B967" s="234"/>
      <c r="C967" s="234"/>
      <c r="D967" s="234"/>
      <c r="E967" s="234"/>
      <c r="F967" s="234"/>
      <c r="G967" s="234"/>
      <c r="H967" s="234"/>
      <c r="I967" s="234"/>
      <c r="J967" s="234"/>
      <c r="K967" s="234"/>
      <c r="L967" s="234"/>
      <c r="M967" s="234"/>
      <c r="N967" s="234"/>
      <c r="O967" s="234"/>
      <c r="P967" s="234"/>
      <c r="Q967" s="234"/>
      <c r="R967" s="234"/>
      <c r="S967" s="234"/>
    </row>
    <row r="968" spans="1:19" s="26" customFormat="1" x14ac:dyDescent="0.25">
      <c r="B968" s="234"/>
      <c r="C968" s="234"/>
      <c r="D968" s="234"/>
      <c r="E968" s="234"/>
      <c r="F968" s="234"/>
      <c r="G968" s="234"/>
      <c r="H968" s="234"/>
      <c r="I968" s="234"/>
      <c r="J968" s="234"/>
      <c r="K968" s="234"/>
      <c r="L968" s="234"/>
      <c r="M968" s="234"/>
      <c r="N968" s="234"/>
      <c r="O968" s="234"/>
      <c r="P968" s="234"/>
      <c r="Q968" s="234"/>
      <c r="R968" s="234"/>
      <c r="S968" s="234"/>
    </row>
    <row r="969" spans="1:19" s="26" customFormat="1" x14ac:dyDescent="0.25">
      <c r="B969" s="234"/>
      <c r="C969" s="234"/>
      <c r="D969" s="234"/>
      <c r="E969" s="234"/>
      <c r="F969" s="234"/>
      <c r="G969" s="234"/>
      <c r="H969" s="234"/>
      <c r="I969" s="234"/>
      <c r="J969" s="234"/>
      <c r="K969" s="234"/>
      <c r="L969" s="234"/>
      <c r="M969" s="234"/>
      <c r="N969" s="234"/>
      <c r="O969" s="234"/>
      <c r="P969" s="234"/>
      <c r="Q969" s="234"/>
      <c r="R969" s="234"/>
      <c r="S969" s="234"/>
    </row>
    <row r="970" spans="1:19" s="26" customFormat="1" x14ac:dyDescent="0.25">
      <c r="B970" s="234"/>
      <c r="C970" s="234"/>
      <c r="D970" s="234"/>
      <c r="E970" s="234"/>
      <c r="F970" s="234"/>
      <c r="G970" s="234"/>
      <c r="H970" s="234"/>
      <c r="I970" s="234"/>
      <c r="J970" s="234"/>
      <c r="K970" s="234"/>
      <c r="L970" s="234"/>
      <c r="M970" s="234"/>
      <c r="N970" s="234"/>
      <c r="O970" s="234"/>
      <c r="P970" s="234"/>
      <c r="Q970" s="234"/>
      <c r="R970" s="234"/>
      <c r="S970" s="234"/>
    </row>
    <row r="971" spans="1:19" s="26" customFormat="1" x14ac:dyDescent="0.25">
      <c r="B971" s="234"/>
      <c r="C971" s="234"/>
      <c r="D971" s="234"/>
      <c r="E971" s="234"/>
      <c r="F971" s="234"/>
      <c r="G971" s="234"/>
      <c r="H971" s="234"/>
      <c r="I971" s="234"/>
      <c r="J971" s="234"/>
      <c r="K971" s="234"/>
      <c r="L971" s="234"/>
      <c r="M971" s="234"/>
      <c r="N971" s="234"/>
      <c r="O971" s="234"/>
      <c r="P971" s="234"/>
      <c r="Q971" s="234"/>
      <c r="R971" s="234"/>
      <c r="S971" s="234"/>
    </row>
    <row r="972" spans="1:19" s="26" customFormat="1" x14ac:dyDescent="0.25">
      <c r="B972" s="234"/>
      <c r="C972" s="234"/>
      <c r="D972" s="234"/>
      <c r="E972" s="234"/>
      <c r="F972" s="234"/>
      <c r="G972" s="234"/>
      <c r="H972" s="234"/>
      <c r="I972" s="234"/>
      <c r="J972" s="234"/>
      <c r="K972" s="234"/>
      <c r="L972" s="234"/>
      <c r="M972" s="234"/>
      <c r="N972" s="234"/>
      <c r="O972" s="234"/>
      <c r="P972" s="234"/>
      <c r="Q972" s="234"/>
      <c r="R972" s="234"/>
      <c r="S972" s="234"/>
    </row>
    <row r="973" spans="1:19" s="26" customFormat="1" x14ac:dyDescent="0.25">
      <c r="B973" s="234"/>
      <c r="C973" s="234"/>
      <c r="D973" s="234"/>
      <c r="E973" s="234"/>
      <c r="F973" s="234"/>
      <c r="G973" s="234"/>
      <c r="H973" s="234"/>
      <c r="I973" s="234"/>
      <c r="J973" s="234"/>
      <c r="K973" s="234"/>
      <c r="L973" s="234"/>
      <c r="M973" s="234"/>
      <c r="N973" s="234"/>
      <c r="O973" s="234"/>
      <c r="P973" s="234"/>
      <c r="Q973" s="234"/>
      <c r="R973" s="234"/>
      <c r="S973" s="234"/>
    </row>
    <row r="974" spans="1:19" s="26" customFormat="1" x14ac:dyDescent="0.25">
      <c r="B974" s="234"/>
      <c r="C974" s="234"/>
      <c r="D974" s="234"/>
      <c r="E974" s="234"/>
      <c r="F974" s="234"/>
      <c r="G974" s="234"/>
      <c r="H974" s="234"/>
      <c r="I974" s="234"/>
      <c r="J974" s="234"/>
      <c r="K974" s="234"/>
      <c r="L974" s="234"/>
      <c r="M974" s="234"/>
      <c r="N974" s="234"/>
      <c r="O974" s="234"/>
      <c r="P974" s="234"/>
      <c r="Q974" s="234"/>
      <c r="R974" s="234"/>
      <c r="S974" s="234"/>
    </row>
    <row r="975" spans="1:19" s="26" customFormat="1" x14ac:dyDescent="0.25">
      <c r="B975" s="234"/>
      <c r="C975" s="234"/>
      <c r="D975" s="234"/>
      <c r="E975" s="234"/>
      <c r="F975" s="234"/>
      <c r="G975" s="234"/>
      <c r="H975" s="234"/>
      <c r="I975" s="234"/>
      <c r="J975" s="234"/>
      <c r="K975" s="234"/>
      <c r="L975" s="234"/>
      <c r="M975" s="234"/>
      <c r="N975" s="234"/>
      <c r="O975" s="234"/>
      <c r="P975" s="234"/>
      <c r="Q975" s="234"/>
      <c r="R975" s="234"/>
      <c r="S975" s="234"/>
    </row>
    <row r="976" spans="1:19" s="26" customFormat="1" x14ac:dyDescent="0.25">
      <c r="B976" s="234"/>
      <c r="C976" s="234"/>
      <c r="D976" s="234"/>
      <c r="E976" s="234"/>
      <c r="F976" s="234"/>
      <c r="G976" s="234"/>
      <c r="H976" s="234"/>
      <c r="I976" s="234"/>
      <c r="J976" s="234"/>
      <c r="K976" s="234"/>
      <c r="L976" s="234"/>
      <c r="M976" s="234"/>
      <c r="N976" s="234"/>
      <c r="O976" s="234"/>
      <c r="P976" s="234"/>
      <c r="Q976" s="234"/>
      <c r="R976" s="234"/>
      <c r="S976" s="234"/>
    </row>
    <row r="979" spans="1:22" ht="15.75" thickBot="1" x14ac:dyDescent="0.3"/>
    <row r="980" spans="1:22" s="26" customFormat="1" ht="15.75" thickBot="1" x14ac:dyDescent="0.3">
      <c r="B980" s="410" t="str">
        <f>CONCATENATE("Comparator 11: ",NameComparator11)</f>
        <v xml:space="preserve">Comparator 11: </v>
      </c>
      <c r="C980" s="411"/>
      <c r="D980" s="411"/>
      <c r="E980" s="411"/>
      <c r="F980" s="411"/>
      <c r="G980" s="412"/>
    </row>
    <row r="981" spans="1:22" s="26" customFormat="1" x14ac:dyDescent="0.25">
      <c r="B981" s="227"/>
      <c r="C981" s="227"/>
      <c r="D981" s="227"/>
      <c r="F981" s="278"/>
      <c r="G981" s="278"/>
      <c r="H981" s="278"/>
      <c r="I981" s="278"/>
      <c r="J981" s="278"/>
    </row>
    <row r="982" spans="1:22" s="26" customFormat="1" x14ac:dyDescent="0.25"/>
    <row r="983" spans="1:22" s="26" customFormat="1" ht="28.5" customHeight="1" thickBot="1" x14ac:dyDescent="0.3">
      <c r="B983" s="334" t="s">
        <v>118</v>
      </c>
      <c r="C983" s="334"/>
      <c r="D983" s="334"/>
      <c r="E983" s="334"/>
      <c r="K983" s="408" t="s">
        <v>209</v>
      </c>
      <c r="L983" s="408"/>
      <c r="M983" s="408"/>
      <c r="N983" s="408"/>
      <c r="O983" s="408"/>
      <c r="P983" s="225"/>
      <c r="Q983" s="225"/>
      <c r="R983" s="225"/>
      <c r="S983" s="225"/>
      <c r="T983" s="225"/>
      <c r="U983" s="225"/>
      <c r="V983" s="225"/>
    </row>
    <row r="984" spans="1:22" s="26" customFormat="1" ht="18.95" customHeight="1" thickBot="1" x14ac:dyDescent="0.3">
      <c r="B984" s="465" t="s">
        <v>119</v>
      </c>
      <c r="C984" s="466"/>
      <c r="D984" s="466"/>
      <c r="E984" s="466"/>
      <c r="F984" s="466"/>
      <c r="G984" s="466"/>
      <c r="H984" s="466"/>
      <c r="I984" s="467"/>
      <c r="K984" s="408"/>
      <c r="L984" s="408"/>
      <c r="M984" s="408"/>
      <c r="N984" s="408"/>
      <c r="O984" s="408"/>
      <c r="P984" s="225"/>
      <c r="Q984" s="225"/>
      <c r="R984" s="225"/>
      <c r="S984" s="225"/>
      <c r="T984" s="225"/>
      <c r="U984" s="225"/>
      <c r="V984" s="225"/>
    </row>
    <row r="985" spans="1:22" s="26" customFormat="1" ht="15.75" thickBot="1" x14ac:dyDescent="0.3">
      <c r="B985" s="285"/>
      <c r="C985" s="283"/>
      <c r="D985" s="283"/>
      <c r="E985" s="283"/>
      <c r="F985" s="466" t="s">
        <v>120</v>
      </c>
      <c r="G985" s="466"/>
      <c r="H985" s="466"/>
      <c r="I985" s="467"/>
      <c r="K985" s="14"/>
    </row>
    <row r="986" spans="1:22" s="26" customFormat="1" ht="15.75" thickBot="1" x14ac:dyDescent="0.3">
      <c r="B986" s="472" t="s">
        <v>174</v>
      </c>
      <c r="C986" s="473"/>
      <c r="D986" s="473"/>
      <c r="E986" s="474"/>
      <c r="F986" s="149"/>
      <c r="G986" s="149"/>
      <c r="H986" s="149"/>
      <c r="I986" s="149"/>
      <c r="K986" s="14" t="s">
        <v>180</v>
      </c>
    </row>
    <row r="987" spans="1:22" s="26" customFormat="1" ht="30" customHeight="1" thickBot="1" x14ac:dyDescent="0.3">
      <c r="B987" s="472" t="s">
        <v>106</v>
      </c>
      <c r="C987" s="473"/>
      <c r="D987" s="473"/>
      <c r="E987" s="474"/>
      <c r="F987" s="235"/>
      <c r="G987" s="235"/>
      <c r="H987" s="235"/>
      <c r="I987" s="235"/>
      <c r="J987" s="26" t="s">
        <v>104</v>
      </c>
      <c r="K987" s="408" t="s">
        <v>181</v>
      </c>
      <c r="L987" s="408"/>
      <c r="M987" s="408"/>
      <c r="N987" s="408"/>
      <c r="O987" s="408"/>
      <c r="P987" s="21"/>
      <c r="Q987" s="21"/>
      <c r="R987" s="21"/>
      <c r="S987" s="21"/>
      <c r="T987" s="21"/>
    </row>
    <row r="988" spans="1:22" s="26" customFormat="1" ht="15.75" thickBot="1" x14ac:dyDescent="0.3">
      <c r="A988" s="14"/>
      <c r="B988" s="472" t="s">
        <v>107</v>
      </c>
      <c r="C988" s="473"/>
      <c r="D988" s="473"/>
      <c r="E988" s="474"/>
      <c r="F988" s="151"/>
      <c r="G988" s="151"/>
      <c r="H988" s="151"/>
      <c r="I988" s="151"/>
      <c r="J988" s="236"/>
      <c r="K988" s="110" t="s">
        <v>182</v>
      </c>
      <c r="N988" s="21"/>
      <c r="O988" s="21"/>
      <c r="P988" s="21"/>
      <c r="Q988" s="21"/>
      <c r="R988" s="21"/>
      <c r="S988" s="21"/>
      <c r="T988" s="21"/>
    </row>
    <row r="989" spans="1:22" s="26" customFormat="1" ht="15.75" thickBot="1" x14ac:dyDescent="0.3">
      <c r="A989" s="15"/>
      <c r="B989" s="472" t="s">
        <v>108</v>
      </c>
      <c r="C989" s="473"/>
      <c r="D989" s="473"/>
      <c r="E989" s="474"/>
      <c r="F989" s="489"/>
      <c r="G989" s="490"/>
      <c r="H989" s="490"/>
      <c r="I989" s="491"/>
      <c r="J989" s="237" t="s">
        <v>104</v>
      </c>
      <c r="K989" s="110" t="s">
        <v>210</v>
      </c>
    </row>
    <row r="990" spans="1:22" s="26" customFormat="1" ht="15.75" thickBot="1" x14ac:dyDescent="0.3">
      <c r="A990" s="15"/>
      <c r="B990" s="472" t="s">
        <v>74</v>
      </c>
      <c r="C990" s="473"/>
      <c r="D990" s="473"/>
      <c r="E990" s="474"/>
      <c r="F990" s="492"/>
      <c r="G990" s="493"/>
      <c r="H990" s="493"/>
      <c r="I990" s="494"/>
      <c r="J990" s="237" t="s">
        <v>104</v>
      </c>
      <c r="K990" s="110" t="s">
        <v>184</v>
      </c>
    </row>
    <row r="991" spans="1:22" s="26" customFormat="1" ht="15.75" thickBot="1" x14ac:dyDescent="0.3">
      <c r="B991" s="472" t="s">
        <v>75</v>
      </c>
      <c r="C991" s="473"/>
      <c r="D991" s="473"/>
      <c r="E991" s="474"/>
      <c r="F991" s="492"/>
      <c r="G991" s="493"/>
      <c r="H991" s="493"/>
      <c r="I991" s="494"/>
      <c r="J991" s="26" t="s">
        <v>104</v>
      </c>
      <c r="K991" s="110" t="s">
        <v>185</v>
      </c>
    </row>
    <row r="992" spans="1:22" s="26" customFormat="1" ht="15.75" thickBot="1" x14ac:dyDescent="0.3">
      <c r="B992" s="472" t="s">
        <v>76</v>
      </c>
      <c r="C992" s="473"/>
      <c r="D992" s="473"/>
      <c r="E992" s="474"/>
      <c r="F992" s="492"/>
      <c r="G992" s="493"/>
      <c r="H992" s="493"/>
      <c r="I992" s="494"/>
      <c r="J992" s="237" t="s">
        <v>104</v>
      </c>
      <c r="K992" s="110" t="s">
        <v>219</v>
      </c>
    </row>
    <row r="993" spans="1:22" s="26" customFormat="1" ht="15.75" thickBot="1" x14ac:dyDescent="0.3">
      <c r="B993" s="472" t="s">
        <v>172</v>
      </c>
      <c r="C993" s="473"/>
      <c r="D993" s="473"/>
      <c r="E993" s="474"/>
      <c r="F993" s="492"/>
      <c r="G993" s="493"/>
      <c r="H993" s="493"/>
      <c r="I993" s="494"/>
      <c r="J993" s="237" t="s">
        <v>104</v>
      </c>
      <c r="K993" s="110" t="s">
        <v>217</v>
      </c>
    </row>
    <row r="994" spans="1:22" s="26" customFormat="1" ht="15.75" thickBot="1" x14ac:dyDescent="0.3">
      <c r="B994" s="472" t="s">
        <v>173</v>
      </c>
      <c r="C994" s="473"/>
      <c r="D994" s="473"/>
      <c r="E994" s="474"/>
      <c r="F994" s="492"/>
      <c r="G994" s="493"/>
      <c r="H994" s="493"/>
      <c r="I994" s="494"/>
      <c r="J994" s="237" t="s">
        <v>104</v>
      </c>
      <c r="K994" s="110" t="s">
        <v>218</v>
      </c>
    </row>
    <row r="995" spans="1:22" s="26" customFormat="1" ht="30" customHeight="1" x14ac:dyDescent="0.25">
      <c r="B995" s="112"/>
      <c r="C995" s="112"/>
      <c r="D995" s="112"/>
      <c r="E995" s="278"/>
      <c r="F995" s="278"/>
      <c r="G995" s="238"/>
      <c r="H995" s="278"/>
      <c r="I995" s="278"/>
      <c r="J995" s="239"/>
      <c r="K995" s="110"/>
    </row>
    <row r="996" spans="1:22" s="26" customFormat="1" ht="15.75" thickBot="1" x14ac:dyDescent="0.3">
      <c r="B996" s="334" t="s">
        <v>171</v>
      </c>
      <c r="C996" s="334"/>
      <c r="D996" s="334"/>
      <c r="E996" s="334"/>
      <c r="F996" s="278"/>
      <c r="G996" s="278"/>
      <c r="H996" s="278"/>
      <c r="I996" s="278"/>
      <c r="J996" s="239"/>
      <c r="K996" s="404" t="s">
        <v>195</v>
      </c>
      <c r="L996" s="404"/>
      <c r="M996" s="404"/>
      <c r="N996" s="404"/>
      <c r="O996" s="404"/>
      <c r="P996" s="274"/>
      <c r="Q996" s="274"/>
      <c r="R996" s="274"/>
      <c r="S996" s="274"/>
      <c r="T996" s="274"/>
      <c r="U996" s="274"/>
      <c r="V996" s="274"/>
    </row>
    <row r="997" spans="1:22" s="26" customFormat="1" ht="29.1" customHeight="1" thickBot="1" x14ac:dyDescent="0.3">
      <c r="B997" s="465" t="s">
        <v>121</v>
      </c>
      <c r="C997" s="466"/>
      <c r="D997" s="466"/>
      <c r="E997" s="466"/>
      <c r="F997" s="466"/>
      <c r="G997" s="466"/>
      <c r="H997" s="466"/>
      <c r="I997" s="467"/>
      <c r="J997" s="239"/>
      <c r="K997" s="404"/>
      <c r="L997" s="404"/>
      <c r="M997" s="404"/>
      <c r="N997" s="404"/>
      <c r="O997" s="404"/>
      <c r="P997" s="274"/>
      <c r="Q997" s="274"/>
      <c r="R997" s="274"/>
      <c r="S997" s="274"/>
      <c r="T997" s="274"/>
      <c r="U997" s="274"/>
      <c r="V997" s="274"/>
    </row>
    <row r="998" spans="1:22" s="26" customFormat="1" ht="30" customHeight="1" thickBot="1" x14ac:dyDescent="0.3">
      <c r="B998" s="472" t="s">
        <v>122</v>
      </c>
      <c r="C998" s="473"/>
      <c r="D998" s="473"/>
      <c r="E998" s="474"/>
      <c r="F998" s="468"/>
      <c r="G998" s="469"/>
      <c r="H998" s="470"/>
      <c r="I998" s="471"/>
      <c r="J998" s="239"/>
      <c r="K998" s="408" t="s">
        <v>186</v>
      </c>
      <c r="L998" s="408"/>
      <c r="M998" s="408"/>
      <c r="N998" s="408"/>
      <c r="O998" s="408"/>
    </row>
    <row r="999" spans="1:22" s="26" customFormat="1" ht="23.1" customHeight="1" thickBot="1" x14ac:dyDescent="0.3">
      <c r="B999" s="472" t="str">
        <f>B986</f>
        <v>Pack Identification</v>
      </c>
      <c r="C999" s="473"/>
      <c r="D999" s="473"/>
      <c r="E999" s="474"/>
      <c r="F999" s="192" t="str">
        <f>IF(ISBLANK(F986),"",F986)</f>
        <v/>
      </c>
      <c r="G999" s="192" t="str">
        <f t="shared" ref="G999:I999" si="84">IF(ISBLANK(G986),"",G986)</f>
        <v/>
      </c>
      <c r="H999" s="192" t="str">
        <f t="shared" si="84"/>
        <v/>
      </c>
      <c r="I999" s="192" t="str">
        <f t="shared" si="84"/>
        <v/>
      </c>
      <c r="J999" s="239"/>
      <c r="K999" s="408"/>
      <c r="L999" s="408"/>
      <c r="M999" s="408"/>
      <c r="N999" s="408"/>
      <c r="O999" s="408"/>
    </row>
    <row r="1000" spans="1:22" s="26" customFormat="1" ht="15.75" thickBot="1" x14ac:dyDescent="0.3">
      <c r="B1000" s="512" t="s">
        <v>123</v>
      </c>
      <c r="C1000" s="513"/>
      <c r="D1000" s="513"/>
      <c r="E1000" s="514"/>
      <c r="F1000" s="145"/>
      <c r="G1000" s="154"/>
      <c r="H1000" s="154"/>
      <c r="I1000" s="154"/>
      <c r="J1000" s="239"/>
      <c r="K1000" s="408" t="s">
        <v>187</v>
      </c>
      <c r="L1000" s="408"/>
      <c r="M1000" s="408"/>
      <c r="N1000" s="408"/>
      <c r="O1000" s="408"/>
    </row>
    <row r="1001" spans="1:22" s="26" customFormat="1" ht="75.75" customHeight="1" x14ac:dyDescent="0.25">
      <c r="B1001" s="284"/>
      <c r="C1001" s="284"/>
      <c r="D1001" s="284"/>
      <c r="E1001" s="284"/>
      <c r="F1001" s="278"/>
      <c r="G1001" s="278"/>
      <c r="H1001" s="278"/>
      <c r="I1001" s="278"/>
      <c r="J1001" s="239"/>
      <c r="K1001" s="408"/>
      <c r="L1001" s="408"/>
      <c r="M1001" s="408"/>
      <c r="N1001" s="408"/>
      <c r="O1001" s="408"/>
    </row>
    <row r="1002" spans="1:22" s="26" customFormat="1" x14ac:dyDescent="0.25">
      <c r="B1002" s="511"/>
      <c r="C1002" s="511"/>
      <c r="D1002" s="511"/>
      <c r="E1002" s="511"/>
      <c r="K1002" s="408"/>
      <c r="L1002" s="408"/>
      <c r="M1002" s="408"/>
      <c r="N1002" s="408"/>
      <c r="O1002" s="408"/>
    </row>
    <row r="1003" spans="1:22" s="26" customFormat="1" x14ac:dyDescent="0.25">
      <c r="B1003" s="278"/>
      <c r="C1003" s="278"/>
      <c r="D1003" s="278"/>
      <c r="E1003" s="278"/>
      <c r="O1003" s="21"/>
    </row>
    <row r="1004" spans="1:22" s="26" customFormat="1" x14ac:dyDescent="0.25">
      <c r="A1004" s="155"/>
      <c r="B1004" s="286" t="s">
        <v>124</v>
      </c>
      <c r="C1004" s="273"/>
      <c r="D1004" s="66"/>
      <c r="E1004" s="66"/>
      <c r="F1004" s="390"/>
      <c r="G1004" s="390"/>
      <c r="H1004" s="390"/>
      <c r="I1004" s="390"/>
      <c r="O1004" s="21"/>
    </row>
    <row r="1005" spans="1:22" s="26" customFormat="1" x14ac:dyDescent="0.25">
      <c r="A1005" s="14" t="s">
        <v>125</v>
      </c>
      <c r="B1005" s="273"/>
      <c r="C1005" s="273"/>
      <c r="D1005" s="66"/>
      <c r="E1005" s="66"/>
      <c r="F1005" s="273"/>
      <c r="G1005" s="273"/>
      <c r="H1005" s="273"/>
      <c r="I1005" s="273"/>
      <c r="O1005" s="21"/>
    </row>
    <row r="1006" spans="1:22" s="26" customFormat="1" ht="15.75" thickBot="1" x14ac:dyDescent="0.3">
      <c r="B1006" s="66"/>
      <c r="C1006" s="66"/>
      <c r="D1006" s="66"/>
      <c r="E1006" s="66"/>
      <c r="F1006" s="390" t="s">
        <v>126</v>
      </c>
      <c r="G1006" s="390"/>
      <c r="H1006" s="390"/>
      <c r="I1006" s="390"/>
      <c r="O1006" s="21"/>
    </row>
    <row r="1007" spans="1:22" s="26" customFormat="1" ht="15.75" thickBot="1" x14ac:dyDescent="0.3">
      <c r="B1007" s="66"/>
      <c r="C1007" s="66"/>
      <c r="D1007" s="66"/>
      <c r="E1007" s="66"/>
      <c r="F1007" s="156" t="str">
        <f>IF(F986="","",F986)</f>
        <v/>
      </c>
      <c r="G1007" s="156" t="str">
        <f>IF(G986="","",G986)</f>
        <v/>
      </c>
      <c r="H1007" s="156" t="str">
        <f>IF(H986="","",H986)</f>
        <v/>
      </c>
      <c r="I1007" s="156" t="str">
        <f>IF(I986="","",I986)</f>
        <v/>
      </c>
      <c r="O1007" s="21"/>
    </row>
    <row r="1008" spans="1:22" s="26" customFormat="1" x14ac:dyDescent="0.25">
      <c r="A1008" s="91" t="s">
        <v>77</v>
      </c>
      <c r="B1008" s="475" t="s">
        <v>82</v>
      </c>
      <c r="C1008" s="476"/>
      <c r="D1008" s="476"/>
      <c r="E1008" s="240"/>
      <c r="F1008" s="241" t="str">
        <f>IF(OR(F987="",F988="",F989=""),"",IF(F987="Price to Wholesaler",F988,IF(F987="Reimbursement Price",(F1010/(1+E1009)*1),"Error")))</f>
        <v/>
      </c>
      <c r="G1008" s="241" t="str">
        <f>IF(OR(G987="",G988="",F989=""),"",IF(G987="Price to Wholesaler",G988,IF(G987="Reimbursement Price",(G1010/(1+E1009)*1),"Error")))</f>
        <v/>
      </c>
      <c r="H1008" s="241" t="str">
        <f>IF(OR(H987="",H988="",F989=""),"",IF(H987="Price to Wholesaler",H988,IF(H987="Reimbursement Price",(H1010/(1+E1009)*1),"Error")))</f>
        <v/>
      </c>
      <c r="I1008" s="241" t="str">
        <f>IF(OR(I987="",I988="",F989=""),"",IF(I987="Price to Wholesaler",I988,IF(I987="Reimbursement Price",(I1010/(1+E1009)*1),"Error")))</f>
        <v/>
      </c>
      <c r="O1008" s="21"/>
    </row>
    <row r="1009" spans="1:15" s="26" customFormat="1" x14ac:dyDescent="0.25">
      <c r="A1009" s="282" t="s">
        <v>78</v>
      </c>
      <c r="B1009" s="477" t="s">
        <v>83</v>
      </c>
      <c r="C1009" s="478"/>
      <c r="D1009" s="478"/>
      <c r="E1009" s="93" t="str">
        <f>IF(OR(F989=""),"",IF(AND(F989="CDS",F990="Yes"),CYF,IF(AND(F989="CDS",F990="No"),CNF,IF(F989="HT",CHT,IF(F989="Hosp",CHO,"Error")))))</f>
        <v/>
      </c>
      <c r="F1009" s="242" t="str">
        <f>IF(OR(F989="",F988="",F987=""),"",F1008*E1009)</f>
        <v/>
      </c>
      <c r="G1009" s="242" t="str">
        <f>IF(OR(F989="",G988="",G987=""),"",G1008*E1009)</f>
        <v/>
      </c>
      <c r="H1009" s="242" t="str">
        <f>IF(OR(F989="",H988="",H987=""),"",H1008*E1009)</f>
        <v/>
      </c>
      <c r="I1009" s="242" t="str">
        <f>IF(OR(F989="",I988="",I987=""),"",I1008*E1009)</f>
        <v/>
      </c>
      <c r="O1009" s="21"/>
    </row>
    <row r="1010" spans="1:15" s="26" customFormat="1" x14ac:dyDescent="0.25">
      <c r="A1010" s="282" t="s">
        <v>79</v>
      </c>
      <c r="B1010" s="477" t="str">
        <f>IF(F989="Hosp","Hospital Price", "Reimbursement Price")</f>
        <v>Reimbursement Price</v>
      </c>
      <c r="C1010" s="478"/>
      <c r="D1010" s="478"/>
      <c r="E1010" s="243" t="str">
        <f>IF(F987="Price to Wholesaler","A+B","")</f>
        <v/>
      </c>
      <c r="F1010" s="242" t="str">
        <f>IF(F987="Reimbursement Price",F988,IF(ISBLANK(E1009),"",IF(F987="Price to Wholesaler",(F1008+F1009),IF(F987="","","Error"))))</f>
        <v/>
      </c>
      <c r="G1010" s="242" t="str">
        <f>IF(G987="Reimbursement Price",G988,IF(ISBLANK(E1009),"",IF(G987="Price to Wholesaler",(G1008+G1009),IF(G987="","","Error"))))</f>
        <v/>
      </c>
      <c r="H1010" s="242" t="str">
        <f>IF(H987="Reimbursement Price",H988,IF(ISBLANK(E1009),"",IF(H987="Price to Wholesaler",(H1008+H1009),IF(H987="","","Error"))))</f>
        <v/>
      </c>
      <c r="I1010" s="242" t="str">
        <f>IF(I987="Reimbursement Price",I988,IF(ISBLANK(E1009),"",IF(I987="Price to Wholesaler",(I1008+I1009),IF(I987="","","Error"))))</f>
        <v/>
      </c>
      <c r="O1010" s="21"/>
    </row>
    <row r="1011" spans="1:15" s="26" customFormat="1" x14ac:dyDescent="0.25">
      <c r="A1011" s="282" t="s">
        <v>80</v>
      </c>
      <c r="B1011" s="477" t="s">
        <v>214</v>
      </c>
      <c r="C1011" s="478"/>
      <c r="D1011" s="478"/>
      <c r="E1011" s="268" t="str">
        <f>IF(OR(F992="",AND(F992="Yes",F993=""),AND(F992="No",F994="")),"",IF(AND(F992="No",F994="Patented Exclusive or Off Patent Exclusive and subject to clause 10 of Framework Agreement"),MR,IF(AND(F992="No",F994="Off Patent Non-Exclusive or Generic"),"None",IF(AND(F992="Yes",F993="Biosimilar"),"None",IF(AND(F992="Yes",F993="Patented or Off Patent Exclusive"),MR,IF(AND(F992="Yes",F993="Off Patent Non-Exclusive 12.5% Rebate incorporated into Price to Wholesaler"),"None",IF(AND(F992="Yes",F993="Off Patent Non-Exclusive 12.5% Rebate"),MRB,"Error")))))))</f>
        <v/>
      </c>
      <c r="F1011" s="242" t="str">
        <f>IF(OR(F992="",AND(F992="Yes",F993=""),AND(F992="No",F994=""),F987="",ISBLANK(F988)),"",IF(E1011="None",0,(E1011*F1008)))</f>
        <v/>
      </c>
      <c r="G1011" s="242" t="str">
        <f>IF(OR(F992="",AND(F992="Yes",F993=""),AND(F992="No",F994=""),G987="",ISBLANK(G988)),"",IF(E1011="None",0,(E1011*G1008)))</f>
        <v/>
      </c>
      <c r="H1011" s="242" t="str">
        <f>IF(OR(F992="",AND(F992="Yes",F993=""),AND(F992="No",F994=""),H987="",ISBLANK(H988)),"",IF(E1011="None",0,(E1011*H1008)))</f>
        <v/>
      </c>
      <c r="I1011" s="242" t="str">
        <f>IF(OR(F992="",AND(F992="Yes",F993=""),AND(F992="No",F994=""),I987="",ISBLANK(I988)),"",IF(E1011="None",0,(E1011*I1008)))</f>
        <v/>
      </c>
      <c r="O1011" s="21"/>
    </row>
    <row r="1012" spans="1:15" s="26" customFormat="1" ht="15.75" thickBot="1" x14ac:dyDescent="0.3">
      <c r="A1012" s="280" t="s">
        <v>81</v>
      </c>
      <c r="B1012" s="479" t="s">
        <v>94</v>
      </c>
      <c r="C1012" s="480"/>
      <c r="D1012" s="480"/>
      <c r="E1012" s="160" t="str">
        <f>IF(F991="","",IF(F991="Yes",0,VT))</f>
        <v/>
      </c>
      <c r="F1012" s="244" t="str">
        <f>IF(OR($B991="",F988="",ISBLANK(F988)),"",($E1012*F1010))</f>
        <v/>
      </c>
      <c r="G1012" s="244" t="str">
        <f t="shared" ref="G1012:I1012" si="85">IF(OR($B991="",G988="",ISBLANK(G988)),"",($E1012*G1010))</f>
        <v/>
      </c>
      <c r="H1012" s="244" t="str">
        <f t="shared" si="85"/>
        <v/>
      </c>
      <c r="I1012" s="244" t="str">
        <f t="shared" si="85"/>
        <v/>
      </c>
      <c r="O1012" s="21"/>
    </row>
    <row r="1013" spans="1:15" s="26" customFormat="1" ht="15.75" thickBot="1" x14ac:dyDescent="0.3">
      <c r="A1013" s="279" t="s">
        <v>127</v>
      </c>
      <c r="B1013" s="481" t="s">
        <v>128</v>
      </c>
      <c r="C1013" s="481"/>
      <c r="D1013" s="481"/>
      <c r="E1013" s="279"/>
      <c r="F1013" s="245" t="str">
        <f>IF(OR(F987="",$F989="",$F991="",$F992=""),"",SUM(F1010:F1012))</f>
        <v/>
      </c>
      <c r="G1013" s="245" t="str">
        <f t="shared" ref="G1013:I1013" si="86">IF(OR(G987="",$F989="",$F991="",$F992=""),"",SUM(G1010:G1012))</f>
        <v/>
      </c>
      <c r="H1013" s="245" t="str">
        <f t="shared" si="86"/>
        <v/>
      </c>
      <c r="I1013" s="245" t="str">
        <f t="shared" si="86"/>
        <v/>
      </c>
      <c r="O1013" s="21"/>
    </row>
    <row r="1014" spans="1:15" s="26" customFormat="1" ht="15.75" thickBot="1" x14ac:dyDescent="0.3">
      <c r="A1014" s="279" t="s">
        <v>129</v>
      </c>
      <c r="B1014" s="482" t="s">
        <v>130</v>
      </c>
      <c r="C1014" s="482"/>
      <c r="D1014" s="482"/>
      <c r="E1014" s="245"/>
      <c r="F1014" s="245" t="str">
        <f>IF(OR(F987="",$F989="",$F991="",$F992=""),"",SUM(F1010:F1011))</f>
        <v/>
      </c>
      <c r="G1014" s="245" t="str">
        <f t="shared" ref="G1014:I1014" si="87">IF(OR(G987="",$F989="",$F991="",$F992=""),"",SUM(G1010:G1011))</f>
        <v/>
      </c>
      <c r="H1014" s="245" t="str">
        <f t="shared" si="87"/>
        <v/>
      </c>
      <c r="I1014" s="245" t="str">
        <f t="shared" si="87"/>
        <v/>
      </c>
      <c r="O1014" s="21"/>
    </row>
    <row r="1015" spans="1:15" s="26" customFormat="1" x14ac:dyDescent="0.25">
      <c r="B1015" s="66"/>
      <c r="C1015" s="66"/>
      <c r="D1015" s="66"/>
      <c r="E1015" s="66"/>
      <c r="K1015" s="26" t="s">
        <v>131</v>
      </c>
      <c r="O1015" s="21"/>
    </row>
    <row r="1016" spans="1:15" s="26" customFormat="1" x14ac:dyDescent="0.25">
      <c r="A1016" s="155" t="s">
        <v>132</v>
      </c>
      <c r="B1016" s="66"/>
      <c r="C1016" s="66"/>
      <c r="D1016" s="66"/>
      <c r="E1016" s="66"/>
      <c r="F1016" s="246"/>
      <c r="G1016" s="246"/>
      <c r="H1016" s="246"/>
      <c r="I1016" s="246"/>
      <c r="O1016" s="21"/>
    </row>
    <row r="1017" spans="1:15" s="26" customFormat="1" x14ac:dyDescent="0.25">
      <c r="A1017" s="125"/>
      <c r="B1017" s="125" t="s">
        <v>133</v>
      </c>
      <c r="C1017" s="125"/>
      <c r="D1017" s="125"/>
      <c r="E1017" s="125"/>
      <c r="F1017" s="125"/>
      <c r="G1017" s="125"/>
      <c r="H1017" s="125"/>
      <c r="O1017" s="21"/>
    </row>
    <row r="1018" spans="1:15" s="26" customFormat="1" x14ac:dyDescent="0.25">
      <c r="B1018" s="21" t="s">
        <v>134</v>
      </c>
      <c r="C1018" s="229"/>
      <c r="D1018" s="229"/>
      <c r="E1018" s="66"/>
      <c r="O1018" s="21"/>
    </row>
    <row r="1019" spans="1:15" s="26" customFormat="1" ht="15.75" thickBot="1" x14ac:dyDescent="0.3">
      <c r="B1019" s="165"/>
      <c r="C1019" s="229"/>
      <c r="D1019" s="229"/>
      <c r="E1019" s="66"/>
      <c r="O1019" s="21"/>
    </row>
    <row r="1020" spans="1:15" s="26" customFormat="1" ht="15.75" thickBot="1" x14ac:dyDescent="0.3">
      <c r="B1020" s="230"/>
      <c r="C1020" s="66"/>
      <c r="D1020" s="66"/>
      <c r="E1020" s="66"/>
      <c r="G1020" s="13" t="s">
        <v>135</v>
      </c>
      <c r="H1020" s="13" t="s">
        <v>136</v>
      </c>
      <c r="O1020" s="21"/>
    </row>
    <row r="1021" spans="1:15" s="26" customFormat="1" x14ac:dyDescent="0.25">
      <c r="B1021" s="483" t="s">
        <v>137</v>
      </c>
      <c r="C1021" s="484"/>
      <c r="D1021" s="484"/>
      <c r="E1021" s="484"/>
      <c r="F1021" s="485"/>
      <c r="G1021" s="247" t="str">
        <f>IF(F989="","",IF(F989="CDS","per dispensing",IF(F989="HT","per month",IF(F989="Hosp","No Fee", ERROR))))</f>
        <v/>
      </c>
      <c r="H1021" s="248" t="str">
        <f>IF(F989="","",IF(F989="CDS",DF,IF(F989="HT",PC,IF(F989="Hosp","No Fee",ERROR))))</f>
        <v/>
      </c>
      <c r="I1021" s="26" t="s">
        <v>138</v>
      </c>
      <c r="O1021" s="21"/>
    </row>
    <row r="1022" spans="1:15" s="26" customFormat="1" ht="15.75" thickBot="1" x14ac:dyDescent="0.3">
      <c r="B1022" s="486" t="s">
        <v>92</v>
      </c>
      <c r="C1022" s="487"/>
      <c r="D1022" s="487"/>
      <c r="E1022" s="487"/>
      <c r="F1022" s="488"/>
      <c r="G1022" s="249" t="str">
        <f>IF(OR(F989="",F991=""),"",IF(F989="Hosp","No Fee",IF(F989="HT","No VAT",IF(AND(F989="CDS",F991="No"),VT,"No VAT"))))</f>
        <v/>
      </c>
      <c r="H1022" s="250" t="str">
        <f>IF(OR(F991="",F989="Hosp"),"",IF(OR(F991="Yes",F989="HT"),0,H1021*G1022))</f>
        <v/>
      </c>
      <c r="O1022" s="21"/>
    </row>
    <row r="1023" spans="1:15" s="26" customFormat="1" x14ac:dyDescent="0.25">
      <c r="B1023" s="230"/>
      <c r="C1023" s="66"/>
      <c r="D1023" s="66"/>
      <c r="E1023" s="66"/>
      <c r="O1023" s="21"/>
    </row>
    <row r="1024" spans="1:15" s="26" customFormat="1" x14ac:dyDescent="0.25">
      <c r="B1024" s="230"/>
      <c r="C1024" s="66"/>
      <c r="D1024" s="66"/>
      <c r="E1024" s="66"/>
      <c r="O1024" s="21"/>
    </row>
    <row r="1025" spans="1:20" s="26" customFormat="1" ht="33.950000000000003" customHeight="1" thickBot="1" x14ac:dyDescent="0.3">
      <c r="A1025" s="165" t="s">
        <v>193</v>
      </c>
      <c r="B1025" s="230"/>
      <c r="C1025" s="66"/>
      <c r="D1025" s="66"/>
      <c r="E1025" s="66"/>
      <c r="K1025" s="408" t="s">
        <v>197</v>
      </c>
      <c r="L1025" s="408"/>
      <c r="M1025" s="408"/>
      <c r="N1025" s="408"/>
      <c r="O1025" s="408"/>
      <c r="P1025" s="195"/>
      <c r="Q1025" s="195"/>
      <c r="R1025" s="195"/>
      <c r="S1025" s="195"/>
      <c r="T1025" s="195"/>
    </row>
    <row r="1026" spans="1:20" s="26" customFormat="1" ht="17.100000000000001" customHeight="1" thickBot="1" x14ac:dyDescent="0.3">
      <c r="A1026" s="14" t="s">
        <v>194</v>
      </c>
      <c r="B1026" s="230"/>
      <c r="C1026" s="66"/>
      <c r="D1026" s="66"/>
      <c r="E1026" s="66"/>
      <c r="G1026" s="13" t="s">
        <v>101</v>
      </c>
      <c r="H1026" s="13" t="s">
        <v>136</v>
      </c>
      <c r="K1026" s="408" t="str">
        <f>IF(F989="HT","For High tech, if a treatment cycle =28 days the corresponding pharmacy fee is =62.03*12/365.25*28.  The pharmacy fee remains the same regardless of the number of products dispensed that month.",IF(F989="CDS","For CDS, if 2 packets of the same pack presentation are required per treatment cycle, one dispensing fee applies (€5.48). If multiple pack presentations are required, multiple dispensing fees apply",""))</f>
        <v/>
      </c>
      <c r="L1026" s="408"/>
      <c r="M1026" s="408"/>
      <c r="N1026" s="408"/>
      <c r="O1026" s="408"/>
      <c r="P1026" s="195"/>
      <c r="Q1026" s="195"/>
      <c r="R1026" s="195"/>
      <c r="S1026" s="195"/>
      <c r="T1026" s="195"/>
    </row>
    <row r="1027" spans="1:20" s="26" customFormat="1" ht="16.5" customHeight="1" x14ac:dyDescent="0.25">
      <c r="A1027" s="170" t="s">
        <v>139</v>
      </c>
      <c r="B1027" s="504" t="s">
        <v>140</v>
      </c>
      <c r="C1027" s="504"/>
      <c r="D1027" s="504"/>
      <c r="E1027" s="504"/>
      <c r="F1027" s="504"/>
      <c r="G1027" s="251"/>
      <c r="H1027" s="252"/>
      <c r="K1027" s="408"/>
      <c r="L1027" s="408"/>
      <c r="M1027" s="408"/>
      <c r="N1027" s="408"/>
      <c r="O1027" s="408"/>
      <c r="P1027" s="195"/>
      <c r="Q1027" s="195"/>
      <c r="R1027" s="195"/>
      <c r="S1027" s="195"/>
      <c r="T1027" s="195"/>
    </row>
    <row r="1028" spans="1:20" s="26" customFormat="1" x14ac:dyDescent="0.25">
      <c r="A1028" s="173" t="s">
        <v>141</v>
      </c>
      <c r="B1028" s="505" t="s">
        <v>142</v>
      </c>
      <c r="C1028" s="505"/>
      <c r="D1028" s="505"/>
      <c r="E1028" s="505"/>
      <c r="F1028" s="505"/>
      <c r="G1028" s="253"/>
      <c r="H1028" s="254"/>
      <c r="K1028" s="14" t="s">
        <v>188</v>
      </c>
      <c r="O1028" s="21"/>
    </row>
    <row r="1029" spans="1:20" s="26" customFormat="1" x14ac:dyDescent="0.25">
      <c r="A1029" s="173" t="s">
        <v>143</v>
      </c>
      <c r="B1029" s="505" t="s">
        <v>144</v>
      </c>
      <c r="C1029" s="505"/>
      <c r="D1029" s="505"/>
      <c r="E1029" s="505"/>
      <c r="F1029" s="505"/>
      <c r="G1029" s="253"/>
      <c r="H1029" s="254"/>
      <c r="K1029" s="14" t="s">
        <v>189</v>
      </c>
      <c r="O1029" s="21"/>
    </row>
    <row r="1030" spans="1:20" s="26" customFormat="1" x14ac:dyDescent="0.25">
      <c r="A1030" s="173" t="s">
        <v>145</v>
      </c>
      <c r="B1030" s="505" t="s">
        <v>146</v>
      </c>
      <c r="C1030" s="505"/>
      <c r="D1030" s="505"/>
      <c r="E1030" s="505"/>
      <c r="F1030" s="505"/>
      <c r="G1030" s="255"/>
      <c r="H1030" s="256" t="str">
        <f>IF(ISBLANK(H1027),"",SUM(H1027:H1029))</f>
        <v/>
      </c>
      <c r="O1030" s="21"/>
    </row>
    <row r="1031" spans="1:20" s="26" customFormat="1" ht="15.75" thickBot="1" x14ac:dyDescent="0.3">
      <c r="A1031" s="178" t="s">
        <v>147</v>
      </c>
      <c r="B1031" s="515" t="s">
        <v>196</v>
      </c>
      <c r="C1031" s="515"/>
      <c r="D1031" s="515"/>
      <c r="E1031" s="515"/>
      <c r="F1031" s="515"/>
      <c r="G1031" s="257"/>
      <c r="H1031" s="250" t="str">
        <f>IF(ISBLANK(H1027),"",SUM(H1027:H1028))</f>
        <v/>
      </c>
      <c r="O1031" s="21"/>
    </row>
    <row r="1032" spans="1:20" s="26" customFormat="1" x14ac:dyDescent="0.25">
      <c r="B1032" s="66"/>
      <c r="C1032" s="66"/>
      <c r="D1032" s="66"/>
      <c r="E1032" s="66"/>
      <c r="O1032" s="21"/>
    </row>
    <row r="1033" spans="1:20" s="26" customFormat="1" x14ac:dyDescent="0.25">
      <c r="B1033" s="66"/>
      <c r="C1033" s="66"/>
      <c r="D1033" s="66"/>
      <c r="E1033" s="66"/>
      <c r="O1033" s="21"/>
    </row>
    <row r="1034" spans="1:20" s="26" customFormat="1" x14ac:dyDescent="0.25">
      <c r="A1034" s="155" t="s">
        <v>148</v>
      </c>
      <c r="B1034" s="66"/>
      <c r="C1034" s="66"/>
      <c r="D1034" s="66"/>
      <c r="E1034" s="66"/>
      <c r="O1034" s="21"/>
    </row>
    <row r="1035" spans="1:20" s="26" customFormat="1" ht="15.75" thickBot="1" x14ac:dyDescent="0.3">
      <c r="B1035" s="66"/>
      <c r="C1035" s="66"/>
      <c r="D1035" s="66"/>
      <c r="E1035" s="66"/>
      <c r="O1035" s="21"/>
    </row>
    <row r="1036" spans="1:20" s="26" customFormat="1" ht="29.1" customHeight="1" x14ac:dyDescent="0.25">
      <c r="A1036" s="65"/>
      <c r="B1036" s="278"/>
      <c r="C1036" s="278"/>
      <c r="D1036" s="278"/>
      <c r="E1036" s="278"/>
      <c r="F1036" s="506" t="s">
        <v>149</v>
      </c>
      <c r="G1036" s="180" t="s">
        <v>150</v>
      </c>
      <c r="H1036" s="508" t="s">
        <v>151</v>
      </c>
      <c r="I1036" s="180" t="s">
        <v>152</v>
      </c>
      <c r="J1036" s="66"/>
      <c r="K1036" s="408" t="s">
        <v>269</v>
      </c>
      <c r="L1036" s="408"/>
      <c r="M1036" s="408"/>
      <c r="N1036" s="408"/>
      <c r="O1036" s="408"/>
    </row>
    <row r="1037" spans="1:20" s="26" customFormat="1" x14ac:dyDescent="0.25">
      <c r="A1037" s="65"/>
      <c r="B1037" s="278"/>
      <c r="C1037" s="278"/>
      <c r="D1037" s="278"/>
      <c r="E1037" s="278"/>
      <c r="F1037" s="507"/>
      <c r="G1037" s="253"/>
      <c r="H1037" s="509"/>
      <c r="I1037" s="182"/>
      <c r="J1037" s="66"/>
      <c r="K1037" s="408"/>
      <c r="L1037" s="408"/>
      <c r="M1037" s="408"/>
      <c r="N1037" s="408"/>
      <c r="O1037" s="408"/>
    </row>
    <row r="1038" spans="1:20" s="26" customFormat="1" ht="15.75" thickBot="1" x14ac:dyDescent="0.3">
      <c r="A1038" s="65"/>
      <c r="B1038" s="278"/>
      <c r="C1038" s="278"/>
      <c r="D1038" s="278"/>
      <c r="E1038" s="278"/>
      <c r="F1038" s="507"/>
      <c r="G1038" s="183" t="s">
        <v>153</v>
      </c>
      <c r="H1038" s="510"/>
      <c r="I1038" s="184"/>
      <c r="J1038" s="66"/>
      <c r="K1038" s="408"/>
      <c r="L1038" s="408"/>
      <c r="M1038" s="408"/>
      <c r="N1038" s="408"/>
      <c r="O1038" s="408"/>
    </row>
    <row r="1039" spans="1:20" s="26" customFormat="1" x14ac:dyDescent="0.25">
      <c r="A1039" s="247" t="s">
        <v>77</v>
      </c>
      <c r="B1039" s="463" t="str">
        <f>B1008</f>
        <v>Price to Wholesaler</v>
      </c>
      <c r="C1039" s="463"/>
      <c r="D1039" s="463"/>
      <c r="E1039" s="463"/>
      <c r="F1039" s="256">
        <f>SUMPRODUCT(F1008:I1008,F1000:I1000)</f>
        <v>0</v>
      </c>
      <c r="G1039" s="256">
        <f>F1039*G1037</f>
        <v>0</v>
      </c>
      <c r="H1039" s="256" t="str">
        <f>IF(H998="Days",F1039/F998*365.25,IF(H998="Months",F1039/F998*12,""))</f>
        <v/>
      </c>
      <c r="I1039" s="256" t="str">
        <f>IF(AND(H998="Days",I1038="Days"),F1039/F998*I1037,IF(AND(H998="Months",I1038="Months"),F1039/F998*I1037,IF(AND(H998="Days",I1038="Months"),F1039/F998*30.4375*I1037,IF(AND(H998="Months",I1038="Days"),F1039/F998/30.4375*I1037,""))))</f>
        <v/>
      </c>
      <c r="O1039" s="21"/>
    </row>
    <row r="1040" spans="1:20" s="26" customFormat="1" x14ac:dyDescent="0.25">
      <c r="A1040" s="255" t="s">
        <v>78</v>
      </c>
      <c r="B1040" s="464" t="str">
        <f>B1009</f>
        <v>Wholesale Mark-up</v>
      </c>
      <c r="C1040" s="464"/>
      <c r="D1040" s="464"/>
      <c r="E1040" s="464"/>
      <c r="F1040" s="256">
        <f>SUMPRODUCT(F1009:I1009,F1000:I1000)</f>
        <v>0</v>
      </c>
      <c r="G1040" s="256">
        <f>F1040*G1037</f>
        <v>0</v>
      </c>
      <c r="H1040" s="256" t="str">
        <f>IF(H998="Days",F1040/F998*365.25,IF(H998="Months",F1040/F998*12,""))</f>
        <v/>
      </c>
      <c r="I1040" s="256" t="str">
        <f>IF(AND(H998="Days",I1038="Days"),F1040/F998*I1037,IF(AND(H998="Months",I1038="Months"),F1040/F998*I1037,IF(AND(H998="Days",I1038="Months"),F1040/F998*30.4375*I1037,IF(AND(H998="Months",I1038="Days"),F1040/F998/30.4375*I1037,""))))</f>
        <v/>
      </c>
      <c r="O1040" s="21"/>
    </row>
    <row r="1041" spans="1:19" s="26" customFormat="1" x14ac:dyDescent="0.25">
      <c r="A1041" s="255" t="s">
        <v>79</v>
      </c>
      <c r="B1041" s="281" t="str">
        <f>B1010</f>
        <v>Reimbursement Price</v>
      </c>
      <c r="C1041" s="275"/>
      <c r="D1041" s="276"/>
      <c r="E1041" s="277"/>
      <c r="F1041" s="256">
        <f>SUMPRODUCT(F1010:I1010,F1000:I1000)</f>
        <v>0</v>
      </c>
      <c r="G1041" s="256">
        <f>F1041*G1037</f>
        <v>0</v>
      </c>
      <c r="H1041" s="256" t="str">
        <f>IF(H998="Days",F1041/F998*365.25,IF(H998="Months",F1041/F998*12,""))</f>
        <v/>
      </c>
      <c r="I1041" s="256" t="str">
        <f>IF(AND(H998="Days",I1038="Days"),F1041/F998*I1037,IF(AND(H998="Months",I1038="Months"),F1041/F998*I1037,IF(AND(H998="Days",I1038="Months"),F1041/F998*30.4375*I1037,IF(AND(H998="Months",I1038="Days"),F1041/F998/30.4375*I1037,""))))</f>
        <v/>
      </c>
      <c r="O1041" s="21"/>
    </row>
    <row r="1042" spans="1:19" s="26" customFormat="1" x14ac:dyDescent="0.25">
      <c r="A1042" s="255" t="s">
        <v>80</v>
      </c>
      <c r="B1042" s="495" t="str">
        <f>B1011</f>
        <v>Framework Agreement Rebate</v>
      </c>
      <c r="C1042" s="496"/>
      <c r="D1042" s="496"/>
      <c r="E1042" s="497"/>
      <c r="F1042" s="256">
        <f>SUMPRODUCT(F1011:I1011,F1000:I1000)</f>
        <v>0</v>
      </c>
      <c r="G1042" s="256">
        <f>F1042*G1037</f>
        <v>0</v>
      </c>
      <c r="H1042" s="256" t="str">
        <f>IF(H998="Days",F1042/F998*365.25,IF(H998="Months",F1042/F998*12,""))</f>
        <v/>
      </c>
      <c r="I1042" s="256" t="str">
        <f>IF(AND(H998="Days",I1038="Days"),F1042/F998*I1037,IF(AND(H998="Months",I1038="Months"),F1042/F998*I1037,IF(AND(H998="Days",I1038="Months"),F1042/F998*30.4375*I1037,IF(AND(H998="Months",I1038="Days"),F1042/F998/30.4375*I1037,""))))</f>
        <v/>
      </c>
      <c r="O1042" s="21"/>
    </row>
    <row r="1043" spans="1:19" s="26" customFormat="1" x14ac:dyDescent="0.25">
      <c r="A1043" s="255" t="s">
        <v>81</v>
      </c>
      <c r="B1043" s="495" t="str">
        <f>B1012</f>
        <v xml:space="preserve">VAT on Drug Cost </v>
      </c>
      <c r="C1043" s="496"/>
      <c r="D1043" s="496"/>
      <c r="E1043" s="497"/>
      <c r="F1043" s="256">
        <f>SUMPRODUCT(F1012:I1012,F1000:I1000)</f>
        <v>0</v>
      </c>
      <c r="G1043" s="256">
        <f>F1043*G1037</f>
        <v>0</v>
      </c>
      <c r="H1043" s="256" t="str">
        <f>IF(H998="Days",F1043/F998*365.25,IF(H998="Months",F1043/F998*12,""))</f>
        <v/>
      </c>
      <c r="I1043" s="256" t="str">
        <f>IF(AND(H998="Days",I1038="Days"),F1043/F998*I1037,IF(AND(H998="Months",I1038="Months"),F1043/F998*I1037,IF(AND(H998="Days",I1038="Months"),F1043/F998*30.4375*I1037,IF(AND(H998="Months",I1038="Days"),F1043/F998/30.4375*I1037,""))))</f>
        <v/>
      </c>
      <c r="O1043" s="21"/>
    </row>
    <row r="1044" spans="1:19" s="26" customFormat="1" x14ac:dyDescent="0.25">
      <c r="A1044" s="255" t="s">
        <v>154</v>
      </c>
      <c r="B1044" s="495" t="s">
        <v>155</v>
      </c>
      <c r="C1044" s="496"/>
      <c r="D1044" s="496"/>
      <c r="E1044" s="497"/>
      <c r="F1044" s="256" t="str">
        <f>IF(H1030="","",H1030)</f>
        <v/>
      </c>
      <c r="G1044" s="256" t="str">
        <f>IF(F1044="","",F1044*G1037)</f>
        <v/>
      </c>
      <c r="H1044" s="256" t="str">
        <f>IF(F1044="","",IF(H998="Days",F1044/F998*365.25,IF(H998="Months",F1044/F998*12,"")))</f>
        <v/>
      </c>
      <c r="I1044" s="256" t="str">
        <f>IF(F1044="","",IF(AND(H998="Days",I1038="Days"),F1044/F998*I1037,IF(AND(H998="Months",I1038="Months"),F1044/F998*I1037,IF(AND(H998="Days",I1038="Months"),F1044/F998*30.4375*I1037,IF(AND(H998="Months",I1038="Days"),F1044/F998/30.4375*I1037,"")))))</f>
        <v/>
      </c>
      <c r="O1044" s="21"/>
    </row>
    <row r="1045" spans="1:19" s="26" customFormat="1" x14ac:dyDescent="0.25">
      <c r="A1045" s="255" t="s">
        <v>156</v>
      </c>
      <c r="B1045" s="495" t="s">
        <v>157</v>
      </c>
      <c r="C1045" s="496"/>
      <c r="D1045" s="496"/>
      <c r="E1045" s="497"/>
      <c r="F1045" s="256" t="str">
        <f>IF(H1031="","",H1031)</f>
        <v/>
      </c>
      <c r="G1045" s="256" t="str">
        <f>IF(F1045="","",F1045*G1037)</f>
        <v/>
      </c>
      <c r="H1045" s="256" t="str">
        <f>IF(F1045="","",IF(H998="Days",F1045/F998*365.25,IF(H998="Months",F1045/F998*12,"")))</f>
        <v/>
      </c>
      <c r="I1045" s="256" t="str">
        <f>IF(F1045="","",IF(AND(H998="Days",I1038="Days"),F1045/F998*I1037,IF(AND(H998="Months",I1038="Months"),F1045/F998*I1037,IF(AND(H998="Days",I1038="Months"),F1045/F998*30.4375*I1037,IF(AND(H998="Months",I1038="Days"),F1045/F998/30.4375*I1037,"")))))</f>
        <v/>
      </c>
      <c r="O1045" s="21"/>
    </row>
    <row r="1046" spans="1:19" s="155" customFormat="1" x14ac:dyDescent="0.25">
      <c r="A1046" s="186" t="s">
        <v>158</v>
      </c>
      <c r="B1046" s="498" t="s">
        <v>159</v>
      </c>
      <c r="C1046" s="499"/>
      <c r="D1046" s="499"/>
      <c r="E1046" s="500"/>
      <c r="F1046" s="187">
        <f>SUM(F1041:F1044)</f>
        <v>0</v>
      </c>
      <c r="G1046" s="187">
        <f t="shared" ref="G1046:I1046" si="88">SUM(G1041:G1044)</f>
        <v>0</v>
      </c>
      <c r="H1046" s="187">
        <f t="shared" si="88"/>
        <v>0</v>
      </c>
      <c r="I1046" s="187">
        <f t="shared" si="88"/>
        <v>0</v>
      </c>
      <c r="K1046" s="98" t="s">
        <v>191</v>
      </c>
      <c r="O1046" s="189"/>
    </row>
    <row r="1047" spans="1:19" s="26" customFormat="1" ht="15.75" thickBot="1" x14ac:dyDescent="0.3">
      <c r="A1047" s="257" t="s">
        <v>160</v>
      </c>
      <c r="B1047" s="501" t="s">
        <v>161</v>
      </c>
      <c r="C1047" s="502"/>
      <c r="D1047" s="502"/>
      <c r="E1047" s="503"/>
      <c r="F1047" s="250">
        <f>IF(F1045="",SUM(F1041+F1042),F1041+F1042+F1045)</f>
        <v>0</v>
      </c>
      <c r="G1047" s="250">
        <f t="shared" ref="G1047" si="89">IF(G1045="",SUM(G1041+G1042),G1041+G1042+G1045)</f>
        <v>0</v>
      </c>
      <c r="H1047" s="250" t="e">
        <f>IF(H1045="",SUM(H1041+H1042),H1041+H1042+H1045)</f>
        <v>#VALUE!</v>
      </c>
      <c r="I1047" s="250" t="e">
        <f t="shared" ref="I1047" si="90">IF(I1045="",SUM(I1041+I1042),I1041+I1042+I1045)</f>
        <v>#VALUE!</v>
      </c>
      <c r="K1047" s="14" t="s">
        <v>192</v>
      </c>
      <c r="O1047" s="21"/>
    </row>
    <row r="1048" spans="1:19" s="26" customFormat="1" x14ac:dyDescent="0.25">
      <c r="B1048" s="229"/>
      <c r="C1048" s="66"/>
      <c r="D1048" s="66"/>
      <c r="E1048" s="66"/>
      <c r="O1048" s="21"/>
    </row>
    <row r="1049" spans="1:19" s="26" customFormat="1" x14ac:dyDescent="0.25"/>
    <row r="1050" spans="1:19" s="26" customFormat="1" x14ac:dyDescent="0.25">
      <c r="B1050" s="286" t="s">
        <v>101</v>
      </c>
      <c r="C1050" s="286"/>
      <c r="D1050" s="286"/>
      <c r="E1050" s="286"/>
    </row>
    <row r="1051" spans="1:19" s="26" customFormat="1" ht="15.75" customHeight="1" x14ac:dyDescent="0.25"/>
    <row r="1052" spans="1:19" s="26" customFormat="1" x14ac:dyDescent="0.25">
      <c r="B1052" s="234"/>
      <c r="C1052" s="234"/>
      <c r="D1052" s="234"/>
      <c r="E1052" s="234"/>
      <c r="F1052" s="234"/>
      <c r="G1052" s="234"/>
      <c r="H1052" s="234"/>
      <c r="I1052" s="234"/>
      <c r="J1052" s="234"/>
      <c r="K1052" s="234"/>
      <c r="L1052" s="234"/>
      <c r="M1052" s="234"/>
      <c r="N1052" s="234"/>
      <c r="O1052" s="234"/>
      <c r="P1052" s="234"/>
      <c r="Q1052" s="234"/>
      <c r="R1052" s="234"/>
      <c r="S1052" s="234"/>
    </row>
    <row r="1053" spans="1:19" s="26" customFormat="1" x14ac:dyDescent="0.25">
      <c r="B1053" s="234"/>
      <c r="C1053" s="234"/>
      <c r="D1053" s="234"/>
      <c r="E1053" s="234"/>
      <c r="F1053" s="234"/>
      <c r="G1053" s="234"/>
      <c r="H1053" s="234"/>
      <c r="I1053" s="234"/>
      <c r="J1053" s="234"/>
      <c r="K1053" s="234"/>
      <c r="L1053" s="234"/>
      <c r="M1053" s="234"/>
      <c r="N1053" s="234"/>
      <c r="O1053" s="234"/>
      <c r="P1053" s="234"/>
      <c r="Q1053" s="234"/>
      <c r="R1053" s="234"/>
      <c r="S1053" s="234"/>
    </row>
    <row r="1054" spans="1:19" s="26" customFormat="1" x14ac:dyDescent="0.25">
      <c r="B1054" s="234"/>
      <c r="C1054" s="234"/>
      <c r="D1054" s="234"/>
      <c r="E1054" s="234"/>
      <c r="F1054" s="234"/>
      <c r="G1054" s="234"/>
      <c r="H1054" s="234"/>
      <c r="I1054" s="234"/>
      <c r="J1054" s="234"/>
      <c r="K1054" s="234"/>
      <c r="L1054" s="234"/>
      <c r="M1054" s="234"/>
      <c r="N1054" s="234"/>
      <c r="O1054" s="234"/>
      <c r="P1054" s="234"/>
      <c r="Q1054" s="234"/>
      <c r="R1054" s="234"/>
      <c r="S1054" s="234"/>
    </row>
    <row r="1055" spans="1:19" s="26" customFormat="1" x14ac:dyDescent="0.25">
      <c r="B1055" s="234"/>
      <c r="C1055" s="234"/>
      <c r="D1055" s="234"/>
      <c r="E1055" s="234"/>
      <c r="F1055" s="234"/>
      <c r="G1055" s="234"/>
      <c r="H1055" s="234"/>
      <c r="I1055" s="234"/>
      <c r="J1055" s="234"/>
      <c r="K1055" s="234"/>
      <c r="L1055" s="234"/>
      <c r="M1055" s="234"/>
      <c r="N1055" s="234"/>
      <c r="O1055" s="234"/>
      <c r="P1055" s="234"/>
      <c r="Q1055" s="234"/>
      <c r="R1055" s="234"/>
      <c r="S1055" s="234"/>
    </row>
    <row r="1056" spans="1:19" s="26" customFormat="1" x14ac:dyDescent="0.25">
      <c r="B1056" s="234"/>
      <c r="C1056" s="234"/>
      <c r="D1056" s="234"/>
      <c r="E1056" s="234"/>
      <c r="F1056" s="234"/>
      <c r="G1056" s="234"/>
      <c r="H1056" s="234"/>
      <c r="I1056" s="234"/>
      <c r="J1056" s="234"/>
      <c r="K1056" s="234"/>
      <c r="L1056" s="234"/>
      <c r="M1056" s="234"/>
      <c r="N1056" s="234"/>
      <c r="O1056" s="234"/>
      <c r="P1056" s="234"/>
      <c r="Q1056" s="234"/>
      <c r="R1056" s="234"/>
      <c r="S1056" s="234"/>
    </row>
    <row r="1057" spans="2:22" s="26" customFormat="1" x14ac:dyDescent="0.25">
      <c r="B1057" s="234"/>
      <c r="C1057" s="234"/>
      <c r="D1057" s="234"/>
      <c r="E1057" s="234"/>
      <c r="F1057" s="234"/>
      <c r="G1057" s="234"/>
      <c r="H1057" s="234"/>
      <c r="I1057" s="234"/>
      <c r="J1057" s="234"/>
      <c r="K1057" s="234"/>
      <c r="L1057" s="234"/>
      <c r="M1057" s="234"/>
      <c r="N1057" s="234"/>
      <c r="O1057" s="234"/>
      <c r="P1057" s="234"/>
      <c r="Q1057" s="234"/>
      <c r="R1057" s="234"/>
      <c r="S1057" s="234"/>
    </row>
    <row r="1058" spans="2:22" s="26" customFormat="1" x14ac:dyDescent="0.25">
      <c r="B1058" s="234"/>
      <c r="C1058" s="234"/>
      <c r="D1058" s="234"/>
      <c r="E1058" s="234"/>
      <c r="F1058" s="234"/>
      <c r="G1058" s="234"/>
      <c r="H1058" s="234"/>
      <c r="I1058" s="234"/>
      <c r="J1058" s="234"/>
      <c r="K1058" s="234"/>
      <c r="L1058" s="234"/>
      <c r="M1058" s="234"/>
      <c r="N1058" s="234"/>
      <c r="O1058" s="234"/>
      <c r="P1058" s="234"/>
      <c r="Q1058" s="234"/>
      <c r="R1058" s="234"/>
      <c r="S1058" s="234"/>
    </row>
    <row r="1059" spans="2:22" s="26" customFormat="1" x14ac:dyDescent="0.25">
      <c r="B1059" s="234"/>
      <c r="C1059" s="234"/>
      <c r="D1059" s="234"/>
      <c r="E1059" s="234"/>
      <c r="F1059" s="234"/>
      <c r="G1059" s="234"/>
      <c r="H1059" s="234"/>
      <c r="I1059" s="234"/>
      <c r="J1059" s="234"/>
      <c r="K1059" s="234"/>
      <c r="L1059" s="234"/>
      <c r="M1059" s="234"/>
      <c r="N1059" s="234"/>
      <c r="O1059" s="234"/>
      <c r="P1059" s="234"/>
      <c r="Q1059" s="234"/>
      <c r="R1059" s="234"/>
      <c r="S1059" s="234"/>
    </row>
    <row r="1060" spans="2:22" s="26" customFormat="1" x14ac:dyDescent="0.25">
      <c r="B1060" s="234"/>
      <c r="C1060" s="234"/>
      <c r="D1060" s="234"/>
      <c r="E1060" s="234"/>
      <c r="F1060" s="234"/>
      <c r="G1060" s="234"/>
      <c r="H1060" s="234"/>
      <c r="I1060" s="234"/>
      <c r="J1060" s="234"/>
      <c r="K1060" s="234"/>
      <c r="L1060" s="234"/>
      <c r="M1060" s="234"/>
      <c r="N1060" s="234"/>
      <c r="O1060" s="234"/>
      <c r="P1060" s="234"/>
      <c r="Q1060" s="234"/>
      <c r="R1060" s="234"/>
      <c r="S1060" s="234"/>
    </row>
    <row r="1061" spans="2:22" s="26" customFormat="1" x14ac:dyDescent="0.25">
      <c r="B1061" s="234"/>
      <c r="C1061" s="234"/>
      <c r="D1061" s="234"/>
      <c r="E1061" s="234"/>
      <c r="F1061" s="234"/>
      <c r="G1061" s="234"/>
      <c r="H1061" s="234"/>
      <c r="I1061" s="234"/>
      <c r="J1061" s="234"/>
      <c r="K1061" s="234"/>
      <c r="L1061" s="234"/>
      <c r="M1061" s="234"/>
      <c r="N1061" s="234"/>
      <c r="O1061" s="234"/>
      <c r="P1061" s="234"/>
      <c r="Q1061" s="234"/>
      <c r="R1061" s="234"/>
      <c r="S1061" s="234"/>
    </row>
    <row r="1064" spans="2:22" ht="15.75" thickBot="1" x14ac:dyDescent="0.3"/>
    <row r="1065" spans="2:22" s="26" customFormat="1" ht="15.75" thickBot="1" x14ac:dyDescent="0.3">
      <c r="B1065" s="410" t="str">
        <f>CONCATENATE("Comparator 12: ",NameComparator12)</f>
        <v xml:space="preserve">Comparator 12: </v>
      </c>
      <c r="C1065" s="411"/>
      <c r="D1065" s="411"/>
      <c r="E1065" s="411"/>
      <c r="F1065" s="411"/>
      <c r="G1065" s="412"/>
    </row>
    <row r="1066" spans="2:22" s="26" customFormat="1" x14ac:dyDescent="0.25">
      <c r="B1066" s="227"/>
      <c r="C1066" s="227"/>
      <c r="D1066" s="227"/>
      <c r="F1066" s="278"/>
      <c r="G1066" s="278"/>
      <c r="H1066" s="278"/>
      <c r="I1066" s="278"/>
      <c r="J1066" s="278"/>
    </row>
    <row r="1067" spans="2:22" s="26" customFormat="1" x14ac:dyDescent="0.25"/>
    <row r="1068" spans="2:22" s="26" customFormat="1" ht="28.5" customHeight="1" thickBot="1" x14ac:dyDescent="0.3">
      <c r="B1068" s="334" t="s">
        <v>118</v>
      </c>
      <c r="C1068" s="334"/>
      <c r="D1068" s="334"/>
      <c r="E1068" s="334"/>
      <c r="K1068" s="408" t="s">
        <v>209</v>
      </c>
      <c r="L1068" s="408"/>
      <c r="M1068" s="408"/>
      <c r="N1068" s="408"/>
      <c r="O1068" s="408"/>
      <c r="P1068" s="225"/>
      <c r="Q1068" s="225"/>
      <c r="R1068" s="225"/>
      <c r="S1068" s="225"/>
      <c r="T1068" s="225"/>
      <c r="U1068" s="225"/>
      <c r="V1068" s="225"/>
    </row>
    <row r="1069" spans="2:22" s="26" customFormat="1" ht="18.95" customHeight="1" thickBot="1" x14ac:dyDescent="0.3">
      <c r="B1069" s="465" t="s">
        <v>119</v>
      </c>
      <c r="C1069" s="466"/>
      <c r="D1069" s="466"/>
      <c r="E1069" s="466"/>
      <c r="F1069" s="466"/>
      <c r="G1069" s="466"/>
      <c r="H1069" s="466"/>
      <c r="I1069" s="467"/>
      <c r="K1069" s="408"/>
      <c r="L1069" s="408"/>
      <c r="M1069" s="408"/>
      <c r="N1069" s="408"/>
      <c r="O1069" s="408"/>
      <c r="P1069" s="225"/>
      <c r="Q1069" s="225"/>
      <c r="R1069" s="225"/>
      <c r="S1069" s="225"/>
      <c r="T1069" s="225"/>
      <c r="U1069" s="225"/>
      <c r="V1069" s="225"/>
    </row>
    <row r="1070" spans="2:22" s="26" customFormat="1" ht="15.75" thickBot="1" x14ac:dyDescent="0.3">
      <c r="B1070" s="285"/>
      <c r="C1070" s="283"/>
      <c r="D1070" s="283"/>
      <c r="E1070" s="283"/>
      <c r="F1070" s="466" t="s">
        <v>120</v>
      </c>
      <c r="G1070" s="466"/>
      <c r="H1070" s="466"/>
      <c r="I1070" s="467"/>
      <c r="K1070" s="14"/>
    </row>
    <row r="1071" spans="2:22" s="26" customFormat="1" ht="15.75" thickBot="1" x14ac:dyDescent="0.3">
      <c r="B1071" s="472" t="s">
        <v>174</v>
      </c>
      <c r="C1071" s="473"/>
      <c r="D1071" s="473"/>
      <c r="E1071" s="474"/>
      <c r="F1071" s="149"/>
      <c r="G1071" s="149"/>
      <c r="H1071" s="149"/>
      <c r="I1071" s="149"/>
      <c r="K1071" s="14" t="s">
        <v>180</v>
      </c>
    </row>
    <row r="1072" spans="2:22" s="26" customFormat="1" ht="30" customHeight="1" thickBot="1" x14ac:dyDescent="0.3">
      <c r="B1072" s="472" t="s">
        <v>106</v>
      </c>
      <c r="C1072" s="473"/>
      <c r="D1072" s="473"/>
      <c r="E1072" s="474"/>
      <c r="F1072" s="235"/>
      <c r="G1072" s="235"/>
      <c r="H1072" s="235"/>
      <c r="I1072" s="235"/>
      <c r="J1072" s="26" t="s">
        <v>104</v>
      </c>
      <c r="K1072" s="408" t="s">
        <v>181</v>
      </c>
      <c r="L1072" s="408"/>
      <c r="M1072" s="408"/>
      <c r="N1072" s="408"/>
      <c r="O1072" s="408"/>
      <c r="P1072" s="21"/>
      <c r="Q1072" s="21"/>
      <c r="R1072" s="21"/>
      <c r="S1072" s="21"/>
      <c r="T1072" s="21"/>
    </row>
    <row r="1073" spans="1:22" s="26" customFormat="1" ht="15.75" thickBot="1" x14ac:dyDescent="0.3">
      <c r="A1073" s="14"/>
      <c r="B1073" s="472" t="s">
        <v>107</v>
      </c>
      <c r="C1073" s="473"/>
      <c r="D1073" s="473"/>
      <c r="E1073" s="474"/>
      <c r="F1073" s="151"/>
      <c r="G1073" s="151"/>
      <c r="H1073" s="151"/>
      <c r="I1073" s="151"/>
      <c r="J1073" s="236"/>
      <c r="K1073" s="110" t="s">
        <v>182</v>
      </c>
      <c r="N1073" s="21"/>
      <c r="O1073" s="21"/>
      <c r="P1073" s="21"/>
      <c r="Q1073" s="21"/>
      <c r="R1073" s="21"/>
      <c r="S1073" s="21"/>
      <c r="T1073" s="21"/>
    </row>
    <row r="1074" spans="1:22" s="26" customFormat="1" ht="15.75" thickBot="1" x14ac:dyDescent="0.3">
      <c r="A1074" s="15"/>
      <c r="B1074" s="472" t="s">
        <v>108</v>
      </c>
      <c r="C1074" s="473"/>
      <c r="D1074" s="473"/>
      <c r="E1074" s="474"/>
      <c r="F1074" s="489"/>
      <c r="G1074" s="490"/>
      <c r="H1074" s="490"/>
      <c r="I1074" s="491"/>
      <c r="J1074" s="237" t="s">
        <v>104</v>
      </c>
      <c r="K1074" s="110" t="s">
        <v>210</v>
      </c>
    </row>
    <row r="1075" spans="1:22" s="26" customFormat="1" ht="15.75" thickBot="1" x14ac:dyDescent="0.3">
      <c r="A1075" s="15"/>
      <c r="B1075" s="472" t="s">
        <v>74</v>
      </c>
      <c r="C1075" s="473"/>
      <c r="D1075" s="473"/>
      <c r="E1075" s="474"/>
      <c r="F1075" s="492"/>
      <c r="G1075" s="493"/>
      <c r="H1075" s="493"/>
      <c r="I1075" s="494"/>
      <c r="J1075" s="237" t="s">
        <v>104</v>
      </c>
      <c r="K1075" s="110" t="s">
        <v>184</v>
      </c>
    </row>
    <row r="1076" spans="1:22" s="26" customFormat="1" ht="15.75" thickBot="1" x14ac:dyDescent="0.3">
      <c r="B1076" s="472" t="s">
        <v>75</v>
      </c>
      <c r="C1076" s="473"/>
      <c r="D1076" s="473"/>
      <c r="E1076" s="474"/>
      <c r="F1076" s="492"/>
      <c r="G1076" s="493"/>
      <c r="H1076" s="493"/>
      <c r="I1076" s="494"/>
      <c r="J1076" s="26" t="s">
        <v>104</v>
      </c>
      <c r="K1076" s="110" t="s">
        <v>185</v>
      </c>
    </row>
    <row r="1077" spans="1:22" s="26" customFormat="1" ht="15.75" thickBot="1" x14ac:dyDescent="0.3">
      <c r="B1077" s="472" t="s">
        <v>76</v>
      </c>
      <c r="C1077" s="473"/>
      <c r="D1077" s="473"/>
      <c r="E1077" s="474"/>
      <c r="F1077" s="492"/>
      <c r="G1077" s="493"/>
      <c r="H1077" s="493"/>
      <c r="I1077" s="494"/>
      <c r="J1077" s="237" t="s">
        <v>104</v>
      </c>
      <c r="K1077" s="110" t="s">
        <v>219</v>
      </c>
    </row>
    <row r="1078" spans="1:22" s="26" customFormat="1" ht="15.75" thickBot="1" x14ac:dyDescent="0.3">
      <c r="B1078" s="472" t="s">
        <v>172</v>
      </c>
      <c r="C1078" s="473"/>
      <c r="D1078" s="473"/>
      <c r="E1078" s="474"/>
      <c r="F1078" s="492"/>
      <c r="G1078" s="493"/>
      <c r="H1078" s="493"/>
      <c r="I1078" s="494"/>
      <c r="J1078" s="237" t="s">
        <v>104</v>
      </c>
      <c r="K1078" s="110" t="s">
        <v>217</v>
      </c>
    </row>
    <row r="1079" spans="1:22" s="26" customFormat="1" ht="15.75" thickBot="1" x14ac:dyDescent="0.3">
      <c r="B1079" s="472" t="s">
        <v>173</v>
      </c>
      <c r="C1079" s="473"/>
      <c r="D1079" s="473"/>
      <c r="E1079" s="474"/>
      <c r="F1079" s="492"/>
      <c r="G1079" s="493"/>
      <c r="H1079" s="493"/>
      <c r="I1079" s="494"/>
      <c r="J1079" s="237" t="s">
        <v>104</v>
      </c>
      <c r="K1079" s="110" t="s">
        <v>218</v>
      </c>
    </row>
    <row r="1080" spans="1:22" s="26" customFormat="1" ht="30" customHeight="1" x14ac:dyDescent="0.25">
      <c r="B1080" s="112"/>
      <c r="C1080" s="112"/>
      <c r="D1080" s="112"/>
      <c r="E1080" s="278"/>
      <c r="F1080" s="278"/>
      <c r="G1080" s="238"/>
      <c r="H1080" s="278"/>
      <c r="I1080" s="278"/>
      <c r="J1080" s="239"/>
      <c r="K1080" s="110"/>
    </row>
    <row r="1081" spans="1:22" s="26" customFormat="1" ht="15.75" thickBot="1" x14ac:dyDescent="0.3">
      <c r="B1081" s="334" t="s">
        <v>171</v>
      </c>
      <c r="C1081" s="334"/>
      <c r="D1081" s="334"/>
      <c r="E1081" s="334"/>
      <c r="F1081" s="278"/>
      <c r="G1081" s="278"/>
      <c r="H1081" s="278"/>
      <c r="I1081" s="278"/>
      <c r="J1081" s="239"/>
      <c r="K1081" s="404" t="s">
        <v>195</v>
      </c>
      <c r="L1081" s="404"/>
      <c r="M1081" s="404"/>
      <c r="N1081" s="404"/>
      <c r="O1081" s="404"/>
      <c r="P1081" s="274"/>
      <c r="Q1081" s="274"/>
      <c r="R1081" s="274"/>
      <c r="S1081" s="274"/>
      <c r="T1081" s="274"/>
      <c r="U1081" s="274"/>
      <c r="V1081" s="274"/>
    </row>
    <row r="1082" spans="1:22" s="26" customFormat="1" ht="29.1" customHeight="1" thickBot="1" x14ac:dyDescent="0.3">
      <c r="B1082" s="465" t="s">
        <v>121</v>
      </c>
      <c r="C1082" s="466"/>
      <c r="D1082" s="466"/>
      <c r="E1082" s="466"/>
      <c r="F1082" s="466"/>
      <c r="G1082" s="466"/>
      <c r="H1082" s="466"/>
      <c r="I1082" s="467"/>
      <c r="J1082" s="239"/>
      <c r="K1082" s="404"/>
      <c r="L1082" s="404"/>
      <c r="M1082" s="404"/>
      <c r="N1082" s="404"/>
      <c r="O1082" s="404"/>
      <c r="P1082" s="274"/>
      <c r="Q1082" s="274"/>
      <c r="R1082" s="274"/>
      <c r="S1082" s="274"/>
      <c r="T1082" s="274"/>
      <c r="U1082" s="274"/>
      <c r="V1082" s="274"/>
    </row>
    <row r="1083" spans="1:22" s="26" customFormat="1" ht="30" customHeight="1" thickBot="1" x14ac:dyDescent="0.3">
      <c r="B1083" s="472" t="s">
        <v>122</v>
      </c>
      <c r="C1083" s="473"/>
      <c r="D1083" s="473"/>
      <c r="E1083" s="474"/>
      <c r="F1083" s="468"/>
      <c r="G1083" s="469"/>
      <c r="H1083" s="470"/>
      <c r="I1083" s="471"/>
      <c r="J1083" s="239"/>
      <c r="K1083" s="408" t="s">
        <v>186</v>
      </c>
      <c r="L1083" s="408"/>
      <c r="M1083" s="408"/>
      <c r="N1083" s="408"/>
      <c r="O1083" s="408"/>
    </row>
    <row r="1084" spans="1:22" s="26" customFormat="1" ht="23.1" customHeight="1" thickBot="1" x14ac:dyDescent="0.3">
      <c r="B1084" s="472" t="str">
        <f>B1071</f>
        <v>Pack Identification</v>
      </c>
      <c r="C1084" s="473"/>
      <c r="D1084" s="473"/>
      <c r="E1084" s="474"/>
      <c r="F1084" s="192" t="str">
        <f>IF(ISBLANK(F1071),"",F1071)</f>
        <v/>
      </c>
      <c r="G1084" s="192" t="str">
        <f t="shared" ref="G1084:I1084" si="91">IF(ISBLANK(G1071),"",G1071)</f>
        <v/>
      </c>
      <c r="H1084" s="192" t="str">
        <f t="shared" si="91"/>
        <v/>
      </c>
      <c r="I1084" s="192" t="str">
        <f t="shared" si="91"/>
        <v/>
      </c>
      <c r="J1084" s="239"/>
      <c r="K1084" s="408"/>
      <c r="L1084" s="408"/>
      <c r="M1084" s="408"/>
      <c r="N1084" s="408"/>
      <c r="O1084" s="408"/>
    </row>
    <row r="1085" spans="1:22" s="26" customFormat="1" ht="15.75" thickBot="1" x14ac:dyDescent="0.3">
      <c r="B1085" s="512" t="s">
        <v>123</v>
      </c>
      <c r="C1085" s="513"/>
      <c r="D1085" s="513"/>
      <c r="E1085" s="514"/>
      <c r="F1085" s="145"/>
      <c r="G1085" s="154"/>
      <c r="H1085" s="154"/>
      <c r="I1085" s="154"/>
      <c r="J1085" s="239"/>
      <c r="K1085" s="408" t="s">
        <v>187</v>
      </c>
      <c r="L1085" s="408"/>
      <c r="M1085" s="408"/>
      <c r="N1085" s="408"/>
      <c r="O1085" s="408"/>
    </row>
    <row r="1086" spans="1:22" s="26" customFormat="1" ht="75.75" customHeight="1" x14ac:dyDescent="0.25">
      <c r="B1086" s="284"/>
      <c r="C1086" s="284"/>
      <c r="D1086" s="284"/>
      <c r="E1086" s="284"/>
      <c r="F1086" s="278"/>
      <c r="G1086" s="278"/>
      <c r="H1086" s="278"/>
      <c r="I1086" s="278"/>
      <c r="J1086" s="239"/>
      <c r="K1086" s="408"/>
      <c r="L1086" s="408"/>
      <c r="M1086" s="408"/>
      <c r="N1086" s="408"/>
      <c r="O1086" s="408"/>
    </row>
    <row r="1087" spans="1:22" s="26" customFormat="1" x14ac:dyDescent="0.25">
      <c r="B1087" s="511"/>
      <c r="C1087" s="511"/>
      <c r="D1087" s="511"/>
      <c r="E1087" s="511"/>
      <c r="K1087" s="408"/>
      <c r="L1087" s="408"/>
      <c r="M1087" s="408"/>
      <c r="N1087" s="408"/>
      <c r="O1087" s="408"/>
    </row>
    <row r="1088" spans="1:22" s="26" customFormat="1" x14ac:dyDescent="0.25">
      <c r="B1088" s="278"/>
      <c r="C1088" s="278"/>
      <c r="D1088" s="278"/>
      <c r="E1088" s="278"/>
      <c r="O1088" s="21"/>
    </row>
    <row r="1089" spans="1:15" s="26" customFormat="1" x14ac:dyDescent="0.25">
      <c r="A1089" s="155"/>
      <c r="B1089" s="286" t="s">
        <v>124</v>
      </c>
      <c r="C1089" s="273"/>
      <c r="D1089" s="66"/>
      <c r="E1089" s="66"/>
      <c r="F1089" s="390"/>
      <c r="G1089" s="390"/>
      <c r="H1089" s="390"/>
      <c r="I1089" s="390"/>
      <c r="O1089" s="21"/>
    </row>
    <row r="1090" spans="1:15" s="26" customFormat="1" x14ac:dyDescent="0.25">
      <c r="A1090" s="14" t="s">
        <v>125</v>
      </c>
      <c r="B1090" s="273"/>
      <c r="C1090" s="273"/>
      <c r="D1090" s="66"/>
      <c r="E1090" s="66"/>
      <c r="F1090" s="273"/>
      <c r="G1090" s="273"/>
      <c r="H1090" s="273"/>
      <c r="I1090" s="273"/>
      <c r="O1090" s="21"/>
    </row>
    <row r="1091" spans="1:15" s="26" customFormat="1" ht="15.75" thickBot="1" x14ac:dyDescent="0.3">
      <c r="B1091" s="66"/>
      <c r="C1091" s="66"/>
      <c r="D1091" s="66"/>
      <c r="E1091" s="66"/>
      <c r="F1091" s="390" t="s">
        <v>126</v>
      </c>
      <c r="G1091" s="390"/>
      <c r="H1091" s="390"/>
      <c r="I1091" s="390"/>
      <c r="O1091" s="21"/>
    </row>
    <row r="1092" spans="1:15" s="26" customFormat="1" ht="15.75" thickBot="1" x14ac:dyDescent="0.3">
      <c r="B1092" s="66"/>
      <c r="C1092" s="66"/>
      <c r="D1092" s="66"/>
      <c r="E1092" s="66"/>
      <c r="F1092" s="156" t="str">
        <f>IF(F1071="","",F1071)</f>
        <v/>
      </c>
      <c r="G1092" s="156" t="str">
        <f>IF(G1071="","",G1071)</f>
        <v/>
      </c>
      <c r="H1092" s="156" t="str">
        <f>IF(H1071="","",H1071)</f>
        <v/>
      </c>
      <c r="I1092" s="156" t="str">
        <f>IF(I1071="","",I1071)</f>
        <v/>
      </c>
      <c r="O1092" s="21"/>
    </row>
    <row r="1093" spans="1:15" s="26" customFormat="1" x14ac:dyDescent="0.25">
      <c r="A1093" s="91" t="s">
        <v>77</v>
      </c>
      <c r="B1093" s="475" t="s">
        <v>82</v>
      </c>
      <c r="C1093" s="476"/>
      <c r="D1093" s="476"/>
      <c r="E1093" s="240"/>
      <c r="F1093" s="241" t="str">
        <f>IF(OR(F1072="",F1073="",F1074=""),"",IF(F1072="Price to Wholesaler",F1073,IF(F1072="Reimbursement Price",(F1095/(1+E1094)*1),"Error")))</f>
        <v/>
      </c>
      <c r="G1093" s="241" t="str">
        <f>IF(OR(G1072="",G1073="",F1074=""),"",IF(G1072="Price to Wholesaler",G1073,IF(G1072="Reimbursement Price",(G1095/(1+E1094)*1),"Error")))</f>
        <v/>
      </c>
      <c r="H1093" s="241" t="str">
        <f>IF(OR(H1072="",H1073="",F1074=""),"",IF(H1072="Price to Wholesaler",H1073,IF(H1072="Reimbursement Price",(H1095/(1+E1094)*1),"Error")))</f>
        <v/>
      </c>
      <c r="I1093" s="241" t="str">
        <f>IF(OR(I1072="",I1073="",F1074=""),"",IF(I1072="Price to Wholesaler",I1073,IF(I1072="Reimbursement Price",(I1095/(1+E1094)*1),"Error")))</f>
        <v/>
      </c>
      <c r="O1093" s="21"/>
    </row>
    <row r="1094" spans="1:15" s="26" customFormat="1" x14ac:dyDescent="0.25">
      <c r="A1094" s="282" t="s">
        <v>78</v>
      </c>
      <c r="B1094" s="477" t="s">
        <v>83</v>
      </c>
      <c r="C1094" s="478"/>
      <c r="D1094" s="478"/>
      <c r="E1094" s="93" t="str">
        <f>IF(OR(F1074=""),"",IF(AND(F1074="CDS",F1075="Yes"),CYF,IF(AND(F1074="CDS",F1075="No"),CNF,IF(F1074="HT",CHT,IF(F1074="Hosp",CHO,"Error")))))</f>
        <v/>
      </c>
      <c r="F1094" s="242" t="str">
        <f>IF(OR(F1074="",F1073="",F1072=""),"",F1093*E1094)</f>
        <v/>
      </c>
      <c r="G1094" s="242" t="str">
        <f>IF(OR(F1074="",G1073="",G1072=""),"",G1093*E1094)</f>
        <v/>
      </c>
      <c r="H1094" s="242" t="str">
        <f>IF(OR(F1074="",H1073="",H1072=""),"",H1093*E1094)</f>
        <v/>
      </c>
      <c r="I1094" s="242" t="str">
        <f>IF(OR(F1074="",I1073="",I1072=""),"",I1093*E1094)</f>
        <v/>
      </c>
      <c r="O1094" s="21"/>
    </row>
    <row r="1095" spans="1:15" s="26" customFormat="1" x14ac:dyDescent="0.25">
      <c r="A1095" s="282" t="s">
        <v>79</v>
      </c>
      <c r="B1095" s="477" t="str">
        <f>IF(F1074="Hosp","Hospital Price", "Reimbursement Price")</f>
        <v>Reimbursement Price</v>
      </c>
      <c r="C1095" s="478"/>
      <c r="D1095" s="478"/>
      <c r="E1095" s="243" t="str">
        <f>IF(F1072="Price to Wholesaler","A+B","")</f>
        <v/>
      </c>
      <c r="F1095" s="242" t="str">
        <f>IF(F1072="Reimbursement Price",F1073,IF(ISBLANK(E1094),"",IF(F1072="Price to Wholesaler",(F1093+F1094),IF(F1072="","","Error"))))</f>
        <v/>
      </c>
      <c r="G1095" s="242" t="str">
        <f>IF(G1072="Reimbursement Price",G1073,IF(ISBLANK(E1094),"",IF(G1072="Price to Wholesaler",(G1093+G1094),IF(G1072="","","Error"))))</f>
        <v/>
      </c>
      <c r="H1095" s="242" t="str">
        <f>IF(H1072="Reimbursement Price",H1073,IF(ISBLANK(E1094),"",IF(H1072="Price to Wholesaler",(H1093+H1094),IF(H1072="","","Error"))))</f>
        <v/>
      </c>
      <c r="I1095" s="242" t="str">
        <f>IF(I1072="Reimbursement Price",I1073,IF(ISBLANK(E1094),"",IF(I1072="Price to Wholesaler",(I1093+I1094),IF(I1072="","","Error"))))</f>
        <v/>
      </c>
      <c r="O1095" s="21"/>
    </row>
    <row r="1096" spans="1:15" s="26" customFormat="1" x14ac:dyDescent="0.25">
      <c r="A1096" s="282" t="s">
        <v>80</v>
      </c>
      <c r="B1096" s="477" t="s">
        <v>214</v>
      </c>
      <c r="C1096" s="478"/>
      <c r="D1096" s="478"/>
      <c r="E1096" s="268" t="str">
        <f>IF(OR(F1077="",AND(F1077="Yes",F1078=""),AND(F1077="No",F1079="")),"",IF(AND(F1077="No",F1079="Patented Exclusive or Off Patent Exclusive and subject to clause 10 of Framework Agreement"),MR,IF(AND(F1077="No",F1079="Off Patent Non-Exclusive or Generic"),"None",IF(AND(F1077="Yes",F1078="Biosimilar"),"None",IF(AND(F1077="Yes",F1078="Patented or Off Patent Exclusive"),MR,IF(AND(F1077="Yes",F1078="Off Patent Non-Exclusive 12.5% Rebate incorporated into Price to Wholesaler"),"None",IF(AND(F1077="Yes",F1078="Off Patent Non-Exclusive 12.5% Rebate"),MRB,"Error")))))))</f>
        <v/>
      </c>
      <c r="F1096" s="242" t="str">
        <f>IF(OR(F1077="",AND(F1077="Yes",F1078=""),AND(F1077="No",F1079=""),F1072="",ISBLANK(F1073)),"",IF(E1096="None",0,(E1096*F1093)))</f>
        <v/>
      </c>
      <c r="G1096" s="242" t="str">
        <f>IF(OR(F1077="",AND(F1077="Yes",F1078=""),AND(F1077="No",F1079=""),G1072="",ISBLANK(G1073)),"",IF(E1096="None",0,(E1096*G1093)))</f>
        <v/>
      </c>
      <c r="H1096" s="242" t="str">
        <f>IF(OR(F1077="",AND(F1077="Yes",F1078=""),AND(F1077="No",F1079=""),H1072="",ISBLANK(H1073)),"",IF(E1096="None",0,(E1096*H1093)))</f>
        <v/>
      </c>
      <c r="I1096" s="242" t="str">
        <f>IF(OR(F1077="",AND(F1077="Yes",F1078=""),AND(F1077="No",F1079=""),I1072="",ISBLANK(I1073)),"",IF(E1096="None",0,(E1096*I1093)))</f>
        <v/>
      </c>
      <c r="O1096" s="21"/>
    </row>
    <row r="1097" spans="1:15" s="26" customFormat="1" ht="15.75" thickBot="1" x14ac:dyDescent="0.3">
      <c r="A1097" s="280" t="s">
        <v>81</v>
      </c>
      <c r="B1097" s="479" t="s">
        <v>94</v>
      </c>
      <c r="C1097" s="480"/>
      <c r="D1097" s="480"/>
      <c r="E1097" s="160" t="str">
        <f>IF(F1076="","",IF(F1076="Yes",0,VT))</f>
        <v/>
      </c>
      <c r="F1097" s="244" t="str">
        <f>IF(OR($B1076="",F1073="",ISBLANK(F1073)),"",($E1097*F1095))</f>
        <v/>
      </c>
      <c r="G1097" s="244" t="str">
        <f t="shared" ref="G1097:I1097" si="92">IF(OR($B1076="",G1073="",ISBLANK(G1073)),"",($E1097*G1095))</f>
        <v/>
      </c>
      <c r="H1097" s="244" t="str">
        <f t="shared" si="92"/>
        <v/>
      </c>
      <c r="I1097" s="244" t="str">
        <f t="shared" si="92"/>
        <v/>
      </c>
      <c r="O1097" s="21"/>
    </row>
    <row r="1098" spans="1:15" s="26" customFormat="1" ht="15.75" thickBot="1" x14ac:dyDescent="0.3">
      <c r="A1098" s="279" t="s">
        <v>127</v>
      </c>
      <c r="B1098" s="481" t="s">
        <v>128</v>
      </c>
      <c r="C1098" s="481"/>
      <c r="D1098" s="481"/>
      <c r="E1098" s="279"/>
      <c r="F1098" s="245" t="str">
        <f>IF(OR(F1072="",$F1074="",$F1076="",$F1077=""),"",SUM(F1095:F1097))</f>
        <v/>
      </c>
      <c r="G1098" s="245" t="str">
        <f t="shared" ref="G1098:I1098" si="93">IF(OR(G1072="",$F1074="",$F1076="",$F1077=""),"",SUM(G1095:G1097))</f>
        <v/>
      </c>
      <c r="H1098" s="245" t="str">
        <f t="shared" si="93"/>
        <v/>
      </c>
      <c r="I1098" s="245" t="str">
        <f t="shared" si="93"/>
        <v/>
      </c>
      <c r="O1098" s="21"/>
    </row>
    <row r="1099" spans="1:15" s="26" customFormat="1" ht="15.75" thickBot="1" x14ac:dyDescent="0.3">
      <c r="A1099" s="279" t="s">
        <v>129</v>
      </c>
      <c r="B1099" s="482" t="s">
        <v>130</v>
      </c>
      <c r="C1099" s="482"/>
      <c r="D1099" s="482"/>
      <c r="E1099" s="245"/>
      <c r="F1099" s="245" t="str">
        <f>IF(OR(F1072="",$F1074="",$F1076="",$F1077=""),"",SUM(F1095:F1096))</f>
        <v/>
      </c>
      <c r="G1099" s="245" t="str">
        <f t="shared" ref="G1099:I1099" si="94">IF(OR(G1072="",$F1074="",$F1076="",$F1077=""),"",SUM(G1095:G1096))</f>
        <v/>
      </c>
      <c r="H1099" s="245" t="str">
        <f t="shared" si="94"/>
        <v/>
      </c>
      <c r="I1099" s="245" t="str">
        <f t="shared" si="94"/>
        <v/>
      </c>
      <c r="O1099" s="21"/>
    </row>
    <row r="1100" spans="1:15" s="26" customFormat="1" x14ac:dyDescent="0.25">
      <c r="B1100" s="66"/>
      <c r="C1100" s="66"/>
      <c r="D1100" s="66"/>
      <c r="E1100" s="66"/>
      <c r="K1100" s="26" t="s">
        <v>131</v>
      </c>
      <c r="O1100" s="21"/>
    </row>
    <row r="1101" spans="1:15" s="26" customFormat="1" x14ac:dyDescent="0.25">
      <c r="A1101" s="155" t="s">
        <v>132</v>
      </c>
      <c r="B1101" s="66"/>
      <c r="C1101" s="66"/>
      <c r="D1101" s="66"/>
      <c r="E1101" s="66"/>
      <c r="F1101" s="246"/>
      <c r="G1101" s="246"/>
      <c r="H1101" s="246"/>
      <c r="I1101" s="246"/>
      <c r="O1101" s="21"/>
    </row>
    <row r="1102" spans="1:15" s="26" customFormat="1" x14ac:dyDescent="0.25">
      <c r="A1102" s="125"/>
      <c r="B1102" s="125" t="s">
        <v>133</v>
      </c>
      <c r="C1102" s="125"/>
      <c r="D1102" s="125"/>
      <c r="E1102" s="125"/>
      <c r="F1102" s="125"/>
      <c r="G1102" s="125"/>
      <c r="H1102" s="125"/>
      <c r="O1102" s="21"/>
    </row>
    <row r="1103" spans="1:15" s="26" customFormat="1" x14ac:dyDescent="0.25">
      <c r="B1103" s="21" t="s">
        <v>134</v>
      </c>
      <c r="C1103" s="229"/>
      <c r="D1103" s="229"/>
      <c r="E1103" s="66"/>
      <c r="O1103" s="21"/>
    </row>
    <row r="1104" spans="1:15" s="26" customFormat="1" ht="15.75" thickBot="1" x14ac:dyDescent="0.3">
      <c r="B1104" s="165"/>
      <c r="C1104" s="229"/>
      <c r="D1104" s="229"/>
      <c r="E1104" s="66"/>
      <c r="O1104" s="21"/>
    </row>
    <row r="1105" spans="1:20" s="26" customFormat="1" ht="15.75" thickBot="1" x14ac:dyDescent="0.3">
      <c r="B1105" s="230"/>
      <c r="C1105" s="66"/>
      <c r="D1105" s="66"/>
      <c r="E1105" s="66"/>
      <c r="G1105" s="13" t="s">
        <v>135</v>
      </c>
      <c r="H1105" s="13" t="s">
        <v>136</v>
      </c>
      <c r="O1105" s="21"/>
    </row>
    <row r="1106" spans="1:20" s="26" customFormat="1" x14ac:dyDescent="0.25">
      <c r="B1106" s="483" t="s">
        <v>137</v>
      </c>
      <c r="C1106" s="484"/>
      <c r="D1106" s="484"/>
      <c r="E1106" s="484"/>
      <c r="F1106" s="485"/>
      <c r="G1106" s="247" t="str">
        <f>IF(F1074="","",IF(F1074="CDS","per dispensing",IF(F1074="HT","per month",IF(F1074="Hosp","No Fee", ERROR))))</f>
        <v/>
      </c>
      <c r="H1106" s="248" t="str">
        <f>IF(F1074="","",IF(F1074="CDS",DF,IF(F1074="HT",PC,IF(F1074="Hosp","No Fee",ERROR))))</f>
        <v/>
      </c>
      <c r="I1106" s="26" t="s">
        <v>138</v>
      </c>
      <c r="O1106" s="21"/>
    </row>
    <row r="1107" spans="1:20" s="26" customFormat="1" ht="15.75" thickBot="1" x14ac:dyDescent="0.3">
      <c r="B1107" s="486" t="s">
        <v>92</v>
      </c>
      <c r="C1107" s="487"/>
      <c r="D1107" s="487"/>
      <c r="E1107" s="487"/>
      <c r="F1107" s="488"/>
      <c r="G1107" s="249" t="str">
        <f>IF(OR(F1074="",F1076=""),"",IF(F1074="Hosp","No Fee",IF(F1074="HT","No VAT",IF(AND(F1074="CDS",F1076="No"),VT,"No VAT"))))</f>
        <v/>
      </c>
      <c r="H1107" s="250" t="str">
        <f>IF(OR(F1076="",F1074="Hosp"),"",IF(OR(F1076="Yes",F1074="HT"),0,H1106*G1107))</f>
        <v/>
      </c>
      <c r="O1107" s="21"/>
    </row>
    <row r="1108" spans="1:20" s="26" customFormat="1" x14ac:dyDescent="0.25">
      <c r="B1108" s="230"/>
      <c r="C1108" s="66"/>
      <c r="D1108" s="66"/>
      <c r="E1108" s="66"/>
      <c r="O1108" s="21"/>
    </row>
    <row r="1109" spans="1:20" s="26" customFormat="1" x14ac:dyDescent="0.25">
      <c r="B1109" s="230"/>
      <c r="C1109" s="66"/>
      <c r="D1109" s="66"/>
      <c r="E1109" s="66"/>
      <c r="O1109" s="21"/>
    </row>
    <row r="1110" spans="1:20" s="26" customFormat="1" ht="33.950000000000003" customHeight="1" thickBot="1" x14ac:dyDescent="0.3">
      <c r="A1110" s="165" t="s">
        <v>193</v>
      </c>
      <c r="B1110" s="230"/>
      <c r="C1110" s="66"/>
      <c r="D1110" s="66"/>
      <c r="E1110" s="66"/>
      <c r="K1110" s="408" t="s">
        <v>197</v>
      </c>
      <c r="L1110" s="408"/>
      <c r="M1110" s="408"/>
      <c r="N1110" s="408"/>
      <c r="O1110" s="408"/>
      <c r="P1110" s="195"/>
      <c r="Q1110" s="195"/>
      <c r="R1110" s="195"/>
      <c r="S1110" s="195"/>
      <c r="T1110" s="195"/>
    </row>
    <row r="1111" spans="1:20" s="26" customFormat="1" ht="17.100000000000001" customHeight="1" thickBot="1" x14ac:dyDescent="0.3">
      <c r="A1111" s="14" t="s">
        <v>194</v>
      </c>
      <c r="B1111" s="230"/>
      <c r="C1111" s="66"/>
      <c r="D1111" s="66"/>
      <c r="E1111" s="66"/>
      <c r="G1111" s="13" t="s">
        <v>101</v>
      </c>
      <c r="H1111" s="13" t="s">
        <v>136</v>
      </c>
      <c r="K1111" s="408" t="str">
        <f>IF(F1074="HT","For High tech, if a treatment cycle =28 days the corresponding pharmacy fee is =62.03*12/365.25*28.  The pharmacy fee remains the same regardless of the number of products dispensed that month.",IF(F1074="CDS","For CDS, if 2 packets of the same pack presentation are required per treatment cycle, one dispensing fee applies (€5.48). If multiple pack presentations are required, multiple dispensing fees apply",""))</f>
        <v/>
      </c>
      <c r="L1111" s="408"/>
      <c r="M1111" s="408"/>
      <c r="N1111" s="408"/>
      <c r="O1111" s="408"/>
      <c r="P1111" s="195"/>
      <c r="Q1111" s="195"/>
      <c r="R1111" s="195"/>
      <c r="S1111" s="195"/>
      <c r="T1111" s="195"/>
    </row>
    <row r="1112" spans="1:20" s="26" customFormat="1" ht="16.5" customHeight="1" x14ac:dyDescent="0.25">
      <c r="A1112" s="170" t="s">
        <v>139</v>
      </c>
      <c r="B1112" s="504" t="s">
        <v>140</v>
      </c>
      <c r="C1112" s="504"/>
      <c r="D1112" s="504"/>
      <c r="E1112" s="504"/>
      <c r="F1112" s="504"/>
      <c r="G1112" s="251"/>
      <c r="H1112" s="252"/>
      <c r="K1112" s="408"/>
      <c r="L1112" s="408"/>
      <c r="M1112" s="408"/>
      <c r="N1112" s="408"/>
      <c r="O1112" s="408"/>
      <c r="P1112" s="195"/>
      <c r="Q1112" s="195"/>
      <c r="R1112" s="195"/>
      <c r="S1112" s="195"/>
      <c r="T1112" s="195"/>
    </row>
    <row r="1113" spans="1:20" s="26" customFormat="1" x14ac:dyDescent="0.25">
      <c r="A1113" s="173" t="s">
        <v>141</v>
      </c>
      <c r="B1113" s="505" t="s">
        <v>142</v>
      </c>
      <c r="C1113" s="505"/>
      <c r="D1113" s="505"/>
      <c r="E1113" s="505"/>
      <c r="F1113" s="505"/>
      <c r="G1113" s="253"/>
      <c r="H1113" s="254"/>
      <c r="K1113" s="14" t="s">
        <v>188</v>
      </c>
      <c r="O1113" s="21"/>
    </row>
    <row r="1114" spans="1:20" s="26" customFormat="1" x14ac:dyDescent="0.25">
      <c r="A1114" s="173" t="s">
        <v>143</v>
      </c>
      <c r="B1114" s="505" t="s">
        <v>144</v>
      </c>
      <c r="C1114" s="505"/>
      <c r="D1114" s="505"/>
      <c r="E1114" s="505"/>
      <c r="F1114" s="505"/>
      <c r="G1114" s="253"/>
      <c r="H1114" s="254"/>
      <c r="K1114" s="14" t="s">
        <v>189</v>
      </c>
      <c r="O1114" s="21"/>
    </row>
    <row r="1115" spans="1:20" s="26" customFormat="1" x14ac:dyDescent="0.25">
      <c r="A1115" s="173" t="s">
        <v>145</v>
      </c>
      <c r="B1115" s="505" t="s">
        <v>146</v>
      </c>
      <c r="C1115" s="505"/>
      <c r="D1115" s="505"/>
      <c r="E1115" s="505"/>
      <c r="F1115" s="505"/>
      <c r="G1115" s="255"/>
      <c r="H1115" s="256" t="str">
        <f>IF(ISBLANK(H1112),"",SUM(H1112:H1114))</f>
        <v/>
      </c>
      <c r="O1115" s="21"/>
    </row>
    <row r="1116" spans="1:20" s="26" customFormat="1" ht="15.75" thickBot="1" x14ac:dyDescent="0.3">
      <c r="A1116" s="178" t="s">
        <v>147</v>
      </c>
      <c r="B1116" s="515" t="s">
        <v>196</v>
      </c>
      <c r="C1116" s="515"/>
      <c r="D1116" s="515"/>
      <c r="E1116" s="515"/>
      <c r="F1116" s="515"/>
      <c r="G1116" s="257"/>
      <c r="H1116" s="250" t="str">
        <f>IF(ISBLANK(H1112),"",SUM(H1112:H1113))</f>
        <v/>
      </c>
      <c r="O1116" s="21"/>
    </row>
    <row r="1117" spans="1:20" s="26" customFormat="1" x14ac:dyDescent="0.25">
      <c r="B1117" s="66"/>
      <c r="C1117" s="66"/>
      <c r="D1117" s="66"/>
      <c r="E1117" s="66"/>
      <c r="O1117" s="21"/>
    </row>
    <row r="1118" spans="1:20" s="26" customFormat="1" x14ac:dyDescent="0.25">
      <c r="B1118" s="66"/>
      <c r="C1118" s="66"/>
      <c r="D1118" s="66"/>
      <c r="E1118" s="66"/>
      <c r="O1118" s="21"/>
    </row>
    <row r="1119" spans="1:20" s="26" customFormat="1" x14ac:dyDescent="0.25">
      <c r="A1119" s="155" t="s">
        <v>148</v>
      </c>
      <c r="B1119" s="66"/>
      <c r="C1119" s="66"/>
      <c r="D1119" s="66"/>
      <c r="E1119" s="66"/>
      <c r="O1119" s="21"/>
    </row>
    <row r="1120" spans="1:20" s="26" customFormat="1" ht="15.75" thickBot="1" x14ac:dyDescent="0.3">
      <c r="B1120" s="66"/>
      <c r="C1120" s="66"/>
      <c r="D1120" s="66"/>
      <c r="E1120" s="66"/>
      <c r="O1120" s="21"/>
    </row>
    <row r="1121" spans="1:15" s="26" customFormat="1" ht="29.1" customHeight="1" x14ac:dyDescent="0.25">
      <c r="A1121" s="65"/>
      <c r="B1121" s="278"/>
      <c r="C1121" s="278"/>
      <c r="D1121" s="278"/>
      <c r="E1121" s="278"/>
      <c r="F1121" s="506" t="s">
        <v>149</v>
      </c>
      <c r="G1121" s="180" t="s">
        <v>150</v>
      </c>
      <c r="H1121" s="508" t="s">
        <v>151</v>
      </c>
      <c r="I1121" s="180" t="s">
        <v>152</v>
      </c>
      <c r="J1121" s="66"/>
      <c r="K1121" s="408" t="s">
        <v>269</v>
      </c>
      <c r="L1121" s="408"/>
      <c r="M1121" s="408"/>
      <c r="N1121" s="408"/>
      <c r="O1121" s="408"/>
    </row>
    <row r="1122" spans="1:15" s="26" customFormat="1" x14ac:dyDescent="0.25">
      <c r="A1122" s="65"/>
      <c r="B1122" s="278"/>
      <c r="C1122" s="278"/>
      <c r="D1122" s="278"/>
      <c r="E1122" s="278"/>
      <c r="F1122" s="507"/>
      <c r="G1122" s="253"/>
      <c r="H1122" s="509"/>
      <c r="I1122" s="182"/>
      <c r="J1122" s="66"/>
      <c r="K1122" s="408"/>
      <c r="L1122" s="408"/>
      <c r="M1122" s="408"/>
      <c r="N1122" s="408"/>
      <c r="O1122" s="408"/>
    </row>
    <row r="1123" spans="1:15" s="26" customFormat="1" ht="15.75" thickBot="1" x14ac:dyDescent="0.3">
      <c r="A1123" s="65"/>
      <c r="B1123" s="278"/>
      <c r="C1123" s="278"/>
      <c r="D1123" s="278"/>
      <c r="E1123" s="278"/>
      <c r="F1123" s="507"/>
      <c r="G1123" s="183" t="s">
        <v>153</v>
      </c>
      <c r="H1123" s="510"/>
      <c r="I1123" s="184"/>
      <c r="J1123" s="66"/>
      <c r="K1123" s="408"/>
      <c r="L1123" s="408"/>
      <c r="M1123" s="408"/>
      <c r="N1123" s="408"/>
      <c r="O1123" s="408"/>
    </row>
    <row r="1124" spans="1:15" s="26" customFormat="1" x14ac:dyDescent="0.25">
      <c r="A1124" s="247" t="s">
        <v>77</v>
      </c>
      <c r="B1124" s="463" t="str">
        <f>B1093</f>
        <v>Price to Wholesaler</v>
      </c>
      <c r="C1124" s="463"/>
      <c r="D1124" s="463"/>
      <c r="E1124" s="463"/>
      <c r="F1124" s="256">
        <f>SUMPRODUCT(F1093:I1093,F1085:I1085)</f>
        <v>0</v>
      </c>
      <c r="G1124" s="256">
        <f>F1124*G1122</f>
        <v>0</v>
      </c>
      <c r="H1124" s="256" t="str">
        <f>IF(H1083="Days",F1124/F1083*365.25,IF(H1083="Months",F1124/F1083*12,""))</f>
        <v/>
      </c>
      <c r="I1124" s="256" t="str">
        <f>IF(AND(H1083="Days",I1123="Days"),F1124/F1083*I1122,IF(AND(H1083="Months",I1123="Months"),F1124/F1083*I1122,IF(AND(H1083="Days",I1123="Months"),F1124/F1083*30.4375*I1122,IF(AND(H1083="Months",I1123="Days"),F1124/F1083/30.4375*I1122,""))))</f>
        <v/>
      </c>
      <c r="O1124" s="21"/>
    </row>
    <row r="1125" spans="1:15" s="26" customFormat="1" x14ac:dyDescent="0.25">
      <c r="A1125" s="255" t="s">
        <v>78</v>
      </c>
      <c r="B1125" s="464" t="str">
        <f>B1094</f>
        <v>Wholesale Mark-up</v>
      </c>
      <c r="C1125" s="464"/>
      <c r="D1125" s="464"/>
      <c r="E1125" s="464"/>
      <c r="F1125" s="256">
        <f>SUMPRODUCT(F1094:I1094,F1085:I1085)</f>
        <v>0</v>
      </c>
      <c r="G1125" s="256">
        <f>F1125*G1122</f>
        <v>0</v>
      </c>
      <c r="H1125" s="256" t="str">
        <f>IF(H1083="Days",F1125/F1083*365.25,IF(H1083="Months",F1125/F1083*12,""))</f>
        <v/>
      </c>
      <c r="I1125" s="256" t="str">
        <f>IF(AND(H1083="Days",I1123="Days"),F1125/F1083*I1122,IF(AND(H1083="Months",I1123="Months"),F1125/F1083*I1122,IF(AND(H1083="Days",I1123="Months"),F1125/F1083*30.4375*I1122,IF(AND(H1083="Months",I1123="Days"),F1125/F1083/30.4375*I1122,""))))</f>
        <v/>
      </c>
      <c r="O1125" s="21"/>
    </row>
    <row r="1126" spans="1:15" s="26" customFormat="1" x14ac:dyDescent="0.25">
      <c r="A1126" s="255" t="s">
        <v>79</v>
      </c>
      <c r="B1126" s="281" t="str">
        <f>B1095</f>
        <v>Reimbursement Price</v>
      </c>
      <c r="C1126" s="275"/>
      <c r="D1126" s="276"/>
      <c r="E1126" s="277"/>
      <c r="F1126" s="256">
        <f>SUMPRODUCT(F1095:I1095,F1085:I1085)</f>
        <v>0</v>
      </c>
      <c r="G1126" s="256">
        <f>F1126*G1122</f>
        <v>0</v>
      </c>
      <c r="H1126" s="256" t="str">
        <f>IF(H1083="Days",F1126/F1083*365.25,IF(H1083="Months",F1126/F1083*12,""))</f>
        <v/>
      </c>
      <c r="I1126" s="256" t="str">
        <f>IF(AND(H1083="Days",I1123="Days"),F1126/F1083*I1122,IF(AND(H1083="Months",I1123="Months"),F1126/F1083*I1122,IF(AND(H1083="Days",I1123="Months"),F1126/F1083*30.4375*I1122,IF(AND(H1083="Months",I1123="Days"),F1126/F1083/30.4375*I1122,""))))</f>
        <v/>
      </c>
      <c r="O1126" s="21"/>
    </row>
    <row r="1127" spans="1:15" s="26" customFormat="1" x14ac:dyDescent="0.25">
      <c r="A1127" s="255" t="s">
        <v>80</v>
      </c>
      <c r="B1127" s="495" t="str">
        <f>B1096</f>
        <v>Framework Agreement Rebate</v>
      </c>
      <c r="C1127" s="496"/>
      <c r="D1127" s="496"/>
      <c r="E1127" s="497"/>
      <c r="F1127" s="256">
        <f>SUMPRODUCT(F1096:I1096,F1085:I1085)</f>
        <v>0</v>
      </c>
      <c r="G1127" s="256">
        <f>F1127*G1122</f>
        <v>0</v>
      </c>
      <c r="H1127" s="256" t="str">
        <f>IF(H1083="Days",F1127/F1083*365.25,IF(H1083="Months",F1127/F1083*12,""))</f>
        <v/>
      </c>
      <c r="I1127" s="256" t="str">
        <f>IF(AND(H1083="Days",I1123="Days"),F1127/F1083*I1122,IF(AND(H1083="Months",I1123="Months"),F1127/F1083*I1122,IF(AND(H1083="Days",I1123="Months"),F1127/F1083*30.4375*I1122,IF(AND(H1083="Months",I1123="Days"),F1127/F1083/30.4375*I1122,""))))</f>
        <v/>
      </c>
      <c r="O1127" s="21"/>
    </row>
    <row r="1128" spans="1:15" s="26" customFormat="1" x14ac:dyDescent="0.25">
      <c r="A1128" s="255" t="s">
        <v>81</v>
      </c>
      <c r="B1128" s="495" t="str">
        <f>B1097</f>
        <v xml:space="preserve">VAT on Drug Cost </v>
      </c>
      <c r="C1128" s="496"/>
      <c r="D1128" s="496"/>
      <c r="E1128" s="497"/>
      <c r="F1128" s="256">
        <f>SUMPRODUCT(F1097:I1097,F1085:I1085)</f>
        <v>0</v>
      </c>
      <c r="G1128" s="256">
        <f>F1128*G1122</f>
        <v>0</v>
      </c>
      <c r="H1128" s="256" t="str">
        <f>IF(H1083="Days",F1128/F1083*365.25,IF(H1083="Months",F1128/F1083*12,""))</f>
        <v/>
      </c>
      <c r="I1128" s="256" t="str">
        <f>IF(AND(H1083="Days",I1123="Days"),F1128/F1083*I1122,IF(AND(H1083="Months",I1123="Months"),F1128/F1083*I1122,IF(AND(H1083="Days",I1123="Months"),F1128/F1083*30.4375*I1122,IF(AND(H1083="Months",I1123="Days"),F1128/F1083/30.4375*I1122,""))))</f>
        <v/>
      </c>
      <c r="O1128" s="21"/>
    </row>
    <row r="1129" spans="1:15" s="26" customFormat="1" x14ac:dyDescent="0.25">
      <c r="A1129" s="255" t="s">
        <v>154</v>
      </c>
      <c r="B1129" s="495" t="s">
        <v>155</v>
      </c>
      <c r="C1129" s="496"/>
      <c r="D1129" s="496"/>
      <c r="E1129" s="497"/>
      <c r="F1129" s="256" t="str">
        <f>IF(H1115="","",H1115)</f>
        <v/>
      </c>
      <c r="G1129" s="256" t="str">
        <f>IF(F1129="","",F1129*G1122)</f>
        <v/>
      </c>
      <c r="H1129" s="256" t="str">
        <f>IF(F1129="","",IF(H1083="Days",F1129/F1083*365.25,IF(H1083="Months",F1129/F1083*12,"")))</f>
        <v/>
      </c>
      <c r="I1129" s="256" t="str">
        <f>IF(F1129="","",IF(AND(H1083="Days",I1123="Days"),F1129/F1083*I1122,IF(AND(H1083="Months",I1123="Months"),F1129/F1083*I1122,IF(AND(H1083="Days",I1123="Months"),F1129/F1083*30.4375*I1122,IF(AND(H1083="Months",I1123="Days"),F1129/F1083/30.4375*I1122,"")))))</f>
        <v/>
      </c>
      <c r="O1129" s="21"/>
    </row>
    <row r="1130" spans="1:15" s="26" customFormat="1" x14ac:dyDescent="0.25">
      <c r="A1130" s="255" t="s">
        <v>156</v>
      </c>
      <c r="B1130" s="495" t="s">
        <v>157</v>
      </c>
      <c r="C1130" s="496"/>
      <c r="D1130" s="496"/>
      <c r="E1130" s="497"/>
      <c r="F1130" s="256" t="str">
        <f>IF(H1116="","",H1116)</f>
        <v/>
      </c>
      <c r="G1130" s="256" t="str">
        <f>IF(F1130="","",F1130*G1122)</f>
        <v/>
      </c>
      <c r="H1130" s="256" t="str">
        <f>IF(F1130="","",IF(H1083="Days",F1130/F1083*365.25,IF(H1083="Months",F1130/F1083*12,"")))</f>
        <v/>
      </c>
      <c r="I1130" s="256" t="str">
        <f>IF(F1130="","",IF(AND(H1083="Days",I1123="Days"),F1130/F1083*I1122,IF(AND(H1083="Months",I1123="Months"),F1130/F1083*I1122,IF(AND(H1083="Days",I1123="Months"),F1130/F1083*30.4375*I1122,IF(AND(H1083="Months",I1123="Days"),F1130/F1083/30.4375*I1122,"")))))</f>
        <v/>
      </c>
      <c r="O1130" s="21"/>
    </row>
    <row r="1131" spans="1:15" s="155" customFormat="1" x14ac:dyDescent="0.25">
      <c r="A1131" s="186" t="s">
        <v>158</v>
      </c>
      <c r="B1131" s="498" t="s">
        <v>159</v>
      </c>
      <c r="C1131" s="499"/>
      <c r="D1131" s="499"/>
      <c r="E1131" s="500"/>
      <c r="F1131" s="187">
        <f>SUM(F1126:F1129)</f>
        <v>0</v>
      </c>
      <c r="G1131" s="187">
        <f t="shared" ref="G1131:I1131" si="95">SUM(G1126:G1129)</f>
        <v>0</v>
      </c>
      <c r="H1131" s="187">
        <f t="shared" si="95"/>
        <v>0</v>
      </c>
      <c r="I1131" s="187">
        <f t="shared" si="95"/>
        <v>0</v>
      </c>
      <c r="K1131" s="98" t="s">
        <v>191</v>
      </c>
      <c r="O1131" s="189"/>
    </row>
    <row r="1132" spans="1:15" s="26" customFormat="1" ht="15.75" thickBot="1" x14ac:dyDescent="0.3">
      <c r="A1132" s="257" t="s">
        <v>160</v>
      </c>
      <c r="B1132" s="501" t="s">
        <v>161</v>
      </c>
      <c r="C1132" s="502"/>
      <c r="D1132" s="502"/>
      <c r="E1132" s="503"/>
      <c r="F1132" s="250">
        <f>IF(F1130="",SUM(F1126+F1127),F1126+F1127+F1130)</f>
        <v>0</v>
      </c>
      <c r="G1132" s="250">
        <f t="shared" ref="G1132" si="96">IF(G1130="",SUM(G1126+G1127),G1126+G1127+G1130)</f>
        <v>0</v>
      </c>
      <c r="H1132" s="250" t="e">
        <f>IF(H1130="",SUM(H1126+H1127),H1126+H1127+H1130)</f>
        <v>#VALUE!</v>
      </c>
      <c r="I1132" s="250" t="e">
        <f t="shared" ref="I1132" si="97">IF(I1130="",SUM(I1126+I1127),I1126+I1127+I1130)</f>
        <v>#VALUE!</v>
      </c>
      <c r="K1132" s="14" t="s">
        <v>192</v>
      </c>
      <c r="O1132" s="21"/>
    </row>
    <row r="1133" spans="1:15" s="26" customFormat="1" x14ac:dyDescent="0.25">
      <c r="B1133" s="229"/>
      <c r="C1133" s="66"/>
      <c r="D1133" s="66"/>
      <c r="E1133" s="66"/>
      <c r="O1133" s="21"/>
    </row>
    <row r="1134" spans="1:15" s="26" customFormat="1" x14ac:dyDescent="0.25"/>
    <row r="1135" spans="1:15" s="26" customFormat="1" x14ac:dyDescent="0.25">
      <c r="B1135" s="286" t="s">
        <v>101</v>
      </c>
      <c r="C1135" s="286"/>
      <c r="D1135" s="286"/>
      <c r="E1135" s="286"/>
    </row>
    <row r="1136" spans="1:15" s="26" customFormat="1" ht="15.75" customHeight="1" x14ac:dyDescent="0.25"/>
    <row r="1137" spans="2:19" s="26" customFormat="1" x14ac:dyDescent="0.25">
      <c r="B1137" s="234"/>
      <c r="C1137" s="234"/>
      <c r="D1137" s="234"/>
      <c r="E1137" s="234"/>
      <c r="F1137" s="234"/>
      <c r="G1137" s="234"/>
      <c r="H1137" s="234"/>
      <c r="I1137" s="234"/>
      <c r="J1137" s="234"/>
      <c r="K1137" s="234"/>
      <c r="L1137" s="234"/>
      <c r="M1137" s="234"/>
      <c r="N1137" s="234"/>
      <c r="O1137" s="234"/>
      <c r="P1137" s="234"/>
      <c r="Q1137" s="234"/>
      <c r="R1137" s="234"/>
      <c r="S1137" s="234"/>
    </row>
    <row r="1138" spans="2:19" s="26" customFormat="1" x14ac:dyDescent="0.25">
      <c r="B1138" s="234"/>
      <c r="C1138" s="234"/>
      <c r="D1138" s="234"/>
      <c r="E1138" s="234"/>
      <c r="F1138" s="234"/>
      <c r="G1138" s="234"/>
      <c r="H1138" s="234"/>
      <c r="I1138" s="234"/>
      <c r="J1138" s="234"/>
      <c r="K1138" s="234"/>
      <c r="L1138" s="234"/>
      <c r="M1138" s="234"/>
      <c r="N1138" s="234"/>
      <c r="O1138" s="234"/>
      <c r="P1138" s="234"/>
      <c r="Q1138" s="234"/>
      <c r="R1138" s="234"/>
      <c r="S1138" s="234"/>
    </row>
    <row r="1139" spans="2:19" s="26" customFormat="1" x14ac:dyDescent="0.25">
      <c r="B1139" s="234"/>
      <c r="C1139" s="234"/>
      <c r="D1139" s="234"/>
      <c r="E1139" s="234"/>
      <c r="F1139" s="234"/>
      <c r="G1139" s="234"/>
      <c r="H1139" s="234"/>
      <c r="I1139" s="234"/>
      <c r="J1139" s="234"/>
      <c r="K1139" s="234"/>
      <c r="L1139" s="234"/>
      <c r="M1139" s="234"/>
      <c r="N1139" s="234"/>
      <c r="O1139" s="234"/>
      <c r="P1139" s="234"/>
      <c r="Q1139" s="234"/>
      <c r="R1139" s="234"/>
      <c r="S1139" s="234"/>
    </row>
    <row r="1140" spans="2:19" s="26" customFormat="1" x14ac:dyDescent="0.25">
      <c r="B1140" s="234"/>
      <c r="C1140" s="234"/>
      <c r="D1140" s="234"/>
      <c r="E1140" s="234"/>
      <c r="F1140" s="234"/>
      <c r="G1140" s="234"/>
      <c r="H1140" s="234"/>
      <c r="I1140" s="234"/>
      <c r="J1140" s="234"/>
      <c r="K1140" s="234"/>
      <c r="L1140" s="234"/>
      <c r="M1140" s="234"/>
      <c r="N1140" s="234"/>
      <c r="O1140" s="234"/>
      <c r="P1140" s="234"/>
      <c r="Q1140" s="234"/>
      <c r="R1140" s="234"/>
      <c r="S1140" s="234"/>
    </row>
    <row r="1141" spans="2:19" s="26" customFormat="1" x14ac:dyDescent="0.25">
      <c r="B1141" s="234"/>
      <c r="C1141" s="234"/>
      <c r="D1141" s="234"/>
      <c r="E1141" s="234"/>
      <c r="F1141" s="234"/>
      <c r="G1141" s="234"/>
      <c r="H1141" s="234"/>
      <c r="I1141" s="234"/>
      <c r="J1141" s="234"/>
      <c r="K1141" s="234"/>
      <c r="L1141" s="234"/>
      <c r="M1141" s="234"/>
      <c r="N1141" s="234"/>
      <c r="O1141" s="234"/>
      <c r="P1141" s="234"/>
      <c r="Q1141" s="234"/>
      <c r="R1141" s="234"/>
      <c r="S1141" s="234"/>
    </row>
    <row r="1142" spans="2:19" s="26" customFormat="1" x14ac:dyDescent="0.25">
      <c r="B1142" s="234"/>
      <c r="C1142" s="234"/>
      <c r="D1142" s="234"/>
      <c r="E1142" s="234"/>
      <c r="F1142" s="234"/>
      <c r="G1142" s="234"/>
      <c r="H1142" s="234"/>
      <c r="I1142" s="234"/>
      <c r="J1142" s="234"/>
      <c r="K1142" s="234"/>
      <c r="L1142" s="234"/>
      <c r="M1142" s="234"/>
      <c r="N1142" s="234"/>
      <c r="O1142" s="234"/>
      <c r="P1142" s="234"/>
      <c r="Q1142" s="234"/>
      <c r="R1142" s="234"/>
      <c r="S1142" s="234"/>
    </row>
    <row r="1143" spans="2:19" s="26" customFormat="1" x14ac:dyDescent="0.25">
      <c r="B1143" s="234"/>
      <c r="C1143" s="234"/>
      <c r="D1143" s="234"/>
      <c r="E1143" s="234"/>
      <c r="F1143" s="234"/>
      <c r="G1143" s="234"/>
      <c r="H1143" s="234"/>
      <c r="I1143" s="234"/>
      <c r="J1143" s="234"/>
      <c r="K1143" s="234"/>
      <c r="L1143" s="234"/>
      <c r="M1143" s="234"/>
      <c r="N1143" s="234"/>
      <c r="O1143" s="234"/>
      <c r="P1143" s="234"/>
      <c r="Q1143" s="234"/>
      <c r="R1143" s="234"/>
      <c r="S1143" s="234"/>
    </row>
    <row r="1144" spans="2:19" s="26" customFormat="1" x14ac:dyDescent="0.25">
      <c r="B1144" s="234"/>
      <c r="C1144" s="234"/>
      <c r="D1144" s="234"/>
      <c r="E1144" s="234"/>
      <c r="F1144" s="234"/>
      <c r="G1144" s="234"/>
      <c r="H1144" s="234"/>
      <c r="I1144" s="234"/>
      <c r="J1144" s="234"/>
      <c r="K1144" s="234"/>
      <c r="L1144" s="234"/>
      <c r="M1144" s="234"/>
      <c r="N1144" s="234"/>
      <c r="O1144" s="234"/>
      <c r="P1144" s="234"/>
      <c r="Q1144" s="234"/>
      <c r="R1144" s="234"/>
      <c r="S1144" s="234"/>
    </row>
    <row r="1145" spans="2:19" s="26" customFormat="1" x14ac:dyDescent="0.25">
      <c r="B1145" s="234"/>
      <c r="C1145" s="234"/>
      <c r="D1145" s="234"/>
      <c r="E1145" s="234"/>
      <c r="F1145" s="234"/>
      <c r="G1145" s="234"/>
      <c r="H1145" s="234"/>
      <c r="I1145" s="234"/>
      <c r="J1145" s="234"/>
      <c r="K1145" s="234"/>
      <c r="L1145" s="234"/>
      <c r="M1145" s="234"/>
      <c r="N1145" s="234"/>
      <c r="O1145" s="234"/>
      <c r="P1145" s="234"/>
      <c r="Q1145" s="234"/>
      <c r="R1145" s="234"/>
      <c r="S1145" s="234"/>
    </row>
    <row r="1146" spans="2:19" s="26" customFormat="1" x14ac:dyDescent="0.25">
      <c r="B1146" s="234"/>
      <c r="C1146" s="234"/>
      <c r="D1146" s="234"/>
      <c r="E1146" s="234"/>
      <c r="F1146" s="234"/>
      <c r="G1146" s="234"/>
      <c r="H1146" s="234"/>
      <c r="I1146" s="234"/>
      <c r="J1146" s="234"/>
      <c r="K1146" s="234"/>
      <c r="L1146" s="234"/>
      <c r="M1146" s="234"/>
      <c r="N1146" s="234"/>
      <c r="O1146" s="234"/>
      <c r="P1146" s="234"/>
      <c r="Q1146" s="234"/>
      <c r="R1146" s="234"/>
      <c r="S1146" s="234"/>
    </row>
  </sheetData>
  <mergeCells count="782">
    <mergeCell ref="B1131:E1131"/>
    <mergeCell ref="B1132:E1132"/>
    <mergeCell ref="F1121:F1123"/>
    <mergeCell ref="H1121:H1123"/>
    <mergeCell ref="K1121:O1123"/>
    <mergeCell ref="B1124:E1124"/>
    <mergeCell ref="B1125:E1125"/>
    <mergeCell ref="B1127:E1127"/>
    <mergeCell ref="B1128:E1128"/>
    <mergeCell ref="B1129:E1129"/>
    <mergeCell ref="B1130:E1130"/>
    <mergeCell ref="B1106:F1106"/>
    <mergeCell ref="B1107:F1107"/>
    <mergeCell ref="K1110:O1110"/>
    <mergeCell ref="K1111:O1112"/>
    <mergeCell ref="B1112:F1112"/>
    <mergeCell ref="B1113:F1113"/>
    <mergeCell ref="B1114:F1114"/>
    <mergeCell ref="B1115:F1115"/>
    <mergeCell ref="B1116:F1116"/>
    <mergeCell ref="F1089:I1089"/>
    <mergeCell ref="F1091:I1091"/>
    <mergeCell ref="B1093:D1093"/>
    <mergeCell ref="B1094:D1094"/>
    <mergeCell ref="B1095:D1095"/>
    <mergeCell ref="B1096:D1096"/>
    <mergeCell ref="B1097:D1097"/>
    <mergeCell ref="B1098:D1098"/>
    <mergeCell ref="B1099:D1099"/>
    <mergeCell ref="K1081:O1082"/>
    <mergeCell ref="B1082:I1082"/>
    <mergeCell ref="B1083:E1083"/>
    <mergeCell ref="F1083:G1083"/>
    <mergeCell ref="H1083:I1083"/>
    <mergeCell ref="K1083:O1084"/>
    <mergeCell ref="B1084:E1084"/>
    <mergeCell ref="B1085:E1085"/>
    <mergeCell ref="K1085:O1087"/>
    <mergeCell ref="B1087:E1087"/>
    <mergeCell ref="B1076:E1076"/>
    <mergeCell ref="F1076:I1076"/>
    <mergeCell ref="B1077:E1077"/>
    <mergeCell ref="F1077:I1077"/>
    <mergeCell ref="B1078:E1078"/>
    <mergeCell ref="F1078:I1078"/>
    <mergeCell ref="B1079:E1079"/>
    <mergeCell ref="F1079:I1079"/>
    <mergeCell ref="F1070:I1070"/>
    <mergeCell ref="B1071:E1071"/>
    <mergeCell ref="B1072:E1072"/>
    <mergeCell ref="K1072:O1072"/>
    <mergeCell ref="B1073:E1073"/>
    <mergeCell ref="B1074:E1074"/>
    <mergeCell ref="F1074:I1074"/>
    <mergeCell ref="B1075:E1075"/>
    <mergeCell ref="F1075:I1075"/>
    <mergeCell ref="B1043:E1043"/>
    <mergeCell ref="B1044:E1044"/>
    <mergeCell ref="B1045:E1045"/>
    <mergeCell ref="B1046:E1046"/>
    <mergeCell ref="B1047:E1047"/>
    <mergeCell ref="B1065:G1065"/>
    <mergeCell ref="K1068:O1069"/>
    <mergeCell ref="B1069:I1069"/>
    <mergeCell ref="B1029:F1029"/>
    <mergeCell ref="B1030:F1030"/>
    <mergeCell ref="B1031:F1031"/>
    <mergeCell ref="F1036:F1038"/>
    <mergeCell ref="H1036:H1038"/>
    <mergeCell ref="K1036:O1038"/>
    <mergeCell ref="B1039:E1039"/>
    <mergeCell ref="B1040:E1040"/>
    <mergeCell ref="B1042:E1042"/>
    <mergeCell ref="B1012:D1012"/>
    <mergeCell ref="B1013:D1013"/>
    <mergeCell ref="B1014:D1014"/>
    <mergeCell ref="B1021:F1021"/>
    <mergeCell ref="B1022:F1022"/>
    <mergeCell ref="K1025:O1025"/>
    <mergeCell ref="K1026:O1027"/>
    <mergeCell ref="B1027:F1027"/>
    <mergeCell ref="B1028:F1028"/>
    <mergeCell ref="B1000:E1000"/>
    <mergeCell ref="K1000:O1002"/>
    <mergeCell ref="B1002:E1002"/>
    <mergeCell ref="F1004:I1004"/>
    <mergeCell ref="F1006:I1006"/>
    <mergeCell ref="B1008:D1008"/>
    <mergeCell ref="B1009:D1009"/>
    <mergeCell ref="B1010:D1010"/>
    <mergeCell ref="B1011:D1011"/>
    <mergeCell ref="B993:E993"/>
    <mergeCell ref="F993:I993"/>
    <mergeCell ref="B994:E994"/>
    <mergeCell ref="F994:I994"/>
    <mergeCell ref="K996:O997"/>
    <mergeCell ref="B997:I997"/>
    <mergeCell ref="B998:E998"/>
    <mergeCell ref="F998:G998"/>
    <mergeCell ref="H998:I998"/>
    <mergeCell ref="K998:O999"/>
    <mergeCell ref="B999:E999"/>
    <mergeCell ref="B988:E988"/>
    <mergeCell ref="B989:E989"/>
    <mergeCell ref="F989:I989"/>
    <mergeCell ref="B990:E990"/>
    <mergeCell ref="F990:I990"/>
    <mergeCell ref="B991:E991"/>
    <mergeCell ref="F991:I991"/>
    <mergeCell ref="B992:E992"/>
    <mergeCell ref="F992:I992"/>
    <mergeCell ref="B961:E961"/>
    <mergeCell ref="B962:E962"/>
    <mergeCell ref="B980:G980"/>
    <mergeCell ref="K983:O984"/>
    <mergeCell ref="B984:I984"/>
    <mergeCell ref="F985:I985"/>
    <mergeCell ref="B986:E986"/>
    <mergeCell ref="B987:E987"/>
    <mergeCell ref="K987:O987"/>
    <mergeCell ref="F951:F953"/>
    <mergeCell ref="H951:H953"/>
    <mergeCell ref="K951:O953"/>
    <mergeCell ref="B954:E954"/>
    <mergeCell ref="B955:E955"/>
    <mergeCell ref="B957:E957"/>
    <mergeCell ref="B958:E958"/>
    <mergeCell ref="B959:E959"/>
    <mergeCell ref="B960:E960"/>
    <mergeCell ref="B936:F936"/>
    <mergeCell ref="B937:F937"/>
    <mergeCell ref="K940:O940"/>
    <mergeCell ref="K941:O942"/>
    <mergeCell ref="B942:F942"/>
    <mergeCell ref="B943:F943"/>
    <mergeCell ref="B944:F944"/>
    <mergeCell ref="B945:F945"/>
    <mergeCell ref="B946:F946"/>
    <mergeCell ref="F919:I919"/>
    <mergeCell ref="F921:I921"/>
    <mergeCell ref="B923:D923"/>
    <mergeCell ref="B924:D924"/>
    <mergeCell ref="B925:D925"/>
    <mergeCell ref="B926:D926"/>
    <mergeCell ref="B927:D927"/>
    <mergeCell ref="B928:D928"/>
    <mergeCell ref="B929:D929"/>
    <mergeCell ref="K911:O912"/>
    <mergeCell ref="B912:I912"/>
    <mergeCell ref="B913:E913"/>
    <mergeCell ref="F913:G913"/>
    <mergeCell ref="H913:I913"/>
    <mergeCell ref="K913:O914"/>
    <mergeCell ref="B914:E914"/>
    <mergeCell ref="B915:E915"/>
    <mergeCell ref="K915:O917"/>
    <mergeCell ref="B917:E917"/>
    <mergeCell ref="B906:E906"/>
    <mergeCell ref="F906:I906"/>
    <mergeCell ref="B907:E907"/>
    <mergeCell ref="F907:I907"/>
    <mergeCell ref="B908:E908"/>
    <mergeCell ref="F908:I908"/>
    <mergeCell ref="B909:E909"/>
    <mergeCell ref="F909:I909"/>
    <mergeCell ref="F900:I900"/>
    <mergeCell ref="B901:E901"/>
    <mergeCell ref="B902:E902"/>
    <mergeCell ref="K902:O902"/>
    <mergeCell ref="B903:E903"/>
    <mergeCell ref="B904:E904"/>
    <mergeCell ref="F904:I904"/>
    <mergeCell ref="B905:E905"/>
    <mergeCell ref="F905:I905"/>
    <mergeCell ref="B873:E873"/>
    <mergeCell ref="B874:E874"/>
    <mergeCell ref="B875:E875"/>
    <mergeCell ref="B876:E876"/>
    <mergeCell ref="B877:E877"/>
    <mergeCell ref="B895:G895"/>
    <mergeCell ref="K898:O899"/>
    <mergeCell ref="B899:I899"/>
    <mergeCell ref="B859:F859"/>
    <mergeCell ref="B860:F860"/>
    <mergeCell ref="B861:F861"/>
    <mergeCell ref="F866:F868"/>
    <mergeCell ref="H866:H868"/>
    <mergeCell ref="K866:O868"/>
    <mergeCell ref="B869:E869"/>
    <mergeCell ref="B870:E870"/>
    <mergeCell ref="B872:E872"/>
    <mergeCell ref="B842:D842"/>
    <mergeCell ref="B843:D843"/>
    <mergeCell ref="B844:D844"/>
    <mergeCell ref="B851:F851"/>
    <mergeCell ref="B852:F852"/>
    <mergeCell ref="K855:O855"/>
    <mergeCell ref="K856:O857"/>
    <mergeCell ref="B857:F857"/>
    <mergeCell ref="B858:F858"/>
    <mergeCell ref="B830:E830"/>
    <mergeCell ref="K830:O832"/>
    <mergeCell ref="B832:E832"/>
    <mergeCell ref="F834:I834"/>
    <mergeCell ref="F836:I836"/>
    <mergeCell ref="B838:D838"/>
    <mergeCell ref="B839:D839"/>
    <mergeCell ref="B840:D840"/>
    <mergeCell ref="B841:D841"/>
    <mergeCell ref="B823:E823"/>
    <mergeCell ref="F823:I823"/>
    <mergeCell ref="B824:E824"/>
    <mergeCell ref="F824:I824"/>
    <mergeCell ref="K826:O827"/>
    <mergeCell ref="B827:I827"/>
    <mergeCell ref="B828:E828"/>
    <mergeCell ref="F828:G828"/>
    <mergeCell ref="H828:I828"/>
    <mergeCell ref="K828:O829"/>
    <mergeCell ref="B829:E829"/>
    <mergeCell ref="B818:E818"/>
    <mergeCell ref="B819:E819"/>
    <mergeCell ref="F819:I819"/>
    <mergeCell ref="B820:E820"/>
    <mergeCell ref="F820:I820"/>
    <mergeCell ref="B821:E821"/>
    <mergeCell ref="F821:I821"/>
    <mergeCell ref="B822:E822"/>
    <mergeCell ref="F822:I822"/>
    <mergeCell ref="B791:E791"/>
    <mergeCell ref="B792:E792"/>
    <mergeCell ref="B810:G810"/>
    <mergeCell ref="K813:O814"/>
    <mergeCell ref="B814:I814"/>
    <mergeCell ref="F815:I815"/>
    <mergeCell ref="B816:E816"/>
    <mergeCell ref="B817:E817"/>
    <mergeCell ref="K817:O817"/>
    <mergeCell ref="F781:F783"/>
    <mergeCell ref="H781:H783"/>
    <mergeCell ref="K781:O783"/>
    <mergeCell ref="B784:E784"/>
    <mergeCell ref="B785:E785"/>
    <mergeCell ref="B787:E787"/>
    <mergeCell ref="B788:E788"/>
    <mergeCell ref="B789:E789"/>
    <mergeCell ref="B790:E790"/>
    <mergeCell ref="B766:F766"/>
    <mergeCell ref="B767:F767"/>
    <mergeCell ref="K770:O770"/>
    <mergeCell ref="K771:O772"/>
    <mergeCell ref="B772:F772"/>
    <mergeCell ref="B773:F773"/>
    <mergeCell ref="B774:F774"/>
    <mergeCell ref="B775:F775"/>
    <mergeCell ref="B776:F776"/>
    <mergeCell ref="F749:I749"/>
    <mergeCell ref="F751:I751"/>
    <mergeCell ref="B753:D753"/>
    <mergeCell ref="B754:D754"/>
    <mergeCell ref="B755:D755"/>
    <mergeCell ref="B756:D756"/>
    <mergeCell ref="B757:D757"/>
    <mergeCell ref="B758:D758"/>
    <mergeCell ref="B759:D759"/>
    <mergeCell ref="K741:O742"/>
    <mergeCell ref="B742:I742"/>
    <mergeCell ref="B743:E743"/>
    <mergeCell ref="F743:G743"/>
    <mergeCell ref="H743:I743"/>
    <mergeCell ref="K743:O744"/>
    <mergeCell ref="B744:E744"/>
    <mergeCell ref="B745:E745"/>
    <mergeCell ref="K745:O747"/>
    <mergeCell ref="B747:E747"/>
    <mergeCell ref="B736:E736"/>
    <mergeCell ref="F736:I736"/>
    <mergeCell ref="B737:E737"/>
    <mergeCell ref="F737:I737"/>
    <mergeCell ref="B738:E738"/>
    <mergeCell ref="F738:I738"/>
    <mergeCell ref="B739:E739"/>
    <mergeCell ref="F739:I739"/>
    <mergeCell ref="F730:I730"/>
    <mergeCell ref="B731:E731"/>
    <mergeCell ref="B732:E732"/>
    <mergeCell ref="K732:O732"/>
    <mergeCell ref="B733:E733"/>
    <mergeCell ref="B734:E734"/>
    <mergeCell ref="F734:I734"/>
    <mergeCell ref="B735:E735"/>
    <mergeCell ref="F735:I735"/>
    <mergeCell ref="B703:E703"/>
    <mergeCell ref="B704:E704"/>
    <mergeCell ref="B705:E705"/>
    <mergeCell ref="B706:E706"/>
    <mergeCell ref="B707:E707"/>
    <mergeCell ref="B725:G725"/>
    <mergeCell ref="K728:O729"/>
    <mergeCell ref="B729:I729"/>
    <mergeCell ref="B689:F689"/>
    <mergeCell ref="B690:F690"/>
    <mergeCell ref="B691:F691"/>
    <mergeCell ref="F696:F698"/>
    <mergeCell ref="H696:H698"/>
    <mergeCell ref="K696:O698"/>
    <mergeCell ref="B699:E699"/>
    <mergeCell ref="B700:E700"/>
    <mergeCell ref="B702:E702"/>
    <mergeCell ref="B672:D672"/>
    <mergeCell ref="B673:D673"/>
    <mergeCell ref="B674:D674"/>
    <mergeCell ref="B681:F681"/>
    <mergeCell ref="B682:F682"/>
    <mergeCell ref="K685:O685"/>
    <mergeCell ref="K686:O687"/>
    <mergeCell ref="B687:F687"/>
    <mergeCell ref="B688:F688"/>
    <mergeCell ref="B660:E660"/>
    <mergeCell ref="K660:O662"/>
    <mergeCell ref="B662:E662"/>
    <mergeCell ref="F664:I664"/>
    <mergeCell ref="F666:I666"/>
    <mergeCell ref="B668:D668"/>
    <mergeCell ref="B669:D669"/>
    <mergeCell ref="B670:D670"/>
    <mergeCell ref="B671:D671"/>
    <mergeCell ref="B654:E654"/>
    <mergeCell ref="F654:I654"/>
    <mergeCell ref="K656:O657"/>
    <mergeCell ref="B657:I657"/>
    <mergeCell ref="B658:E658"/>
    <mergeCell ref="F658:G658"/>
    <mergeCell ref="H658:I658"/>
    <mergeCell ref="K658:O659"/>
    <mergeCell ref="B659:E659"/>
    <mergeCell ref="B649:E649"/>
    <mergeCell ref="F649:I649"/>
    <mergeCell ref="B650:E650"/>
    <mergeCell ref="F650:I650"/>
    <mergeCell ref="B651:E651"/>
    <mergeCell ref="F651:I651"/>
    <mergeCell ref="B652:E652"/>
    <mergeCell ref="F652:I652"/>
    <mergeCell ref="B653:E653"/>
    <mergeCell ref="F653:I653"/>
    <mergeCell ref="F645:I645"/>
    <mergeCell ref="B646:E646"/>
    <mergeCell ref="B647:E647"/>
    <mergeCell ref="K647:O647"/>
    <mergeCell ref="B648:E648"/>
    <mergeCell ref="K59:O60"/>
    <mergeCell ref="K63:O65"/>
    <mergeCell ref="K61:O62"/>
    <mergeCell ref="B446:E446"/>
    <mergeCell ref="B447:E447"/>
    <mergeCell ref="B434:F434"/>
    <mergeCell ref="B435:F435"/>
    <mergeCell ref="B451:E451"/>
    <mergeCell ref="K88:O88"/>
    <mergeCell ref="K89:O90"/>
    <mergeCell ref="B403:E403"/>
    <mergeCell ref="B278:E278"/>
    <mergeCell ref="B279:E279"/>
    <mergeCell ref="B280:E280"/>
    <mergeCell ref="B299:G299"/>
    <mergeCell ref="B321:E321"/>
    <mergeCell ref="B363:E363"/>
    <mergeCell ref="B361:E361"/>
    <mergeCell ref="F355:F357"/>
    <mergeCell ref="H355:H357"/>
    <mergeCell ref="B318:E318"/>
    <mergeCell ref="B358:E358"/>
    <mergeCell ref="B640:G640"/>
    <mergeCell ref="K643:O644"/>
    <mergeCell ref="B644:I644"/>
    <mergeCell ref="B533:E533"/>
    <mergeCell ref="B501:D501"/>
    <mergeCell ref="B502:D502"/>
    <mergeCell ref="B503:D503"/>
    <mergeCell ref="B504:D504"/>
    <mergeCell ref="B532:E532"/>
    <mergeCell ref="B520:F520"/>
    <mergeCell ref="B521:F521"/>
    <mergeCell ref="F475:I475"/>
    <mergeCell ref="B476:E476"/>
    <mergeCell ref="B477:E477"/>
    <mergeCell ref="B577:E577"/>
    <mergeCell ref="B573:E573"/>
    <mergeCell ref="B575:E575"/>
    <mergeCell ref="B564:E564"/>
    <mergeCell ref="B565:E565"/>
    <mergeCell ref="B566:E566"/>
    <mergeCell ref="B567:E567"/>
    <mergeCell ref="F269:F271"/>
    <mergeCell ref="H269:H271"/>
    <mergeCell ref="K269:O271"/>
    <mergeCell ref="B272:E272"/>
    <mergeCell ref="B275:E275"/>
    <mergeCell ref="B277:E277"/>
    <mergeCell ref="B262:F262"/>
    <mergeCell ref="B263:F263"/>
    <mergeCell ref="B264:F264"/>
    <mergeCell ref="B276:E276"/>
    <mergeCell ref="B273:E273"/>
    <mergeCell ref="B231:E231"/>
    <mergeCell ref="B235:E235"/>
    <mergeCell ref="B227:E227"/>
    <mergeCell ref="F227:I227"/>
    <mergeCell ref="B233:E233"/>
    <mergeCell ref="B232:E232"/>
    <mergeCell ref="F231:G231"/>
    <mergeCell ref="H231:I231"/>
    <mergeCell ref="B246:D246"/>
    <mergeCell ref="F239:I239"/>
    <mergeCell ref="B243:D243"/>
    <mergeCell ref="B244:D244"/>
    <mergeCell ref="B245:D245"/>
    <mergeCell ref="B242:D242"/>
    <mergeCell ref="B188:E188"/>
    <mergeCell ref="B195:E195"/>
    <mergeCell ref="B192:E192"/>
    <mergeCell ref="B193:E193"/>
    <mergeCell ref="B194:E194"/>
    <mergeCell ref="B191:E191"/>
    <mergeCell ref="B224:E224"/>
    <mergeCell ref="F224:I224"/>
    <mergeCell ref="B225:E225"/>
    <mergeCell ref="F225:I225"/>
    <mergeCell ref="B220:E220"/>
    <mergeCell ref="B221:E221"/>
    <mergeCell ref="B222:E222"/>
    <mergeCell ref="B223:E223"/>
    <mergeCell ref="F223:I223"/>
    <mergeCell ref="B213:G213"/>
    <mergeCell ref="B162:D162"/>
    <mergeCell ref="B170:F170"/>
    <mergeCell ref="B176:F176"/>
    <mergeCell ref="B177:F177"/>
    <mergeCell ref="B178:F178"/>
    <mergeCell ref="B160:D160"/>
    <mergeCell ref="B161:D161"/>
    <mergeCell ref="B169:F169"/>
    <mergeCell ref="B175:F175"/>
    <mergeCell ref="B157:D157"/>
    <mergeCell ref="B158:D158"/>
    <mergeCell ref="B159:D159"/>
    <mergeCell ref="B147:E147"/>
    <mergeCell ref="B148:E148"/>
    <mergeCell ref="B145:I145"/>
    <mergeCell ref="B146:E146"/>
    <mergeCell ref="F146:G146"/>
    <mergeCell ref="H146:I146"/>
    <mergeCell ref="B150:E150"/>
    <mergeCell ref="F152:I152"/>
    <mergeCell ref="F154:I154"/>
    <mergeCell ref="B156:D156"/>
    <mergeCell ref="B141:E141"/>
    <mergeCell ref="F141:I141"/>
    <mergeCell ref="B142:E142"/>
    <mergeCell ref="F142:I142"/>
    <mergeCell ref="B138:E138"/>
    <mergeCell ref="F138:I138"/>
    <mergeCell ref="B139:E139"/>
    <mergeCell ref="F139:I139"/>
    <mergeCell ref="B140:E140"/>
    <mergeCell ref="F140:I140"/>
    <mergeCell ref="B132:I132"/>
    <mergeCell ref="B134:E134"/>
    <mergeCell ref="B135:E135"/>
    <mergeCell ref="B136:E136"/>
    <mergeCell ref="B137:E137"/>
    <mergeCell ref="F137:I137"/>
    <mergeCell ref="K99:O101"/>
    <mergeCell ref="B102:E102"/>
    <mergeCell ref="B103:E103"/>
    <mergeCell ref="B105:E105"/>
    <mergeCell ref="B106:E106"/>
    <mergeCell ref="B107:E107"/>
    <mergeCell ref="B108:E108"/>
    <mergeCell ref="B109:E109"/>
    <mergeCell ref="B110:E110"/>
    <mergeCell ref="F133:I133"/>
    <mergeCell ref="B128:G128"/>
    <mergeCell ref="K131:O132"/>
    <mergeCell ref="K135:O135"/>
    <mergeCell ref="B91:F91"/>
    <mergeCell ref="B92:F92"/>
    <mergeCell ref="B93:F93"/>
    <mergeCell ref="B94:F94"/>
    <mergeCell ref="F99:F101"/>
    <mergeCell ref="H99:H101"/>
    <mergeCell ref="B76:D76"/>
    <mergeCell ref="B77:D77"/>
    <mergeCell ref="B84:F84"/>
    <mergeCell ref="B85:F85"/>
    <mergeCell ref="B90:F90"/>
    <mergeCell ref="F69:I69"/>
    <mergeCell ref="B71:D71"/>
    <mergeCell ref="B72:D72"/>
    <mergeCell ref="B73:D73"/>
    <mergeCell ref="B74:D74"/>
    <mergeCell ref="B75:D75"/>
    <mergeCell ref="B61:E61"/>
    <mergeCell ref="F61:G61"/>
    <mergeCell ref="H61:I61"/>
    <mergeCell ref="B65:E65"/>
    <mergeCell ref="F67:I67"/>
    <mergeCell ref="B56:E56"/>
    <mergeCell ref="F56:I56"/>
    <mergeCell ref="B57:E57"/>
    <mergeCell ref="F57:I57"/>
    <mergeCell ref="B63:E63"/>
    <mergeCell ref="B62:E62"/>
    <mergeCell ref="B60:I60"/>
    <mergeCell ref="B54:E54"/>
    <mergeCell ref="F54:I54"/>
    <mergeCell ref="B55:E55"/>
    <mergeCell ref="F55:I55"/>
    <mergeCell ref="B51:E51"/>
    <mergeCell ref="B52:E52"/>
    <mergeCell ref="F52:I52"/>
    <mergeCell ref="B53:E53"/>
    <mergeCell ref="F53:I53"/>
    <mergeCell ref="B49:E49"/>
    <mergeCell ref="B32:D32"/>
    <mergeCell ref="B33:D33"/>
    <mergeCell ref="B34:D34"/>
    <mergeCell ref="B43:G43"/>
    <mergeCell ref="B47:I47"/>
    <mergeCell ref="B17:I23"/>
    <mergeCell ref="K19:N19"/>
    <mergeCell ref="B28:D28"/>
    <mergeCell ref="B29:D29"/>
    <mergeCell ref="B30:D30"/>
    <mergeCell ref="B31:D31"/>
    <mergeCell ref="K46:O47"/>
    <mergeCell ref="F48:I48"/>
    <mergeCell ref="B50:E50"/>
    <mergeCell ref="K50:O50"/>
    <mergeCell ref="B35:D35"/>
    <mergeCell ref="B36:D36"/>
    <mergeCell ref="B37:D37"/>
    <mergeCell ref="B38:D38"/>
    <mergeCell ref="B39:D39"/>
    <mergeCell ref="B40:D40"/>
    <mergeCell ref="F567:I567"/>
    <mergeCell ref="B568:E568"/>
    <mergeCell ref="F568:I568"/>
    <mergeCell ref="B569:E569"/>
    <mergeCell ref="F569:I569"/>
    <mergeCell ref="B621:E621"/>
    <mergeCell ref="B622:E622"/>
    <mergeCell ref="B604:F604"/>
    <mergeCell ref="B605:F605"/>
    <mergeCell ref="B617:E617"/>
    <mergeCell ref="B620:E620"/>
    <mergeCell ref="B602:F602"/>
    <mergeCell ref="B603:F603"/>
    <mergeCell ref="F611:F613"/>
    <mergeCell ref="B618:E618"/>
    <mergeCell ref="B619:E619"/>
    <mergeCell ref="B606:F606"/>
    <mergeCell ref="H611:H613"/>
    <mergeCell ref="B179:F179"/>
    <mergeCell ref="F184:F186"/>
    <mergeCell ref="H184:H186"/>
    <mergeCell ref="K184:O186"/>
    <mergeCell ref="B187:E187"/>
    <mergeCell ref="B190:E190"/>
    <mergeCell ref="K231:O232"/>
    <mergeCell ref="K317:O318"/>
    <mergeCell ref="K144:O145"/>
    <mergeCell ref="K146:O147"/>
    <mergeCell ref="K148:O150"/>
    <mergeCell ref="K173:O173"/>
    <mergeCell ref="K174:O175"/>
    <mergeCell ref="B309:E309"/>
    <mergeCell ref="F309:I309"/>
    <mergeCell ref="B310:E310"/>
    <mergeCell ref="F310:I310"/>
    <mergeCell ref="B311:E311"/>
    <mergeCell ref="F311:I311"/>
    <mergeCell ref="B312:E312"/>
    <mergeCell ref="F312:I312"/>
    <mergeCell ref="B313:E313"/>
    <mergeCell ref="F313:I313"/>
    <mergeCell ref="B255:F255"/>
    <mergeCell ref="B261:F261"/>
    <mergeCell ref="K233:O235"/>
    <mergeCell ref="F237:I237"/>
    <mergeCell ref="B241:D241"/>
    <mergeCell ref="B254:F254"/>
    <mergeCell ref="K258:O258"/>
    <mergeCell ref="K259:O260"/>
    <mergeCell ref="B260:F260"/>
    <mergeCell ref="B247:D247"/>
    <mergeCell ref="K302:O303"/>
    <mergeCell ref="B303:I303"/>
    <mergeCell ref="F304:I304"/>
    <mergeCell ref="B305:E305"/>
    <mergeCell ref="K306:O306"/>
    <mergeCell ref="F308:I308"/>
    <mergeCell ref="K315:O316"/>
    <mergeCell ref="B316:I316"/>
    <mergeCell ref="F317:G317"/>
    <mergeCell ref="H317:I317"/>
    <mergeCell ref="B317:E317"/>
    <mergeCell ref="B306:E306"/>
    <mergeCell ref="B307:E307"/>
    <mergeCell ref="B308:E308"/>
    <mergeCell ref="B359:E359"/>
    <mergeCell ref="B362:E362"/>
    <mergeCell ref="K355:O357"/>
    <mergeCell ref="B350:F350"/>
    <mergeCell ref="B319:E319"/>
    <mergeCell ref="B329:D329"/>
    <mergeCell ref="B330:D330"/>
    <mergeCell ref="B349:F349"/>
    <mergeCell ref="B384:G384"/>
    <mergeCell ref="K319:O321"/>
    <mergeCell ref="F323:I323"/>
    <mergeCell ref="B327:D327"/>
    <mergeCell ref="B328:D328"/>
    <mergeCell ref="B340:F340"/>
    <mergeCell ref="B341:F341"/>
    <mergeCell ref="K344:O344"/>
    <mergeCell ref="K345:O346"/>
    <mergeCell ref="B346:F346"/>
    <mergeCell ref="F325:I325"/>
    <mergeCell ref="B333:D333"/>
    <mergeCell ref="B348:F348"/>
    <mergeCell ref="B331:D331"/>
    <mergeCell ref="B332:D332"/>
    <mergeCell ref="B347:F347"/>
    <mergeCell ref="K387:O388"/>
    <mergeCell ref="B388:I388"/>
    <mergeCell ref="B391:E391"/>
    <mergeCell ref="F394:I394"/>
    <mergeCell ref="F389:I389"/>
    <mergeCell ref="B366:E366"/>
    <mergeCell ref="B364:E364"/>
    <mergeCell ref="B365:E365"/>
    <mergeCell ref="B390:E390"/>
    <mergeCell ref="K391:O391"/>
    <mergeCell ref="F393:I393"/>
    <mergeCell ref="B392:E392"/>
    <mergeCell ref="B393:E393"/>
    <mergeCell ref="K400:O401"/>
    <mergeCell ref="B401:I401"/>
    <mergeCell ref="B402:E402"/>
    <mergeCell ref="F402:G402"/>
    <mergeCell ref="H402:I402"/>
    <mergeCell ref="K402:O403"/>
    <mergeCell ref="B394:E394"/>
    <mergeCell ref="B395:E395"/>
    <mergeCell ref="F395:I395"/>
    <mergeCell ref="B396:E396"/>
    <mergeCell ref="F396:I396"/>
    <mergeCell ref="B397:E397"/>
    <mergeCell ref="F397:I397"/>
    <mergeCell ref="B398:E398"/>
    <mergeCell ref="F398:I398"/>
    <mergeCell ref="B413:D413"/>
    <mergeCell ref="B414:D414"/>
    <mergeCell ref="B426:F426"/>
    <mergeCell ref="B432:F432"/>
    <mergeCell ref="K404:O406"/>
    <mergeCell ref="F408:I408"/>
    <mergeCell ref="F410:I410"/>
    <mergeCell ref="B412:D412"/>
    <mergeCell ref="B425:F425"/>
    <mergeCell ref="K429:O429"/>
    <mergeCell ref="K430:O431"/>
    <mergeCell ref="B431:F431"/>
    <mergeCell ref="B416:D416"/>
    <mergeCell ref="B417:D417"/>
    <mergeCell ref="B415:D415"/>
    <mergeCell ref="B418:D418"/>
    <mergeCell ref="B406:E406"/>
    <mergeCell ref="B404:E404"/>
    <mergeCell ref="B433:F433"/>
    <mergeCell ref="B444:E444"/>
    <mergeCell ref="B448:E448"/>
    <mergeCell ref="B470:G470"/>
    <mergeCell ref="K473:O474"/>
    <mergeCell ref="B474:I474"/>
    <mergeCell ref="F440:F442"/>
    <mergeCell ref="H440:H442"/>
    <mergeCell ref="K440:O442"/>
    <mergeCell ref="B443:E443"/>
    <mergeCell ref="B449:E449"/>
    <mergeCell ref="B450:E450"/>
    <mergeCell ref="K477:O477"/>
    <mergeCell ref="F479:I479"/>
    <mergeCell ref="F480:I480"/>
    <mergeCell ref="K486:O487"/>
    <mergeCell ref="B487:I487"/>
    <mergeCell ref="B488:E488"/>
    <mergeCell ref="F488:G488"/>
    <mergeCell ref="H488:I488"/>
    <mergeCell ref="K488:O489"/>
    <mergeCell ref="B483:E483"/>
    <mergeCell ref="F483:I483"/>
    <mergeCell ref="B481:E481"/>
    <mergeCell ref="F481:I481"/>
    <mergeCell ref="B482:E482"/>
    <mergeCell ref="F482:I482"/>
    <mergeCell ref="B478:E478"/>
    <mergeCell ref="B479:E479"/>
    <mergeCell ref="B480:E480"/>
    <mergeCell ref="B484:E484"/>
    <mergeCell ref="B489:E489"/>
    <mergeCell ref="F484:I484"/>
    <mergeCell ref="K490:O492"/>
    <mergeCell ref="F494:I494"/>
    <mergeCell ref="F496:I496"/>
    <mergeCell ref="B498:D498"/>
    <mergeCell ref="B499:D499"/>
    <mergeCell ref="B500:D500"/>
    <mergeCell ref="B511:F511"/>
    <mergeCell ref="B512:F512"/>
    <mergeCell ref="K515:O515"/>
    <mergeCell ref="B492:E492"/>
    <mergeCell ref="B490:E490"/>
    <mergeCell ref="K516:O517"/>
    <mergeCell ref="B517:F517"/>
    <mergeCell ref="B518:F518"/>
    <mergeCell ref="B519:F519"/>
    <mergeCell ref="F526:F528"/>
    <mergeCell ref="H526:H528"/>
    <mergeCell ref="K526:O528"/>
    <mergeCell ref="B529:E529"/>
    <mergeCell ref="B530:E530"/>
    <mergeCell ref="B534:E534"/>
    <mergeCell ref="B563:E563"/>
    <mergeCell ref="F566:I566"/>
    <mergeCell ref="B555:G555"/>
    <mergeCell ref="K558:O559"/>
    <mergeCell ref="B559:I559"/>
    <mergeCell ref="F560:I560"/>
    <mergeCell ref="B562:E562"/>
    <mergeCell ref="K562:O562"/>
    <mergeCell ref="F564:I564"/>
    <mergeCell ref="F565:I565"/>
    <mergeCell ref="B535:E535"/>
    <mergeCell ref="B536:E536"/>
    <mergeCell ref="B537:E537"/>
    <mergeCell ref="B561:E561"/>
    <mergeCell ref="K216:O217"/>
    <mergeCell ref="B217:I217"/>
    <mergeCell ref="F218:I218"/>
    <mergeCell ref="B219:E219"/>
    <mergeCell ref="K220:O220"/>
    <mergeCell ref="F222:I222"/>
    <mergeCell ref="K229:O230"/>
    <mergeCell ref="B230:I230"/>
    <mergeCell ref="B226:E226"/>
    <mergeCell ref="F226:I226"/>
    <mergeCell ref="K611:O613"/>
    <mergeCell ref="B614:E614"/>
    <mergeCell ref="B615:E615"/>
    <mergeCell ref="K571:O572"/>
    <mergeCell ref="B572:I572"/>
    <mergeCell ref="F573:G573"/>
    <mergeCell ref="H573:I573"/>
    <mergeCell ref="B574:E574"/>
    <mergeCell ref="K575:O577"/>
    <mergeCell ref="F579:I579"/>
    <mergeCell ref="B583:D583"/>
    <mergeCell ref="B584:D584"/>
    <mergeCell ref="K573:O574"/>
    <mergeCell ref="F581:I581"/>
    <mergeCell ref="B585:D585"/>
    <mergeCell ref="B586:D586"/>
    <mergeCell ref="B587:D587"/>
    <mergeCell ref="B588:D588"/>
    <mergeCell ref="B589:D589"/>
    <mergeCell ref="B596:F596"/>
    <mergeCell ref="B597:F597"/>
    <mergeCell ref="K600:O600"/>
    <mergeCell ref="K601:O602"/>
  </mergeCells>
  <dataValidations count="8">
    <dataValidation type="list" allowBlank="1" showInputMessage="1" showErrorMessage="1" sqref="I101 I186 I271 I357 I442 I528 I613 I698 I783 I868 I953 I1038 I1123" xr:uid="{00000000-0002-0000-0500-000000000000}">
      <formula1>"Days, Months"</formula1>
    </dataValidation>
    <dataValidation type="list" allowBlank="1" showInputMessage="1" showErrorMessage="1" sqref="H61 H146 H231 H317 H402 H488 H573 H658 H743 H828 H913 H998 H1083" xr:uid="{00000000-0002-0000-0500-000001000000}">
      <formula1>"Months, Days"</formula1>
    </dataValidation>
    <dataValidation type="list" allowBlank="1" showInputMessage="1" showErrorMessage="1" sqref="F569:I569 F313:I313 F398:I398 F57:I57 F142:I142 F227:I227 F484:I484 F654:I654 F739:I739 F824:I824 F909:I909 F994:I994 F1079:I1079" xr:uid="{00000000-0002-0000-0500-000002000000}">
      <formula1>"Patented Exclusive or Off Patent Exclusive and subject to clause 10 of Framework Agreement, Off Patent Non-Exclusive or Generic, N/A"</formula1>
    </dataValidation>
    <dataValidation type="list" allowBlank="1" showInputMessage="1" showErrorMessage="1" sqref="F56:I56 F141:I141 F226:I226 F312:I312 F397:I397 F483:I483 F568:I568 F653:I653 F738:I738 F823:I823 F908:I908 F993:I993 F1078:I1078" xr:uid="{00000000-0002-0000-0500-000003000000}">
      <formula1>"Biosimilar, Patented or Off Patent Exclusive, Off Patent Non-Exclusive 12.5% Rebate incorporated into Price to Wholesaler, Off Patent Non-Exclusive 12.5% Rebate, N/A"</formula1>
    </dataValidation>
    <dataValidation type="list" allowBlank="1" showInputMessage="1" showErrorMessage="1" sqref="F50:I50 F135:I135 F220:I220 F306:I306 F391:I391 F477:I477 F562:I562 F647:I647 F732:I732 F817:I817 F902:I902 F987:I987 F1072:I1072" xr:uid="{00000000-0002-0000-0500-000004000000}">
      <formula1>"Price to Wholesaler, Reimbursement Price"</formula1>
    </dataValidation>
    <dataValidation type="list" allowBlank="1" showInputMessage="1" showErrorMessage="1" sqref="F55 F140 F225 F311 F396 F482 F567 F652 F737 F822 F907 F992 F1077" xr:uid="{00000000-0002-0000-0500-000005000000}">
      <formula1>"Yes,No"</formula1>
    </dataValidation>
    <dataValidation type="list" allowBlank="1" showInputMessage="1" showErrorMessage="1" sqref="F52 F137 F222 F308 F393 F479 F564 F649 F734 F819 F904 F989 F1074" xr:uid="{00000000-0002-0000-0500-000006000000}">
      <formula1>"CDS,HT,Hosp"</formula1>
    </dataValidation>
    <dataValidation type="list" allowBlank="1" showInputMessage="1" showErrorMessage="1" sqref="F53:F54 F138:F139 F223:F224 F309:F310 F394:F395 F480:F481 F565:F566 F650:F651 F735:F736 F820:F821 F905:F906 F990:F991 F1075:F1076" xr:uid="{00000000-0002-0000-0500-000007000000}">
      <formula1>"Yes, No"</formula1>
    </dataValidation>
  </dataValidations>
  <hyperlinks>
    <hyperlink ref="K19:N19" r:id="rId1" display="NCPE Drug Cost Guidelines"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goto_References">
                <anchor moveWithCells="1" sizeWithCells="1">
                  <from>
                    <xdr:col>0</xdr:col>
                    <xdr:colOff>76200</xdr:colOff>
                    <xdr:row>50</xdr:row>
                    <xdr:rowOff>28575</xdr:rowOff>
                  </from>
                  <to>
                    <xdr:col>0</xdr:col>
                    <xdr:colOff>523875</xdr:colOff>
                    <xdr:row>51</xdr:row>
                    <xdr:rowOff>0</xdr:rowOff>
                  </to>
                </anchor>
              </controlPr>
            </control>
          </mc:Choice>
        </mc:AlternateContent>
        <mc:AlternateContent xmlns:mc="http://schemas.openxmlformats.org/markup-compatibility/2006">
          <mc:Choice Requires="x14">
            <control shapeId="11293" r:id="rId6" name="Button 29">
              <controlPr defaultSize="0" print="0" autoFill="0" autoPict="0" macro="[0]!goto_References">
                <anchor moveWithCells="1" sizeWithCells="1">
                  <from>
                    <xdr:col>0</xdr:col>
                    <xdr:colOff>76200</xdr:colOff>
                    <xdr:row>135</xdr:row>
                    <xdr:rowOff>28575</xdr:rowOff>
                  </from>
                  <to>
                    <xdr:col>0</xdr:col>
                    <xdr:colOff>523875</xdr:colOff>
                    <xdr:row>136</xdr:row>
                    <xdr:rowOff>0</xdr:rowOff>
                  </to>
                </anchor>
              </controlPr>
            </control>
          </mc:Choice>
        </mc:AlternateContent>
        <mc:AlternateContent xmlns:mc="http://schemas.openxmlformats.org/markup-compatibility/2006">
          <mc:Choice Requires="x14">
            <control shapeId="11294" r:id="rId7" name="Button 30">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1295" r:id="rId8" name="Button 31">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1296" r:id="rId9" name="Button 32">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1297" r:id="rId10" name="Button 33">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1298" r:id="rId11" name="Button 34">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1299" r:id="rId12" name="Button 35">
              <controlPr defaultSize="0" print="0" autoFill="0" autoPict="0" macro="[0]!goto_References">
                <anchor moveWithCells="1" sizeWithCells="1">
                  <from>
                    <xdr:col>0</xdr:col>
                    <xdr:colOff>76200</xdr:colOff>
                    <xdr:row>647</xdr:row>
                    <xdr:rowOff>28575</xdr:rowOff>
                  </from>
                  <to>
                    <xdr:col>0</xdr:col>
                    <xdr:colOff>523875</xdr:colOff>
                    <xdr:row>648</xdr:row>
                    <xdr:rowOff>0</xdr:rowOff>
                  </to>
                </anchor>
              </controlPr>
            </control>
          </mc:Choice>
        </mc:AlternateContent>
        <mc:AlternateContent xmlns:mc="http://schemas.openxmlformats.org/markup-compatibility/2006">
          <mc:Choice Requires="x14">
            <control shapeId="11300" r:id="rId13" name="Button 36">
              <controlPr defaultSize="0" print="0" autoFill="0" autoPict="0" macro="[0]!goto_References">
                <anchor moveWithCells="1" sizeWithCells="1">
                  <from>
                    <xdr:col>0</xdr:col>
                    <xdr:colOff>76200</xdr:colOff>
                    <xdr:row>732</xdr:row>
                    <xdr:rowOff>28575</xdr:rowOff>
                  </from>
                  <to>
                    <xdr:col>0</xdr:col>
                    <xdr:colOff>523875</xdr:colOff>
                    <xdr:row>733</xdr:row>
                    <xdr:rowOff>0</xdr:rowOff>
                  </to>
                </anchor>
              </controlPr>
            </control>
          </mc:Choice>
        </mc:AlternateContent>
        <mc:AlternateContent xmlns:mc="http://schemas.openxmlformats.org/markup-compatibility/2006">
          <mc:Choice Requires="x14">
            <control shapeId="11301" r:id="rId14" name="Button 37">
              <controlPr defaultSize="0" print="0" autoFill="0" autoPict="0" macro="[0]!goto_References">
                <anchor moveWithCells="1" sizeWithCells="1">
                  <from>
                    <xdr:col>0</xdr:col>
                    <xdr:colOff>76200</xdr:colOff>
                    <xdr:row>817</xdr:row>
                    <xdr:rowOff>28575</xdr:rowOff>
                  </from>
                  <to>
                    <xdr:col>0</xdr:col>
                    <xdr:colOff>523875</xdr:colOff>
                    <xdr:row>818</xdr:row>
                    <xdr:rowOff>0</xdr:rowOff>
                  </to>
                </anchor>
              </controlPr>
            </control>
          </mc:Choice>
        </mc:AlternateContent>
        <mc:AlternateContent xmlns:mc="http://schemas.openxmlformats.org/markup-compatibility/2006">
          <mc:Choice Requires="x14">
            <control shapeId="11302" r:id="rId15" name="Button 38">
              <controlPr defaultSize="0" print="0" autoFill="0" autoPict="0" macro="[0]!goto_References">
                <anchor moveWithCells="1" sizeWithCells="1">
                  <from>
                    <xdr:col>0</xdr:col>
                    <xdr:colOff>76200</xdr:colOff>
                    <xdr:row>902</xdr:row>
                    <xdr:rowOff>28575</xdr:rowOff>
                  </from>
                  <to>
                    <xdr:col>0</xdr:col>
                    <xdr:colOff>523875</xdr:colOff>
                    <xdr:row>903</xdr:row>
                    <xdr:rowOff>0</xdr:rowOff>
                  </to>
                </anchor>
              </controlPr>
            </control>
          </mc:Choice>
        </mc:AlternateContent>
        <mc:AlternateContent xmlns:mc="http://schemas.openxmlformats.org/markup-compatibility/2006">
          <mc:Choice Requires="x14">
            <control shapeId="11303" r:id="rId16" name="Button 39">
              <controlPr defaultSize="0" print="0" autoFill="0" autoPict="0" macro="[0]!goto_References">
                <anchor moveWithCells="1" sizeWithCells="1">
                  <from>
                    <xdr:col>0</xdr:col>
                    <xdr:colOff>76200</xdr:colOff>
                    <xdr:row>987</xdr:row>
                    <xdr:rowOff>28575</xdr:rowOff>
                  </from>
                  <to>
                    <xdr:col>0</xdr:col>
                    <xdr:colOff>523875</xdr:colOff>
                    <xdr:row>988</xdr:row>
                    <xdr:rowOff>0</xdr:rowOff>
                  </to>
                </anchor>
              </controlPr>
            </control>
          </mc:Choice>
        </mc:AlternateContent>
        <mc:AlternateContent xmlns:mc="http://schemas.openxmlformats.org/markup-compatibility/2006">
          <mc:Choice Requires="x14">
            <control shapeId="11304" r:id="rId17" name="Button 40">
              <controlPr defaultSize="0" print="0" autoFill="0" autoPict="0" macro="[0]!goto_References">
                <anchor moveWithCells="1" sizeWithCells="1">
                  <from>
                    <xdr:col>0</xdr:col>
                    <xdr:colOff>76200</xdr:colOff>
                    <xdr:row>1072</xdr:row>
                    <xdr:rowOff>28575</xdr:rowOff>
                  </from>
                  <to>
                    <xdr:col>0</xdr:col>
                    <xdr:colOff>523875</xdr:colOff>
                    <xdr:row>1073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FF00"/>
  </sheetPr>
  <dimension ref="A6:V1159"/>
  <sheetViews>
    <sheetView topLeftCell="H1" zoomScale="75" zoomScaleNormal="75" workbookViewId="0">
      <selection activeCell="K19" sqref="K19:N19"/>
    </sheetView>
  </sheetViews>
  <sheetFormatPr defaultColWidth="9.140625" defaultRowHeight="15" x14ac:dyDescent="0.25"/>
  <cols>
    <col min="1" max="1" width="9.140625" style="1"/>
    <col min="2" max="3" width="10" style="26" customWidth="1"/>
    <col min="4" max="4" width="37.28515625" style="26" customWidth="1"/>
    <col min="5" max="5" width="18.85546875" style="1" customWidth="1"/>
    <col min="6" max="6" width="19.28515625" style="1" customWidth="1"/>
    <col min="7" max="7" width="18.85546875" style="1" customWidth="1"/>
    <col min="8" max="8" width="19.140625" style="1" customWidth="1"/>
    <col min="9" max="9" width="19.28515625" style="1" customWidth="1"/>
    <col min="10" max="10" width="2.28515625" style="107" customWidth="1"/>
    <col min="11" max="11" width="25" style="1" customWidth="1"/>
    <col min="12" max="12" width="23.7109375" style="1" customWidth="1"/>
    <col min="13" max="13" width="15.7109375" style="1" customWidth="1"/>
    <col min="14" max="14" width="18.42578125" style="1" customWidth="1"/>
    <col min="15" max="15" width="29.28515625" style="1" customWidth="1"/>
    <col min="16" max="16" width="22" style="1" bestFit="1" customWidth="1"/>
    <col min="17" max="17" width="9.140625" style="1"/>
    <col min="18" max="18" width="13.28515625" style="1" bestFit="1" customWidth="1"/>
    <col min="19" max="16384" width="9.140625" style="1"/>
  </cols>
  <sheetData>
    <row r="6" spans="3:3" x14ac:dyDescent="0.25">
      <c r="C6" s="1"/>
    </row>
    <row r="17" spans="2:15" ht="15" customHeight="1" x14ac:dyDescent="0.25">
      <c r="B17" s="516" t="s">
        <v>266</v>
      </c>
      <c r="C17" s="516"/>
      <c r="D17" s="516"/>
      <c r="E17" s="516"/>
      <c r="F17" s="516"/>
      <c r="G17" s="516"/>
      <c r="H17" s="516"/>
      <c r="I17" s="516"/>
      <c r="J17" s="126"/>
      <c r="K17" s="105"/>
      <c r="L17" s="105"/>
      <c r="M17" s="105"/>
      <c r="N17" s="5"/>
      <c r="O17" s="5"/>
    </row>
    <row r="18" spans="2:15" x14ac:dyDescent="0.25">
      <c r="B18" s="516"/>
      <c r="C18" s="516"/>
      <c r="D18" s="516"/>
      <c r="E18" s="516"/>
      <c r="F18" s="516"/>
      <c r="G18" s="516"/>
      <c r="H18" s="516"/>
      <c r="I18" s="516"/>
      <c r="J18" s="126"/>
    </row>
    <row r="19" spans="2:15" ht="75" customHeight="1" x14ac:dyDescent="0.25">
      <c r="B19" s="516"/>
      <c r="C19" s="516"/>
      <c r="D19" s="516"/>
      <c r="E19" s="516"/>
      <c r="F19" s="516"/>
      <c r="G19" s="516"/>
      <c r="H19" s="516"/>
      <c r="I19" s="516"/>
      <c r="J19" s="126"/>
      <c r="K19" s="517" t="s">
        <v>105</v>
      </c>
      <c r="L19" s="517"/>
      <c r="M19" s="517"/>
      <c r="N19" s="517"/>
    </row>
    <row r="20" spans="2:15" x14ac:dyDescent="0.25">
      <c r="B20" s="516"/>
      <c r="C20" s="516"/>
      <c r="D20" s="516"/>
      <c r="E20" s="516"/>
      <c r="F20" s="516"/>
      <c r="G20" s="516"/>
      <c r="H20" s="516"/>
      <c r="I20" s="516"/>
      <c r="J20" s="126"/>
      <c r="K20" s="105"/>
      <c r="L20" s="105"/>
      <c r="M20" s="105"/>
      <c r="N20" s="5"/>
      <c r="O20" s="5"/>
    </row>
    <row r="21" spans="2:15" x14ac:dyDescent="0.25">
      <c r="B21" s="516"/>
      <c r="C21" s="516"/>
      <c r="D21" s="516"/>
      <c r="E21" s="516"/>
      <c r="F21" s="516"/>
      <c r="G21" s="516"/>
      <c r="H21" s="516"/>
      <c r="I21" s="516"/>
      <c r="J21" s="106"/>
      <c r="K21" s="225"/>
      <c r="L21" s="225"/>
      <c r="M21" s="225"/>
    </row>
    <row r="22" spans="2:15" x14ac:dyDescent="0.25">
      <c r="B22" s="516"/>
      <c r="C22" s="516"/>
      <c r="D22" s="516"/>
      <c r="E22" s="516"/>
      <c r="F22" s="516"/>
      <c r="G22" s="516"/>
      <c r="H22" s="516"/>
      <c r="I22" s="516"/>
      <c r="J22" s="106"/>
      <c r="K22" s="225"/>
      <c r="L22" s="225"/>
      <c r="M22" s="225"/>
    </row>
    <row r="23" spans="2:15" ht="63" customHeight="1" x14ac:dyDescent="0.25">
      <c r="B23" s="516"/>
      <c r="C23" s="516"/>
      <c r="D23" s="516"/>
      <c r="E23" s="516"/>
      <c r="F23" s="516"/>
      <c r="G23" s="516"/>
      <c r="H23" s="516"/>
      <c r="I23" s="516"/>
      <c r="J23" s="106"/>
      <c r="K23" s="225"/>
      <c r="L23" s="225"/>
      <c r="M23" s="225"/>
    </row>
    <row r="24" spans="2:15" x14ac:dyDescent="0.25">
      <c r="B24" s="291"/>
      <c r="C24" s="291"/>
      <c r="D24" s="291"/>
      <c r="E24" s="305"/>
      <c r="F24" s="305"/>
      <c r="G24" s="305"/>
      <c r="H24" s="305"/>
      <c r="I24" s="305"/>
      <c r="J24" s="106"/>
      <c r="K24" s="225"/>
      <c r="L24" s="225"/>
      <c r="M24" s="225"/>
    </row>
    <row r="25" spans="2:15" x14ac:dyDescent="0.25">
      <c r="B25" s="14"/>
    </row>
    <row r="26" spans="2:15" ht="15.75" thickBot="1" x14ac:dyDescent="0.3">
      <c r="B26" s="98" t="s">
        <v>100</v>
      </c>
    </row>
    <row r="27" spans="2:15" ht="15.75" thickBot="1" x14ac:dyDescent="0.3">
      <c r="B27" s="14"/>
      <c r="E27" s="309" t="s">
        <v>6</v>
      </c>
      <c r="F27" s="293" t="s">
        <v>7</v>
      </c>
      <c r="G27" s="293" t="s">
        <v>8</v>
      </c>
      <c r="H27" s="293" t="s">
        <v>9</v>
      </c>
      <c r="I27" s="310" t="s">
        <v>10</v>
      </c>
    </row>
    <row r="28" spans="2:15" ht="15.75" thickBot="1" x14ac:dyDescent="0.3">
      <c r="B28" s="518" t="str">
        <f>CONCATENATE("Intervention: ",InterventionINN)</f>
        <v xml:space="preserve">Intervention: </v>
      </c>
      <c r="C28" s="519"/>
      <c r="D28" s="520"/>
      <c r="E28" s="324"/>
      <c r="F28" s="324"/>
      <c r="G28" s="324"/>
      <c r="H28" s="324"/>
      <c r="I28" s="324"/>
      <c r="K28" s="365"/>
    </row>
    <row r="29" spans="2:15" ht="15.75" thickBot="1" x14ac:dyDescent="0.3">
      <c r="B29" s="518" t="str">
        <f>CONCATENATE("Comparator 1: ",NameComparator1)</f>
        <v xml:space="preserve">Comparator 1: </v>
      </c>
      <c r="C29" s="519"/>
      <c r="D29" s="520"/>
      <c r="E29" s="123" t="str">
        <f>IF('Drug Acquisition Costs'!E29="","",'Drug Acquisition Costs'!E29)</f>
        <v/>
      </c>
      <c r="F29" s="123" t="str">
        <f>IF('Drug Acquisition Costs'!F29="","",'Drug Acquisition Costs'!F29)</f>
        <v/>
      </c>
      <c r="G29" s="123" t="str">
        <f>IF('Drug Acquisition Costs'!G29="","",'Drug Acquisition Costs'!G29)</f>
        <v/>
      </c>
      <c r="H29" s="123" t="str">
        <f>IF('Drug Acquisition Costs'!H29="","",'Drug Acquisition Costs'!H29)</f>
        <v/>
      </c>
      <c r="I29" s="123" t="str">
        <f>IF('Drug Acquisition Costs'!I29="","",'Drug Acquisition Costs'!I29)</f>
        <v/>
      </c>
      <c r="K29" s="365"/>
    </row>
    <row r="30" spans="2:15" ht="15.75" thickBot="1" x14ac:dyDescent="0.3">
      <c r="B30" s="518" t="str">
        <f>CONCATENATE("Comparator 2: ",NameComparator2)</f>
        <v xml:space="preserve">Comparator 2: </v>
      </c>
      <c r="C30" s="519"/>
      <c r="D30" s="520"/>
      <c r="E30" s="123" t="str">
        <f>IF('Drug Acquisition Costs'!E30="","",'Drug Acquisition Costs'!E30)</f>
        <v/>
      </c>
      <c r="F30" s="123" t="str">
        <f>IF('Drug Acquisition Costs'!F30="","",'Drug Acquisition Costs'!F30)</f>
        <v/>
      </c>
      <c r="G30" s="123" t="str">
        <f>IF('Drug Acquisition Costs'!G30="","",'Drug Acquisition Costs'!G30)</f>
        <v/>
      </c>
      <c r="H30" s="123" t="str">
        <f>IF('Drug Acquisition Costs'!H30="","",'Drug Acquisition Costs'!H30)</f>
        <v/>
      </c>
      <c r="I30" s="123" t="str">
        <f>IF('Drug Acquisition Costs'!I30="","",'Drug Acquisition Costs'!I30)</f>
        <v/>
      </c>
      <c r="K30" s="365"/>
    </row>
    <row r="31" spans="2:15" ht="15.75" thickBot="1" x14ac:dyDescent="0.3">
      <c r="B31" s="518" t="str">
        <f>CONCATENATE("Comparator 3: ",NameComparator3)</f>
        <v xml:space="preserve">Comparator 3: </v>
      </c>
      <c r="C31" s="519"/>
      <c r="D31" s="520"/>
      <c r="E31" s="123" t="str">
        <f>IF('Drug Acquisition Costs'!E31="","",'Drug Acquisition Costs'!E31)</f>
        <v/>
      </c>
      <c r="F31" s="123" t="str">
        <f>IF('Drug Acquisition Costs'!F31="","",'Drug Acquisition Costs'!F31)</f>
        <v/>
      </c>
      <c r="G31" s="123" t="str">
        <f>IF('Drug Acquisition Costs'!G31="","",'Drug Acquisition Costs'!G31)</f>
        <v/>
      </c>
      <c r="H31" s="123" t="str">
        <f>IF('Drug Acquisition Costs'!H31="","",'Drug Acquisition Costs'!H31)</f>
        <v/>
      </c>
      <c r="I31" s="123" t="str">
        <f>IF('Drug Acquisition Costs'!I31="","",'Drug Acquisition Costs'!I31)</f>
        <v/>
      </c>
    </row>
    <row r="32" spans="2:15" ht="15.75" thickBot="1" x14ac:dyDescent="0.3">
      <c r="B32" s="518" t="str">
        <f>CONCATENATE("Comparator 4: ",NameComparator4)</f>
        <v xml:space="preserve">Comparator 4: </v>
      </c>
      <c r="C32" s="519"/>
      <c r="D32" s="520"/>
      <c r="E32" s="123" t="str">
        <f>IF('Drug Acquisition Costs'!E32="","",'Drug Acquisition Costs'!E32)</f>
        <v/>
      </c>
      <c r="F32" s="123" t="str">
        <f>IF('Drug Acquisition Costs'!F32="","",'Drug Acquisition Costs'!F32)</f>
        <v/>
      </c>
      <c r="G32" s="123" t="str">
        <f>IF('Drug Acquisition Costs'!G32="","",'Drug Acquisition Costs'!G32)</f>
        <v/>
      </c>
      <c r="H32" s="123" t="str">
        <f>IF('Drug Acquisition Costs'!H32="","",'Drug Acquisition Costs'!H32)</f>
        <v/>
      </c>
      <c r="I32" s="123" t="str">
        <f>IF('Drug Acquisition Costs'!I32="","",'Drug Acquisition Costs'!I32)</f>
        <v/>
      </c>
    </row>
    <row r="33" spans="2:22" ht="15.75" thickBot="1" x14ac:dyDescent="0.3">
      <c r="B33" s="518" t="str">
        <f>CONCATENATE("Comparator 5: ",NameComparator5)</f>
        <v xml:space="preserve">Comparator 5: </v>
      </c>
      <c r="C33" s="519"/>
      <c r="D33" s="520"/>
      <c r="E33" s="123" t="str">
        <f>IF('Drug Acquisition Costs'!E33="","",'Drug Acquisition Costs'!E33)</f>
        <v/>
      </c>
      <c r="F33" s="123" t="str">
        <f>IF('Drug Acquisition Costs'!F33="","",'Drug Acquisition Costs'!F33)</f>
        <v/>
      </c>
      <c r="G33" s="123" t="str">
        <f>IF('Drug Acquisition Costs'!G33="","",'Drug Acquisition Costs'!G33)</f>
        <v/>
      </c>
      <c r="H33" s="123" t="str">
        <f>IF('Drug Acquisition Costs'!H33="","",'Drug Acquisition Costs'!H33)</f>
        <v/>
      </c>
      <c r="I33" s="123" t="str">
        <f>IF('Drug Acquisition Costs'!I33="","",'Drug Acquisition Costs'!I33)</f>
        <v/>
      </c>
      <c r="N33" s="103"/>
    </row>
    <row r="34" spans="2:22" ht="15.75" thickBot="1" x14ac:dyDescent="0.3">
      <c r="B34" s="518" t="str">
        <f>CONCATENATE("Comparator 6: ",NameComparator6)</f>
        <v xml:space="preserve">Comparator 6: </v>
      </c>
      <c r="C34" s="519"/>
      <c r="D34" s="520"/>
      <c r="E34" s="123" t="str">
        <f>IF('Drug Acquisition Costs'!E34="","",'Drug Acquisition Costs'!E34)</f>
        <v/>
      </c>
      <c r="F34" s="123" t="str">
        <f>IF('Drug Acquisition Costs'!F34="","",'Drug Acquisition Costs'!F34)</f>
        <v/>
      </c>
      <c r="G34" s="123" t="str">
        <f>IF('Drug Acquisition Costs'!G34="","",'Drug Acquisition Costs'!G34)</f>
        <v/>
      </c>
      <c r="H34" s="123" t="str">
        <f>IF('Drug Acquisition Costs'!H34="","",'Drug Acquisition Costs'!H34)</f>
        <v/>
      </c>
      <c r="I34" s="123" t="str">
        <f>IF('Drug Acquisition Costs'!I34="","",'Drug Acquisition Costs'!I34)</f>
        <v/>
      </c>
    </row>
    <row r="35" spans="2:22" ht="15.75" thickBot="1" x14ac:dyDescent="0.3">
      <c r="B35" s="518" t="str">
        <f>CONCATENATE("Comparator 7: ",NameComparator7)</f>
        <v xml:space="preserve">Comparator 7: </v>
      </c>
      <c r="C35" s="519"/>
      <c r="D35" s="520"/>
      <c r="E35" s="123" t="str">
        <f>IF('Drug Acquisition Costs'!E35="","",'Drug Acquisition Costs'!E35)</f>
        <v/>
      </c>
      <c r="F35" s="123" t="str">
        <f>IF('Drug Acquisition Costs'!F35="","",'Drug Acquisition Costs'!F35)</f>
        <v/>
      </c>
      <c r="G35" s="123" t="str">
        <f>IF('Drug Acquisition Costs'!G35="","",'Drug Acquisition Costs'!G35)</f>
        <v/>
      </c>
      <c r="H35" s="123" t="str">
        <f>IF('Drug Acquisition Costs'!H35="","",'Drug Acquisition Costs'!H35)</f>
        <v/>
      </c>
      <c r="I35" s="123" t="str">
        <f>IF('Drug Acquisition Costs'!I35="","",'Drug Acquisition Costs'!I35)</f>
        <v/>
      </c>
    </row>
    <row r="36" spans="2:22" ht="15.75" thickBot="1" x14ac:dyDescent="0.3">
      <c r="B36" s="518" t="str">
        <f>CONCATENATE("Comparator 8: ",NameComparator8)</f>
        <v xml:space="preserve">Comparator 8: </v>
      </c>
      <c r="C36" s="519"/>
      <c r="D36" s="520"/>
      <c r="E36" s="123" t="str">
        <f>IF('Drug Acquisition Costs'!E36="","",'Drug Acquisition Costs'!E36)</f>
        <v/>
      </c>
      <c r="F36" s="123" t="str">
        <f>IF('Drug Acquisition Costs'!F36="","",'Drug Acquisition Costs'!F36)</f>
        <v/>
      </c>
      <c r="G36" s="123" t="str">
        <f>IF('Drug Acquisition Costs'!G36="","",'Drug Acquisition Costs'!G36)</f>
        <v/>
      </c>
      <c r="H36" s="123" t="str">
        <f>IF('Drug Acquisition Costs'!H36="","",'Drug Acquisition Costs'!H36)</f>
        <v/>
      </c>
      <c r="I36" s="123" t="str">
        <f>IF('Drug Acquisition Costs'!I36="","",'Drug Acquisition Costs'!I36)</f>
        <v/>
      </c>
    </row>
    <row r="37" spans="2:22" ht="15.75" thickBot="1" x14ac:dyDescent="0.3">
      <c r="B37" s="518" t="str">
        <f>CONCATENATE("Comparator 9: ",NameComparator9)</f>
        <v xml:space="preserve">Comparator 9: </v>
      </c>
      <c r="C37" s="519"/>
      <c r="D37" s="520"/>
      <c r="E37" s="123" t="str">
        <f>IF('Drug Acquisition Costs'!E37="","",'Drug Acquisition Costs'!E37)</f>
        <v/>
      </c>
      <c r="F37" s="123" t="str">
        <f>IF('Drug Acquisition Costs'!F37="","",'Drug Acquisition Costs'!F37)</f>
        <v/>
      </c>
      <c r="G37" s="123" t="str">
        <f>IF('Drug Acquisition Costs'!G37="","",'Drug Acquisition Costs'!G37)</f>
        <v/>
      </c>
      <c r="H37" s="123" t="str">
        <f>IF('Drug Acquisition Costs'!H37="","",'Drug Acquisition Costs'!H37)</f>
        <v/>
      </c>
      <c r="I37" s="123" t="str">
        <f>IF('Drug Acquisition Costs'!I37="","",'Drug Acquisition Costs'!I37)</f>
        <v/>
      </c>
    </row>
    <row r="38" spans="2:22" ht="15.75" thickBot="1" x14ac:dyDescent="0.3">
      <c r="B38" s="518" t="str">
        <f>CONCATENATE("Comparator 10: ",NameComparator10)</f>
        <v xml:space="preserve">Comparator 10: </v>
      </c>
      <c r="C38" s="519"/>
      <c r="D38" s="520"/>
      <c r="E38" s="123" t="str">
        <f>IF('Drug Acquisition Costs'!E38="","",'Drug Acquisition Costs'!E38)</f>
        <v/>
      </c>
      <c r="F38" s="123" t="str">
        <f>IF('Drug Acquisition Costs'!F38="","",'Drug Acquisition Costs'!F38)</f>
        <v/>
      </c>
      <c r="G38" s="123" t="str">
        <f>IF('Drug Acquisition Costs'!G38="","",'Drug Acquisition Costs'!G38)</f>
        <v/>
      </c>
      <c r="H38" s="123" t="str">
        <f>IF('Drug Acquisition Costs'!H38="","",'Drug Acquisition Costs'!H38)</f>
        <v/>
      </c>
      <c r="I38" s="123" t="str">
        <f>IF('Drug Acquisition Costs'!I38="","",'Drug Acquisition Costs'!I38)</f>
        <v/>
      </c>
    </row>
    <row r="39" spans="2:22" ht="15.75" thickBot="1" x14ac:dyDescent="0.3">
      <c r="B39" s="518" t="str">
        <f>CONCATENATE("Comparator 11: ",NameComparator11)</f>
        <v xml:space="preserve">Comparator 11: </v>
      </c>
      <c r="C39" s="519"/>
      <c r="D39" s="520"/>
      <c r="E39" s="123" t="str">
        <f>IF('Drug Acquisition Costs'!E39="","",'Drug Acquisition Costs'!E39)</f>
        <v/>
      </c>
      <c r="F39" s="123" t="str">
        <f>IF('Drug Acquisition Costs'!F39="","",'Drug Acquisition Costs'!F39)</f>
        <v/>
      </c>
      <c r="G39" s="123" t="str">
        <f>IF('Drug Acquisition Costs'!G39="","",'Drug Acquisition Costs'!G39)</f>
        <v/>
      </c>
      <c r="H39" s="123" t="str">
        <f>IF('Drug Acquisition Costs'!H39="","",'Drug Acquisition Costs'!H39)</f>
        <v/>
      </c>
      <c r="I39" s="123" t="str">
        <f>IF('Drug Acquisition Costs'!I39="","",'Drug Acquisition Costs'!I39)</f>
        <v/>
      </c>
    </row>
    <row r="40" spans="2:22" ht="15.75" thickBot="1" x14ac:dyDescent="0.3">
      <c r="B40" s="518" t="str">
        <f>CONCATENATE("Comparator 12: ",NameComparator12)</f>
        <v xml:space="preserve">Comparator 12: </v>
      </c>
      <c r="C40" s="519"/>
      <c r="D40" s="520"/>
      <c r="E40" s="123" t="str">
        <f>IF('Drug Acquisition Costs'!E40="","",'Drug Acquisition Costs'!E40)</f>
        <v/>
      </c>
      <c r="F40" s="123" t="str">
        <f>IF('Drug Acquisition Costs'!F40="","",'Drug Acquisition Costs'!F40)</f>
        <v/>
      </c>
      <c r="G40" s="123" t="str">
        <f>IF('Drug Acquisition Costs'!G40="","",'Drug Acquisition Costs'!G40)</f>
        <v/>
      </c>
      <c r="H40" s="123" t="str">
        <f>IF('Drug Acquisition Costs'!H40="","",'Drug Acquisition Costs'!H40)</f>
        <v/>
      </c>
      <c r="I40" s="123" t="str">
        <f>IF('Drug Acquisition Costs'!I40="","",'Drug Acquisition Costs'!I40)</f>
        <v/>
      </c>
    </row>
    <row r="42" spans="2:22" ht="15.75" thickBot="1" x14ac:dyDescent="0.3"/>
    <row r="43" spans="2:22" ht="15.75" thickBot="1" x14ac:dyDescent="0.3">
      <c r="B43" s="410" t="str">
        <f>CONCATENATE("Intervention: ",InterventionINN)</f>
        <v xml:space="preserve">Intervention: </v>
      </c>
      <c r="C43" s="411"/>
      <c r="D43" s="411"/>
      <c r="E43" s="411"/>
      <c r="F43" s="411"/>
      <c r="G43" s="412"/>
    </row>
    <row r="44" spans="2:22" x14ac:dyDescent="0.25">
      <c r="B44" s="227"/>
      <c r="C44" s="227"/>
      <c r="D44" s="227"/>
      <c r="F44" s="306"/>
      <c r="G44" s="306"/>
      <c r="H44" s="306"/>
      <c r="I44" s="306"/>
      <c r="J44" s="108"/>
    </row>
    <row r="46" spans="2:22" ht="28.5" customHeight="1" thickBot="1" x14ac:dyDescent="0.3">
      <c r="B46" s="334" t="s">
        <v>118</v>
      </c>
      <c r="C46" s="334"/>
      <c r="D46" s="334"/>
      <c r="E46" s="334"/>
      <c r="K46" s="408" t="s">
        <v>270</v>
      </c>
      <c r="L46" s="408"/>
      <c r="M46" s="408"/>
      <c r="N46" s="408"/>
      <c r="O46" s="408"/>
      <c r="P46" s="225"/>
      <c r="Q46" s="225"/>
      <c r="R46" s="225"/>
      <c r="S46" s="225"/>
      <c r="T46" s="225"/>
      <c r="U46" s="225"/>
      <c r="V46" s="225"/>
    </row>
    <row r="47" spans="2:22" ht="18.95" customHeight="1" thickBot="1" x14ac:dyDescent="0.3">
      <c r="B47" s="465" t="s">
        <v>119</v>
      </c>
      <c r="C47" s="466"/>
      <c r="D47" s="466"/>
      <c r="E47" s="466"/>
      <c r="F47" s="466"/>
      <c r="G47" s="466"/>
      <c r="H47" s="466"/>
      <c r="I47" s="467"/>
      <c r="K47" s="408"/>
      <c r="L47" s="408"/>
      <c r="M47" s="408"/>
      <c r="N47" s="408"/>
      <c r="O47" s="408"/>
      <c r="P47" s="225"/>
      <c r="Q47" s="225"/>
      <c r="R47" s="225"/>
      <c r="S47" s="225"/>
      <c r="T47" s="225"/>
      <c r="U47" s="225"/>
      <c r="V47" s="225"/>
    </row>
    <row r="48" spans="2:22" ht="15.75" thickBot="1" x14ac:dyDescent="0.3">
      <c r="B48" s="295"/>
      <c r="C48" s="296"/>
      <c r="D48" s="296"/>
      <c r="E48" s="296"/>
      <c r="F48" s="466" t="s">
        <v>120</v>
      </c>
      <c r="G48" s="466"/>
      <c r="H48" s="466"/>
      <c r="I48" s="467"/>
      <c r="K48" s="14"/>
    </row>
    <row r="49" spans="1:22" ht="15.75" thickBot="1" x14ac:dyDescent="0.3">
      <c r="B49" s="472" t="s">
        <v>174</v>
      </c>
      <c r="C49" s="473"/>
      <c r="D49" s="473"/>
      <c r="E49" s="474"/>
      <c r="F49" s="123" t="str">
        <f>IF('Drug Acquisition Costs'!F49="","",'Drug Acquisition Costs'!F49)</f>
        <v/>
      </c>
      <c r="G49" s="123" t="str">
        <f>IF('Drug Acquisition Costs'!G49="","",'Drug Acquisition Costs'!G49)</f>
        <v/>
      </c>
      <c r="H49" s="123" t="str">
        <f>IF('Drug Acquisition Costs'!H49="","",'Drug Acquisition Costs'!H49)</f>
        <v/>
      </c>
      <c r="I49" s="123" t="str">
        <f>IF('Drug Acquisition Costs'!I49="","",'Drug Acquisition Costs'!I49)</f>
        <v/>
      </c>
      <c r="K49" s="14" t="s">
        <v>180</v>
      </c>
    </row>
    <row r="50" spans="1:22" ht="30" customHeight="1" thickBot="1" x14ac:dyDescent="0.3">
      <c r="B50" s="472" t="s">
        <v>106</v>
      </c>
      <c r="C50" s="473"/>
      <c r="D50" s="473"/>
      <c r="E50" s="474"/>
      <c r="F50" s="150"/>
      <c r="G50" s="150"/>
      <c r="H50" s="150"/>
      <c r="I50" s="150"/>
      <c r="J50" s="1" t="s">
        <v>104</v>
      </c>
      <c r="K50" s="408" t="s">
        <v>181</v>
      </c>
      <c r="L50" s="408"/>
      <c r="M50" s="408"/>
      <c r="N50" s="408"/>
      <c r="O50" s="408"/>
      <c r="P50" s="21"/>
      <c r="Q50" s="21"/>
      <c r="R50" s="21"/>
      <c r="S50" s="21"/>
      <c r="T50" s="21"/>
    </row>
    <row r="51" spans="1:22" ht="15.75" thickBot="1" x14ac:dyDescent="0.3">
      <c r="A51" s="14"/>
      <c r="B51" s="472" t="s">
        <v>107</v>
      </c>
      <c r="C51" s="473"/>
      <c r="D51" s="473"/>
      <c r="E51" s="474"/>
      <c r="F51" s="123" t="str">
        <f>IF('Drug Acquisition Costs'!F51="","",'Drug Acquisition Costs'!F51)</f>
        <v/>
      </c>
      <c r="G51" s="123" t="str">
        <f>IF('Drug Acquisition Costs'!G51="","",'Drug Acquisition Costs'!G51)</f>
        <v/>
      </c>
      <c r="H51" s="123" t="str">
        <f>IF('Drug Acquisition Costs'!H51="","",'Drug Acquisition Costs'!H51)</f>
        <v/>
      </c>
      <c r="I51" s="123" t="str">
        <f>IF('Drug Acquisition Costs'!I51="","",'Drug Acquisition Costs'!I51)</f>
        <v/>
      </c>
      <c r="J51" s="127"/>
      <c r="K51" s="49" t="s">
        <v>182</v>
      </c>
      <c r="N51" s="21"/>
      <c r="O51" s="21"/>
      <c r="P51" s="21"/>
      <c r="Q51" s="21"/>
      <c r="R51" s="21"/>
      <c r="S51" s="21"/>
      <c r="T51" s="21"/>
    </row>
    <row r="52" spans="1:22" ht="15.75" thickBot="1" x14ac:dyDescent="0.3">
      <c r="A52" s="15"/>
      <c r="B52" s="472" t="s">
        <v>108</v>
      </c>
      <c r="C52" s="473"/>
      <c r="D52" s="473"/>
      <c r="E52" s="474"/>
      <c r="F52" s="521"/>
      <c r="G52" s="522"/>
      <c r="H52" s="522"/>
      <c r="I52" s="523"/>
      <c r="J52" s="152" t="s">
        <v>104</v>
      </c>
      <c r="K52" s="110" t="s">
        <v>183</v>
      </c>
    </row>
    <row r="53" spans="1:22" ht="15.75" thickBot="1" x14ac:dyDescent="0.3">
      <c r="A53" s="15"/>
      <c r="B53" s="472" t="s">
        <v>74</v>
      </c>
      <c r="C53" s="473"/>
      <c r="D53" s="473"/>
      <c r="E53" s="474"/>
      <c r="F53" s="524"/>
      <c r="G53" s="525"/>
      <c r="H53" s="525"/>
      <c r="I53" s="526"/>
      <c r="J53" s="152" t="s">
        <v>104</v>
      </c>
      <c r="K53" s="49" t="s">
        <v>184</v>
      </c>
    </row>
    <row r="54" spans="1:22" ht="15.75" thickBot="1" x14ac:dyDescent="0.3">
      <c r="B54" s="472" t="s">
        <v>75</v>
      </c>
      <c r="C54" s="473"/>
      <c r="D54" s="473"/>
      <c r="E54" s="474"/>
      <c r="F54" s="524"/>
      <c r="G54" s="525"/>
      <c r="H54" s="525"/>
      <c r="I54" s="526"/>
      <c r="J54" s="1" t="s">
        <v>104</v>
      </c>
      <c r="K54" s="110" t="s">
        <v>185</v>
      </c>
    </row>
    <row r="55" spans="1:22" ht="15.75" thickBot="1" x14ac:dyDescent="0.3">
      <c r="B55" s="472" t="s">
        <v>76</v>
      </c>
      <c r="C55" s="473"/>
      <c r="D55" s="473"/>
      <c r="E55" s="474"/>
      <c r="F55" s="524"/>
      <c r="G55" s="525"/>
      <c r="H55" s="525"/>
      <c r="I55" s="526"/>
      <c r="J55" s="152" t="s">
        <v>104</v>
      </c>
      <c r="K55" s="110" t="s">
        <v>216</v>
      </c>
    </row>
    <row r="56" spans="1:22" ht="15.75" thickBot="1" x14ac:dyDescent="0.3">
      <c r="B56" s="472" t="s">
        <v>172</v>
      </c>
      <c r="C56" s="473"/>
      <c r="D56" s="473"/>
      <c r="E56" s="474"/>
      <c r="F56" s="524"/>
      <c r="G56" s="525"/>
      <c r="H56" s="525"/>
      <c r="I56" s="526"/>
      <c r="J56" s="152" t="s">
        <v>104</v>
      </c>
      <c r="K56" s="110" t="s">
        <v>217</v>
      </c>
      <c r="Q56" s="103"/>
    </row>
    <row r="57" spans="1:22" ht="15.75" thickBot="1" x14ac:dyDescent="0.3">
      <c r="B57" s="472" t="s">
        <v>173</v>
      </c>
      <c r="C57" s="473"/>
      <c r="D57" s="473"/>
      <c r="E57" s="474"/>
      <c r="F57" s="524"/>
      <c r="G57" s="525"/>
      <c r="H57" s="525"/>
      <c r="I57" s="526"/>
      <c r="J57" s="152" t="s">
        <v>104</v>
      </c>
      <c r="K57" s="110" t="s">
        <v>218</v>
      </c>
    </row>
    <row r="58" spans="1:22" ht="15.75" thickBot="1" x14ac:dyDescent="0.3">
      <c r="B58" s="545" t="s">
        <v>245</v>
      </c>
      <c r="C58" s="546"/>
      <c r="D58" s="546"/>
      <c r="E58" s="546"/>
      <c r="F58" s="547"/>
      <c r="G58" s="548"/>
      <c r="H58" s="548"/>
      <c r="I58" s="549"/>
      <c r="J58" s="152"/>
      <c r="K58" s="361" t="s">
        <v>246</v>
      </c>
    </row>
    <row r="59" spans="1:22" ht="30" customHeight="1" x14ac:dyDescent="0.25">
      <c r="B59" s="112"/>
      <c r="C59" s="112"/>
      <c r="D59" s="112"/>
      <c r="E59" s="306"/>
      <c r="F59" s="306"/>
      <c r="G59" s="153"/>
      <c r="H59" s="306"/>
      <c r="I59" s="306"/>
      <c r="J59" s="124"/>
      <c r="K59" s="110"/>
    </row>
    <row r="60" spans="1:22" ht="15.75" thickBot="1" x14ac:dyDescent="0.3">
      <c r="B60" s="334" t="s">
        <v>171</v>
      </c>
      <c r="C60" s="334"/>
      <c r="D60" s="334"/>
      <c r="E60" s="334"/>
      <c r="F60" s="306"/>
      <c r="G60" s="306"/>
      <c r="H60" s="306"/>
      <c r="I60" s="306"/>
      <c r="J60" s="124"/>
      <c r="K60" s="404" t="s">
        <v>195</v>
      </c>
      <c r="L60" s="404"/>
      <c r="M60" s="404"/>
      <c r="N60" s="404"/>
      <c r="O60" s="404"/>
      <c r="P60" s="292"/>
      <c r="Q60" s="292"/>
      <c r="R60" s="292"/>
      <c r="S60" s="292"/>
      <c r="T60" s="292"/>
      <c r="U60" s="292"/>
      <c r="V60" s="292"/>
    </row>
    <row r="61" spans="1:22" ht="29.1" customHeight="1" thickBot="1" x14ac:dyDescent="0.3">
      <c r="B61" s="465" t="s">
        <v>121</v>
      </c>
      <c r="C61" s="466"/>
      <c r="D61" s="466"/>
      <c r="E61" s="466"/>
      <c r="F61" s="466"/>
      <c r="G61" s="466"/>
      <c r="H61" s="466"/>
      <c r="I61" s="467"/>
      <c r="J61" s="124"/>
      <c r="K61" s="404"/>
      <c r="L61" s="404"/>
      <c r="M61" s="404"/>
      <c r="N61" s="404"/>
      <c r="O61" s="404"/>
      <c r="P61" s="292"/>
      <c r="Q61" s="292"/>
      <c r="R61" s="292"/>
      <c r="S61" s="292"/>
      <c r="T61" s="292"/>
      <c r="U61" s="292"/>
      <c r="V61" s="292"/>
    </row>
    <row r="62" spans="1:22" ht="30" customHeight="1" thickBot="1" x14ac:dyDescent="0.3">
      <c r="B62" s="472" t="s">
        <v>122</v>
      </c>
      <c r="C62" s="473"/>
      <c r="D62" s="473"/>
      <c r="E62" s="474"/>
      <c r="F62" s="468" t="str">
        <f>IF('Drug Acquisition Costs'!F61="","",'Drug Acquisition Costs'!F61)</f>
        <v/>
      </c>
      <c r="G62" s="469"/>
      <c r="H62" s="527"/>
      <c r="I62" s="528"/>
      <c r="J62" s="124"/>
      <c r="K62" s="408" t="s">
        <v>186</v>
      </c>
      <c r="L62" s="408"/>
      <c r="M62" s="408"/>
      <c r="N62" s="408"/>
      <c r="O62" s="408"/>
    </row>
    <row r="63" spans="1:22" ht="23.1" customHeight="1" thickBot="1" x14ac:dyDescent="0.3">
      <c r="B63" s="472" t="str">
        <f>B49</f>
        <v>Pack Identification</v>
      </c>
      <c r="C63" s="473"/>
      <c r="D63" s="473"/>
      <c r="E63" s="474"/>
      <c r="F63" s="192" t="str">
        <f>IF(ISBLANK(F49),"",F49)</f>
        <v/>
      </c>
      <c r="G63" s="192" t="str">
        <f t="shared" ref="G63:I63" si="0">IF(ISBLANK(G49),"",G49)</f>
        <v/>
      </c>
      <c r="H63" s="192" t="str">
        <f t="shared" si="0"/>
        <v/>
      </c>
      <c r="I63" s="192" t="str">
        <f t="shared" si="0"/>
        <v/>
      </c>
      <c r="J63" s="124"/>
      <c r="K63" s="408"/>
      <c r="L63" s="408"/>
      <c r="M63" s="408"/>
      <c r="N63" s="408"/>
      <c r="O63" s="408"/>
    </row>
    <row r="64" spans="1:22" ht="15.75" thickBot="1" x14ac:dyDescent="0.3">
      <c r="B64" s="512" t="s">
        <v>123</v>
      </c>
      <c r="C64" s="513"/>
      <c r="D64" s="513"/>
      <c r="E64" s="514"/>
      <c r="F64" s="145" t="str">
        <f>IF('Drug Acquisition Costs'!F63="","",'Drug Acquisition Costs'!F63)</f>
        <v/>
      </c>
      <c r="G64" s="145" t="str">
        <f>IF('Drug Acquisition Costs'!G63="","",'Drug Acquisition Costs'!G63)</f>
        <v/>
      </c>
      <c r="H64" s="145" t="str">
        <f>IF('Drug Acquisition Costs'!H63="","",'Drug Acquisition Costs'!H63)</f>
        <v/>
      </c>
      <c r="I64" s="145" t="str">
        <f>IF('Drug Acquisition Costs'!I63="","",'Drug Acquisition Costs'!I63)</f>
        <v/>
      </c>
      <c r="J64" s="124"/>
      <c r="K64" s="408" t="s">
        <v>198</v>
      </c>
      <c r="L64" s="408"/>
      <c r="M64" s="408"/>
      <c r="N64" s="408"/>
      <c r="O64" s="408"/>
    </row>
    <row r="65" spans="1:15" ht="75.75" customHeight="1" x14ac:dyDescent="0.25">
      <c r="B65" s="304"/>
      <c r="C65" s="304"/>
      <c r="D65" s="304"/>
      <c r="E65" s="304"/>
      <c r="F65" s="306"/>
      <c r="G65" s="306"/>
      <c r="H65" s="306"/>
      <c r="I65" s="306"/>
      <c r="J65" s="124"/>
      <c r="K65" s="408"/>
      <c r="L65" s="408"/>
      <c r="M65" s="408"/>
      <c r="N65" s="408"/>
      <c r="O65" s="408"/>
    </row>
    <row r="66" spans="1:15" x14ac:dyDescent="0.25">
      <c r="B66" s="529"/>
      <c r="C66" s="529"/>
      <c r="D66" s="529"/>
      <c r="E66" s="529"/>
      <c r="F66" s="103"/>
      <c r="K66" s="408"/>
      <c r="L66" s="408"/>
      <c r="M66" s="408"/>
      <c r="N66" s="408"/>
      <c r="O66" s="408"/>
    </row>
    <row r="67" spans="1:15" x14ac:dyDescent="0.25">
      <c r="B67" s="303"/>
      <c r="C67" s="303"/>
      <c r="D67" s="303"/>
      <c r="E67" s="306"/>
      <c r="F67" s="103"/>
      <c r="O67" s="21"/>
    </row>
    <row r="68" spans="1:15" x14ac:dyDescent="0.25">
      <c r="A68" s="155"/>
      <c r="B68" s="308" t="s">
        <v>124</v>
      </c>
      <c r="C68" s="290"/>
      <c r="D68" s="66"/>
      <c r="E68" s="111"/>
      <c r="F68" s="390"/>
      <c r="G68" s="390"/>
      <c r="H68" s="390"/>
      <c r="I68" s="390"/>
      <c r="O68" s="21"/>
    </row>
    <row r="69" spans="1:15" x14ac:dyDescent="0.25">
      <c r="A69" s="14" t="s">
        <v>125</v>
      </c>
      <c r="B69" s="290"/>
      <c r="C69" s="290"/>
      <c r="D69" s="66"/>
      <c r="E69" s="111"/>
      <c r="F69" s="290"/>
      <c r="G69" s="290"/>
      <c r="H69" s="290"/>
      <c r="I69" s="290"/>
      <c r="O69" s="21"/>
    </row>
    <row r="70" spans="1:15" ht="15.75" thickBot="1" x14ac:dyDescent="0.3">
      <c r="B70" s="66"/>
      <c r="C70" s="66"/>
      <c r="D70" s="66"/>
      <c r="E70" s="111"/>
      <c r="F70" s="390" t="s">
        <v>126</v>
      </c>
      <c r="G70" s="390"/>
      <c r="H70" s="390"/>
      <c r="I70" s="390"/>
      <c r="O70" s="21"/>
    </row>
    <row r="71" spans="1:15" ht="15.75" thickBot="1" x14ac:dyDescent="0.3">
      <c r="B71" s="66"/>
      <c r="C71" s="66"/>
      <c r="D71" s="66"/>
      <c r="E71" s="111"/>
      <c r="F71" s="156" t="str">
        <f>IF(F49="","",F49)</f>
        <v/>
      </c>
      <c r="G71" s="156" t="str">
        <f>IF(G49="","",G49)</f>
        <v/>
      </c>
      <c r="H71" s="156" t="str">
        <f>IF(H49="","",H49)</f>
        <v/>
      </c>
      <c r="I71" s="156" t="str">
        <f>IF(I49="","",I49)</f>
        <v/>
      </c>
      <c r="O71" s="21"/>
    </row>
    <row r="72" spans="1:15" x14ac:dyDescent="0.25">
      <c r="A72" s="91" t="s">
        <v>77</v>
      </c>
      <c r="B72" s="475" t="s">
        <v>82</v>
      </c>
      <c r="C72" s="476"/>
      <c r="D72" s="476"/>
      <c r="E72" s="157"/>
      <c r="F72" s="114" t="str">
        <f>IF(OR(F50="",F51="",F52=""),"",IF(F50="Price to Wholesaler",F51,IF(F50="Reimbursement Price",(F74/(1+E73)*1),"Error")))</f>
        <v/>
      </c>
      <c r="G72" s="114" t="str">
        <f>IF(OR(G50="",G51="",F52=""),"",IF(G50="Price to Wholesaler",G51,IF(G50="Reimbursement Price",(G74/(1+E73)*1),"Error")))</f>
        <v/>
      </c>
      <c r="H72" s="114" t="str">
        <f>IF(OR(H50="",H51="",F52=""),"",IF(H50="Price to Wholesaler",H51,IF(H50="Reimbursement Price",(H74/(1+E73)*1),"Error")))</f>
        <v/>
      </c>
      <c r="I72" s="114" t="str">
        <f>IF(OR(I50="",I51="",F52=""),"",IF(I50="Price to Wholesaler",I51,IF(I50="Reimbursement Price",(I74/(1+E73)*1),"Error")))</f>
        <v/>
      </c>
      <c r="O72" s="21"/>
    </row>
    <row r="73" spans="1:15" x14ac:dyDescent="0.25">
      <c r="A73" s="297" t="s">
        <v>78</v>
      </c>
      <c r="B73" s="477" t="s">
        <v>83</v>
      </c>
      <c r="C73" s="478"/>
      <c r="D73" s="478"/>
      <c r="E73" s="93" t="str">
        <f>IF(OR(F52=""),"",IF(AND(F52="CDS",F53="Yes"),CYF,IF(AND(F52="CDS",F53="No"),CNF,IF(F52="HT",CHT,IF(F52="Hosp",CHO,"Error")))))</f>
        <v/>
      </c>
      <c r="F73" s="115" t="str">
        <f>IF(OR(F52="",F51="",F50=""),"",F72*E73)</f>
        <v/>
      </c>
      <c r="G73" s="115" t="str">
        <f>IF(OR(F52="",G51="",G50=""),"",G72*E73)</f>
        <v/>
      </c>
      <c r="H73" s="115" t="str">
        <f>IF(OR(F52="",H51="",H50=""),"",H72*E73)</f>
        <v/>
      </c>
      <c r="I73" s="115" t="str">
        <f>IF(OR(F52="",I51="",I50=""),"",I72*E73)</f>
        <v/>
      </c>
      <c r="O73" s="21"/>
    </row>
    <row r="74" spans="1:15" x14ac:dyDescent="0.25">
      <c r="A74" s="297" t="s">
        <v>79</v>
      </c>
      <c r="B74" s="477" t="str">
        <f>IF(F52="Hosp","Hospital Price", "Reimbursement Price")</f>
        <v>Reimbursement Price</v>
      </c>
      <c r="C74" s="478"/>
      <c r="D74" s="478"/>
      <c r="E74" s="158" t="str">
        <f>IF(F50="Price to Wholesaler","A+B","")</f>
        <v/>
      </c>
      <c r="F74" s="115" t="str">
        <f>IF(F50="Reimbursement Price",F51,IF(ISBLANK(E73),"",IF(F50="Price to Wholesaler",(F72+F73),IF(F50="","","Error"))))</f>
        <v/>
      </c>
      <c r="G74" s="115" t="str">
        <f>IF(G50="Reimbursement Price",G51,IF(ISBLANK(E73),"",IF(G50="Price to Wholesaler",(G72+G73),IF(G50="","","Error"))))</f>
        <v/>
      </c>
      <c r="H74" s="115" t="str">
        <f>IF(H50="Reimbursement Price",H51,IF(ISBLANK(E73),"",IF(H50="Price to Wholesaler",(H72+H73),IF(H50="","","Error"))))</f>
        <v/>
      </c>
      <c r="I74" s="115" t="str">
        <f>IF(I50="Reimbursement Price",I51,IF(ISBLANK(E73),"",IF(I50="Price to Wholesaler",(I72+I73),IF(I50="","","Error"))))</f>
        <v/>
      </c>
      <c r="O74" s="21"/>
    </row>
    <row r="75" spans="1:15" x14ac:dyDescent="0.25">
      <c r="A75" s="297" t="s">
        <v>80</v>
      </c>
      <c r="B75" s="477" t="s">
        <v>214</v>
      </c>
      <c r="C75" s="478"/>
      <c r="D75" s="478"/>
      <c r="E75" s="268" t="str">
        <f>IF(OR(F55="",AND(F55="Yes",F56=""),AND(F55="No",F57="")),"",IF(AND(F55="No",F57="Patented Exclusive or Off Patent Exclusive and subject to clause 10 of Framework Agreement"),MR,IF(AND(F55="No",F57="Off Patent Non-Exclusive or Generic"),"None",IF(AND(F55="Yes",F56="Biosimilar"),"None",IF(AND(F55="Yes",F56="Patented or Off Patent Exclusive"),MR,IF(AND(F55="Yes",F56="Off Patent Non-Exclusive 12.5% Rebate incorporated into Price to Wholesaler"),"None",IF(AND(F55="Yes",F56="Off Patent Non-Exclusive 12.5% Rebate"),MRB,"Error")))))))</f>
        <v/>
      </c>
      <c r="F75" s="115" t="str">
        <f>IF(OR(F55="",AND(F55="Yes",F56=""),AND(F55="No",F57=""),F50="",ISBLANK(F51)),"",IF(E75="None",0,(E75*F72)))</f>
        <v/>
      </c>
      <c r="G75" s="115" t="str">
        <f>IF(OR(F55="",AND(F55="Yes",F56=""),AND(F55="No",F57=""),G50="",ISBLANK(G51)),"",IF(E75="None",0,(E75*G72)))</f>
        <v/>
      </c>
      <c r="H75" s="115" t="str">
        <f>IF(OR(F55="",AND(F55="Yes",F56=""),AND(F55="No",F57=""),H50="",ISBLANK(H51)),"",IF(E75="None",0,(E75*H72)))</f>
        <v/>
      </c>
      <c r="I75" s="115" t="str">
        <f>IF(OR(F55="",AND(F55="Yes",F56=""),AND(F55="No",F57=""),I50="",ISBLANK(I51)),"",IF(E75="None",0,(E75*I72)))</f>
        <v/>
      </c>
      <c r="O75" s="21"/>
    </row>
    <row r="76" spans="1:15" x14ac:dyDescent="0.25">
      <c r="A76" s="316"/>
      <c r="B76" s="316"/>
      <c r="C76" s="317"/>
      <c r="D76" s="318" t="s">
        <v>240</v>
      </c>
      <c r="E76" s="319" t="str">
        <f xml:space="preserve"> IF(F58="", "", -F58)</f>
        <v/>
      </c>
      <c r="F76" s="320" t="str">
        <f>IF(F51="", "", F72*$E76)</f>
        <v/>
      </c>
      <c r="G76" s="320" t="str">
        <f t="shared" ref="G76:I76" si="1">IF(G51="", "", G72*$E76)</f>
        <v/>
      </c>
      <c r="H76" s="320" t="str">
        <f t="shared" si="1"/>
        <v/>
      </c>
      <c r="I76" s="320" t="str">
        <f t="shared" si="1"/>
        <v/>
      </c>
      <c r="O76" s="21"/>
    </row>
    <row r="77" spans="1:15" ht="15.75" thickBot="1" x14ac:dyDescent="0.3">
      <c r="A77" s="298" t="s">
        <v>81</v>
      </c>
      <c r="B77" s="479" t="s">
        <v>94</v>
      </c>
      <c r="C77" s="480"/>
      <c r="D77" s="480"/>
      <c r="E77" s="160" t="str">
        <f>IF(F54="","",IF(F54="Yes",0,VT))</f>
        <v/>
      </c>
      <c r="F77" s="161" t="str">
        <f>IF(OR($B54="",F51="",ISBLANK(F51)),"",($E77*F74))</f>
        <v/>
      </c>
      <c r="G77" s="161" t="str">
        <f t="shared" ref="G77:I77" si="2">IF(OR($B54="",G51="",ISBLANK(G51)),"",($E77*G74))</f>
        <v/>
      </c>
      <c r="H77" s="161" t="str">
        <f t="shared" si="2"/>
        <v/>
      </c>
      <c r="I77" s="161" t="str">
        <f t="shared" si="2"/>
        <v/>
      </c>
      <c r="O77" s="21"/>
    </row>
    <row r="78" spans="1:15" ht="15.75" thickBot="1" x14ac:dyDescent="0.3">
      <c r="A78" s="321" t="s">
        <v>127</v>
      </c>
      <c r="B78" s="544" t="s">
        <v>247</v>
      </c>
      <c r="C78" s="544"/>
      <c r="D78" s="544"/>
      <c r="E78" s="322"/>
      <c r="F78" s="323" t="str">
        <f>IF(OR(F50="",$F52="",$F54="",$F55=""),"",SUM(F74:F77))</f>
        <v/>
      </c>
      <c r="G78" s="323" t="str">
        <f t="shared" ref="G78:I78" si="3">IF(OR(G50="",$F52="",$F54="",$F55=""),"",SUM(G74:G77))</f>
        <v/>
      </c>
      <c r="H78" s="323" t="str">
        <f t="shared" si="3"/>
        <v/>
      </c>
      <c r="I78" s="323" t="str">
        <f t="shared" si="3"/>
        <v/>
      </c>
      <c r="O78" s="21"/>
    </row>
    <row r="79" spans="1:15" ht="15.75" thickBot="1" x14ac:dyDescent="0.3">
      <c r="A79" s="322" t="s">
        <v>129</v>
      </c>
      <c r="B79" s="544" t="s">
        <v>248</v>
      </c>
      <c r="C79" s="544"/>
      <c r="D79" s="544"/>
      <c r="E79" s="323"/>
      <c r="F79" s="323" t="str">
        <f>IF(OR(F50="",$F52="",$F54="",$F55=""),"",SUM(F74:F76))</f>
        <v/>
      </c>
      <c r="G79" s="323" t="str">
        <f>IF(OR(G50="",$F52="",$F54="",$F55=""),"",SUM(G74:G76))</f>
        <v/>
      </c>
      <c r="H79" s="323" t="str">
        <f>IF(OR(H50="",$F52="",$F54="",$F55=""),"",SUM(H74:H76))</f>
        <v/>
      </c>
      <c r="I79" s="323" t="str">
        <f>IF(OR(I50="",$F52="",$F54="",$F55=""),"",SUM(I74:I76))</f>
        <v/>
      </c>
      <c r="O79" s="21"/>
    </row>
    <row r="80" spans="1:15" x14ac:dyDescent="0.25">
      <c r="B80" s="66"/>
      <c r="C80" s="66"/>
      <c r="D80" s="66"/>
      <c r="E80" s="111"/>
      <c r="F80" s="103"/>
      <c r="K80" s="1" t="s">
        <v>131</v>
      </c>
      <c r="O80" s="21"/>
    </row>
    <row r="81" spans="1:20" x14ac:dyDescent="0.25">
      <c r="A81" s="155" t="s">
        <v>132</v>
      </c>
      <c r="B81" s="66"/>
      <c r="C81" s="66"/>
      <c r="D81" s="66"/>
      <c r="E81" s="111"/>
      <c r="F81" s="163"/>
      <c r="G81" s="163"/>
      <c r="H81" s="163"/>
      <c r="I81" s="163"/>
      <c r="O81" s="21"/>
    </row>
    <row r="82" spans="1:20" x14ac:dyDescent="0.25">
      <c r="A82" s="125"/>
      <c r="B82" s="125" t="s">
        <v>133</v>
      </c>
      <c r="C82" s="125"/>
      <c r="D82" s="125"/>
      <c r="E82" s="125"/>
      <c r="F82" s="125"/>
      <c r="G82" s="164"/>
      <c r="H82" s="125"/>
      <c r="J82" s="1"/>
      <c r="O82" s="21"/>
    </row>
    <row r="83" spans="1:20" x14ac:dyDescent="0.25">
      <c r="B83" s="21" t="s">
        <v>134</v>
      </c>
      <c r="C83" s="229"/>
      <c r="D83" s="229"/>
      <c r="E83" s="111"/>
      <c r="O83" s="21"/>
    </row>
    <row r="84" spans="1:20" ht="15.75" thickBot="1" x14ac:dyDescent="0.3">
      <c r="B84" s="165"/>
      <c r="C84" s="229"/>
      <c r="D84" s="229"/>
      <c r="E84" s="111"/>
      <c r="O84" s="21"/>
    </row>
    <row r="85" spans="1:20" ht="15.75" thickBot="1" x14ac:dyDescent="0.3">
      <c r="B85" s="230"/>
      <c r="C85" s="66"/>
      <c r="D85" s="66"/>
      <c r="E85" s="111"/>
      <c r="G85" s="293" t="s">
        <v>135</v>
      </c>
      <c r="H85" s="293" t="s">
        <v>136</v>
      </c>
      <c r="O85" s="21"/>
    </row>
    <row r="86" spans="1:20" x14ac:dyDescent="0.25">
      <c r="B86" s="483" t="s">
        <v>137</v>
      </c>
      <c r="C86" s="484"/>
      <c r="D86" s="484"/>
      <c r="E86" s="484"/>
      <c r="F86" s="485"/>
      <c r="G86" s="166" t="str">
        <f>IF(F52="","",IF(F52="CDS","per dispensing",IF(F52="HT","per month",IF(F52="Hosp","No Fee", ERROR))))</f>
        <v/>
      </c>
      <c r="H86" s="167" t="str">
        <f>IF(F52="","",IF(F52="CDS",DF,IF(F52="HT",PC,IF(F52="Hosp","No Fee",ERROR))))</f>
        <v/>
      </c>
      <c r="I86" s="1" t="s">
        <v>138</v>
      </c>
      <c r="O86" s="21"/>
    </row>
    <row r="87" spans="1:20" ht="15.75" thickBot="1" x14ac:dyDescent="0.3">
      <c r="B87" s="486" t="s">
        <v>92</v>
      </c>
      <c r="C87" s="487"/>
      <c r="D87" s="487"/>
      <c r="E87" s="487"/>
      <c r="F87" s="488"/>
      <c r="G87" s="168" t="str">
        <f>IF(OR(F52="",F54=""),"",IF(F52="Hosp","No Fee",IF(F52="HT","No VAT",IF(AND(F52="CDS",F54="No"),VT,"No VAT"))))</f>
        <v/>
      </c>
      <c r="H87" s="367" t="str">
        <f>IF(OR(F54="",F52="Hosp"),"",IF(OR(F54="Yes",F52="HT"),0,H86*G87))</f>
        <v/>
      </c>
      <c r="O87" s="21"/>
    </row>
    <row r="88" spans="1:20" x14ac:dyDescent="0.25">
      <c r="B88" s="230"/>
      <c r="C88" s="66"/>
      <c r="D88" s="66"/>
      <c r="E88" s="111"/>
      <c r="O88" s="21"/>
    </row>
    <row r="89" spans="1:20" x14ac:dyDescent="0.25">
      <c r="B89" s="230"/>
      <c r="C89" s="66"/>
      <c r="D89" s="66"/>
      <c r="E89" s="111"/>
      <c r="O89" s="21"/>
    </row>
    <row r="90" spans="1:20" ht="33.950000000000003" customHeight="1" thickBot="1" x14ac:dyDescent="0.3">
      <c r="A90" s="165" t="s">
        <v>193</v>
      </c>
      <c r="B90" s="230"/>
      <c r="C90" s="66"/>
      <c r="D90" s="66"/>
      <c r="E90" s="111"/>
      <c r="K90" s="408" t="s">
        <v>197</v>
      </c>
      <c r="L90" s="408"/>
      <c r="M90" s="408"/>
      <c r="N90" s="408"/>
      <c r="O90" s="408"/>
      <c r="P90" s="195"/>
      <c r="Q90" s="195"/>
      <c r="R90" s="195"/>
      <c r="S90" s="195"/>
      <c r="T90" s="195"/>
    </row>
    <row r="91" spans="1:20" ht="17.100000000000001" customHeight="1" thickBot="1" x14ac:dyDescent="0.3">
      <c r="A91" s="14" t="s">
        <v>194</v>
      </c>
      <c r="B91" s="230"/>
      <c r="C91" s="66"/>
      <c r="D91" s="66"/>
      <c r="E91" s="111"/>
      <c r="G91" s="293" t="s">
        <v>101</v>
      </c>
      <c r="H91" s="293" t="s">
        <v>136</v>
      </c>
      <c r="K91" s="408" t="str">
        <f>IF(F52="HT","For High tech, if a treatment cycle =28 days the corresponding pharmacy fee is =62.03*12/365.25*28.  The pharmacy fee remains the same regardless of the number of products dispensed that month.",IF(F52="CDS","For CDS, if 2 packets of the same pack presentation are required per treatment cycle, one dispensing fee applies (€5.48). If multiple pack presentations are required, multiple dispensing fees apply",""))</f>
        <v/>
      </c>
      <c r="L91" s="408"/>
      <c r="M91" s="408"/>
      <c r="N91" s="408"/>
      <c r="O91" s="408"/>
      <c r="P91" s="195"/>
      <c r="Q91" s="195"/>
      <c r="R91" s="195"/>
      <c r="S91" s="195"/>
      <c r="T91" s="195"/>
    </row>
    <row r="92" spans="1:20" ht="16.5" customHeight="1" thickBot="1" x14ac:dyDescent="0.3">
      <c r="A92" s="170" t="s">
        <v>139</v>
      </c>
      <c r="B92" s="532" t="s">
        <v>140</v>
      </c>
      <c r="C92" s="532"/>
      <c r="D92" s="532"/>
      <c r="E92" s="532"/>
      <c r="F92" s="532"/>
      <c r="G92" s="171" t="str">
        <f>IF('Drug Acquisition Costs'!G90="","",'Drug Acquisition Costs'!G90)</f>
        <v/>
      </c>
      <c r="H92" s="171" t="str">
        <f>IF('Drug Acquisition Costs'!H90="","",'Drug Acquisition Costs'!H90)</f>
        <v/>
      </c>
      <c r="K92" s="408"/>
      <c r="L92" s="408"/>
      <c r="M92" s="408"/>
      <c r="N92" s="408"/>
      <c r="O92" s="408"/>
      <c r="P92" s="195"/>
      <c r="Q92" s="195"/>
      <c r="R92" s="195"/>
      <c r="S92" s="195"/>
      <c r="T92" s="195"/>
    </row>
    <row r="93" spans="1:20" ht="15.75" thickBot="1" x14ac:dyDescent="0.3">
      <c r="A93" s="173" t="s">
        <v>141</v>
      </c>
      <c r="B93" s="530" t="s">
        <v>142</v>
      </c>
      <c r="C93" s="530"/>
      <c r="D93" s="530"/>
      <c r="E93" s="530"/>
      <c r="F93" s="530"/>
      <c r="G93" s="171" t="str">
        <f>IF('Drug Acquisition Costs'!G91="","",'Drug Acquisition Costs'!G91)</f>
        <v/>
      </c>
      <c r="H93" s="171" t="str">
        <f>IF('Drug Acquisition Costs'!H91="","",'Drug Acquisition Costs'!H91)</f>
        <v/>
      </c>
      <c r="K93" s="14" t="s">
        <v>188</v>
      </c>
      <c r="O93" s="21"/>
    </row>
    <row r="94" spans="1:20" x14ac:dyDescent="0.25">
      <c r="A94" s="173" t="s">
        <v>143</v>
      </c>
      <c r="B94" s="530" t="s">
        <v>144</v>
      </c>
      <c r="C94" s="530"/>
      <c r="D94" s="530"/>
      <c r="E94" s="530"/>
      <c r="F94" s="530"/>
      <c r="G94" s="171" t="str">
        <f>IF('Drug Acquisition Costs'!G92="","",'Drug Acquisition Costs'!G92)</f>
        <v/>
      </c>
      <c r="H94" s="171" t="str">
        <f>IF('Drug Acquisition Costs'!H92="","",'Drug Acquisition Costs'!H92)</f>
        <v/>
      </c>
      <c r="K94" s="14" t="s">
        <v>189</v>
      </c>
      <c r="O94" s="21"/>
    </row>
    <row r="95" spans="1:20" x14ac:dyDescent="0.25">
      <c r="A95" s="173" t="s">
        <v>145</v>
      </c>
      <c r="B95" s="530" t="s">
        <v>146</v>
      </c>
      <c r="C95" s="530"/>
      <c r="D95" s="530"/>
      <c r="E95" s="530"/>
      <c r="F95" s="530"/>
      <c r="G95" s="176"/>
      <c r="H95" s="177">
        <f>IF(ISBLANK(H92),"",SUM(H92:H94))</f>
        <v>0</v>
      </c>
      <c r="O95" s="21"/>
    </row>
    <row r="96" spans="1:20" ht="15.75" thickBot="1" x14ac:dyDescent="0.3">
      <c r="A96" s="178" t="s">
        <v>147</v>
      </c>
      <c r="B96" s="531" t="s">
        <v>196</v>
      </c>
      <c r="C96" s="531"/>
      <c r="D96" s="531"/>
      <c r="E96" s="531"/>
      <c r="F96" s="531"/>
      <c r="G96" s="179"/>
      <c r="H96" s="169">
        <f>IF(ISBLANK(H92),"",SUM(H92:H93))</f>
        <v>0</v>
      </c>
      <c r="O96" s="21"/>
    </row>
    <row r="97" spans="1:15" x14ac:dyDescent="0.25">
      <c r="B97" s="66"/>
      <c r="C97" s="66"/>
      <c r="D97" s="66"/>
      <c r="E97" s="111"/>
      <c r="O97" s="21"/>
    </row>
    <row r="98" spans="1:15" x14ac:dyDescent="0.25">
      <c r="B98" s="66"/>
      <c r="C98" s="66"/>
      <c r="D98" s="66"/>
      <c r="E98" s="111"/>
      <c r="O98" s="21"/>
    </row>
    <row r="99" spans="1:15" x14ac:dyDescent="0.25">
      <c r="A99" s="155" t="s">
        <v>148</v>
      </c>
      <c r="B99" s="66"/>
      <c r="C99" s="66"/>
      <c r="D99" s="66"/>
      <c r="E99" s="111"/>
      <c r="O99" s="21"/>
    </row>
    <row r="100" spans="1:15" ht="15.75" thickBot="1" x14ac:dyDescent="0.3">
      <c r="B100" s="66"/>
      <c r="C100" s="66"/>
      <c r="D100" s="66"/>
      <c r="E100" s="111"/>
      <c r="O100" s="21"/>
    </row>
    <row r="101" spans="1:15" ht="29.1" customHeight="1" x14ac:dyDescent="0.25">
      <c r="A101" s="5"/>
      <c r="B101" s="303"/>
      <c r="C101" s="303"/>
      <c r="D101" s="303"/>
      <c r="E101" s="306"/>
      <c r="F101" s="506" t="s">
        <v>149</v>
      </c>
      <c r="G101" s="180" t="s">
        <v>150</v>
      </c>
      <c r="H101" s="508" t="s">
        <v>151</v>
      </c>
      <c r="I101" s="180" t="s">
        <v>152</v>
      </c>
      <c r="J101" s="181"/>
      <c r="K101" s="408" t="s">
        <v>269</v>
      </c>
      <c r="L101" s="408"/>
      <c r="M101" s="408"/>
      <c r="N101" s="408"/>
      <c r="O101" s="408"/>
    </row>
    <row r="102" spans="1:15" x14ac:dyDescent="0.25">
      <c r="A102" s="5"/>
      <c r="B102" s="303"/>
      <c r="C102" s="303"/>
      <c r="D102" s="303"/>
      <c r="E102" s="306"/>
      <c r="F102" s="507"/>
      <c r="G102" s="174" t="str">
        <f>IF('Drug Acquisition Costs'!G100="","",'Drug Acquisition Costs'!G100)</f>
        <v/>
      </c>
      <c r="H102" s="509"/>
      <c r="I102" s="174" t="str">
        <f>IF('Drug Acquisition Costs'!I100="","",'Drug Acquisition Costs'!I100)</f>
        <v/>
      </c>
      <c r="J102" s="181"/>
      <c r="K102" s="408"/>
      <c r="L102" s="408"/>
      <c r="M102" s="408"/>
      <c r="N102" s="408"/>
      <c r="O102" s="408"/>
    </row>
    <row r="103" spans="1:15" ht="15.75" thickBot="1" x14ac:dyDescent="0.3">
      <c r="A103" s="5"/>
      <c r="B103" s="303"/>
      <c r="C103" s="303"/>
      <c r="D103" s="303"/>
      <c r="E103" s="306"/>
      <c r="F103" s="507"/>
      <c r="G103" s="183" t="s">
        <v>153</v>
      </c>
      <c r="H103" s="510"/>
      <c r="I103" s="184"/>
      <c r="J103" s="181"/>
      <c r="K103" s="408"/>
      <c r="L103" s="408"/>
      <c r="M103" s="408"/>
      <c r="N103" s="408"/>
      <c r="O103" s="408"/>
    </row>
    <row r="104" spans="1:15" x14ac:dyDescent="0.25">
      <c r="A104" s="166" t="s">
        <v>77</v>
      </c>
      <c r="B104" s="533" t="str">
        <f>B72</f>
        <v>Price to Wholesaler</v>
      </c>
      <c r="C104" s="533"/>
      <c r="D104" s="533"/>
      <c r="E104" s="533"/>
      <c r="F104" s="177">
        <f>SUMPRODUCT(F72:I72,F64:I64)</f>
        <v>0</v>
      </c>
      <c r="G104" s="177" t="e">
        <f>F104*G102</f>
        <v>#VALUE!</v>
      </c>
      <c r="H104" s="177" t="str">
        <f>IF(H62="Days",F104/F62*365.25,IF(H62="Months",F104/F62*12,""))</f>
        <v/>
      </c>
      <c r="I104" s="177" t="str">
        <f>IF(AND(H62="Days",I103="Days"),F104/F62*I102,IF(AND(H62="Months",I103="Months"),F104/F62*I102,IF(AND(H62="Days",I103="Months"),F104/F62*30.4375*I102,IF(AND(H62="Months",I103="Days"),F104/F62/30.4375*I102,""))))</f>
        <v/>
      </c>
      <c r="O104" s="21"/>
    </row>
    <row r="105" spans="1:15" x14ac:dyDescent="0.25">
      <c r="A105" s="176" t="s">
        <v>78</v>
      </c>
      <c r="B105" s="534" t="str">
        <f>B73</f>
        <v>Wholesale Mark-up</v>
      </c>
      <c r="C105" s="534"/>
      <c r="D105" s="534"/>
      <c r="E105" s="534"/>
      <c r="F105" s="177">
        <f>SUMPRODUCT(F73:I73,F64:I64)</f>
        <v>0</v>
      </c>
      <c r="G105" s="177" t="e">
        <f>F105*G102</f>
        <v>#VALUE!</v>
      </c>
      <c r="H105" s="177" t="str">
        <f>IF(H62="Days",F105/F62*365.25,IF(H62="Months",F105/F62*12,""))</f>
        <v/>
      </c>
      <c r="I105" s="177" t="str">
        <f>IF(AND(H62="Days",I103="Days"),F105/F62*I102,IF(AND(H62="Months",I103="Months"),F105/F62*I102,IF(AND(H62="Days",I103="Months"),F105/F62*30.4375*I102,IF(AND(H62="Months",I103="Days"),F105/F62/30.4375*I102,""))))</f>
        <v/>
      </c>
      <c r="O105" s="21"/>
    </row>
    <row r="106" spans="1:15" x14ac:dyDescent="0.25">
      <c r="A106" s="176" t="s">
        <v>79</v>
      </c>
      <c r="B106" s="294" t="str">
        <f>B74</f>
        <v>Reimbursement Price</v>
      </c>
      <c r="C106" s="300"/>
      <c r="D106" s="301"/>
      <c r="E106" s="307"/>
      <c r="F106" s="177">
        <f>SUMPRODUCT(F74:I74,F64:I64)</f>
        <v>0</v>
      </c>
      <c r="G106" s="177" t="e">
        <f>F106*G102</f>
        <v>#VALUE!</v>
      </c>
      <c r="H106" s="177" t="str">
        <f>IF(H62="Days",F106/F62*365.25,IF(H62="Months",F106/F62*12,""))</f>
        <v/>
      </c>
      <c r="I106" s="177" t="str">
        <f>IF(AND(H62="Days",I103="Days"),F106/F62*I102,IF(AND(H62="Months",I103="Months"),F106/F62*I102,IF(AND(H62="Days",I103="Months"),F106/F62*30.4375*I102,IF(AND(H62="Months",I103="Days"),F106/F62/30.4375*I102,""))))</f>
        <v/>
      </c>
      <c r="O106" s="21"/>
    </row>
    <row r="107" spans="1:15" x14ac:dyDescent="0.25">
      <c r="A107" s="176" t="s">
        <v>80</v>
      </c>
      <c r="B107" s="535" t="str">
        <f>B75</f>
        <v>Framework Agreement Rebate</v>
      </c>
      <c r="C107" s="536"/>
      <c r="D107" s="536"/>
      <c r="E107" s="537"/>
      <c r="F107" s="177">
        <f>SUMPRODUCT(F75:I75,F64:I64)</f>
        <v>0</v>
      </c>
      <c r="G107" s="177" t="e">
        <f>F107*G102</f>
        <v>#VALUE!</v>
      </c>
      <c r="H107" s="177" t="str">
        <f>IF(H62="Days",F107/F62*365.25,IF(H62="Months",F107/F62*12,""))</f>
        <v/>
      </c>
      <c r="I107" s="177" t="str">
        <f>IF(AND(H62="Days",I103="Days"),F107/F62*I102,IF(AND(H62="Months",I103="Months"),F107/F62*I102,IF(AND(H62="Days",I103="Months"),F107/F62*30.4375*I102,IF(AND(H62="Months",I103="Days"),F107/F62/30.4375*I102,""))))</f>
        <v/>
      </c>
      <c r="O107" s="21"/>
    </row>
    <row r="108" spans="1:15" x14ac:dyDescent="0.25">
      <c r="A108" s="356"/>
      <c r="B108" s="357" t="s">
        <v>240</v>
      </c>
      <c r="C108" s="358"/>
      <c r="D108" s="358"/>
      <c r="E108" s="359"/>
      <c r="F108" s="360">
        <f>SUMPRODUCT(F76:I76,F64:I64)</f>
        <v>0</v>
      </c>
      <c r="G108" s="360" t="e">
        <f xml:space="preserve"> F108*G102</f>
        <v>#VALUE!</v>
      </c>
      <c r="H108" s="360" t="str">
        <f>IF(H62="Days",F108/F62*365.25,IF(H62="Months",F108/F62*12,""))</f>
        <v/>
      </c>
      <c r="I108" s="360" t="str">
        <f>IF(AND(H62="Days",I103="Days"),F108/F62*I102,IF(AND(H62="Months",I103="Months"),F108/F62*I102,IF(AND(H62="Days",I103="Months"),F108/F62*30.4375*I102,IF(AND(H62="Months",I103="Days"),F108/F62/30.4375*I102,""))))</f>
        <v/>
      </c>
      <c r="O108" s="21"/>
    </row>
    <row r="109" spans="1:15" x14ac:dyDescent="0.25">
      <c r="A109" s="176" t="s">
        <v>81</v>
      </c>
      <c r="B109" s="535" t="str">
        <f>B77</f>
        <v xml:space="preserve">VAT on Drug Cost </v>
      </c>
      <c r="C109" s="536"/>
      <c r="D109" s="536"/>
      <c r="E109" s="537"/>
      <c r="F109" s="177">
        <f>SUMPRODUCT(F77:I77,F64:I64)</f>
        <v>0</v>
      </c>
      <c r="G109" s="177" t="e">
        <f>F109*G102</f>
        <v>#VALUE!</v>
      </c>
      <c r="H109" s="177" t="str">
        <f>IF(H62="Days",F109/F62*365.25,IF(H62="Months",F109/F62*12,""))</f>
        <v/>
      </c>
      <c r="I109" s="177" t="str">
        <f>IF(AND(H62="Days",I103="Days"),F109/F62*I102,IF(AND(H62="Months",I103="Months"),F109/F62*I102,IF(AND(H62="Days",I103="Months"),F109/F62*30.4375*I102,IF(AND(H62="Months",I103="Days"),F109/F62/30.4375*I102,""))))</f>
        <v/>
      </c>
      <c r="O109" s="21"/>
    </row>
    <row r="110" spans="1:15" x14ac:dyDescent="0.25">
      <c r="A110" s="176" t="s">
        <v>154</v>
      </c>
      <c r="B110" s="535" t="s">
        <v>155</v>
      </c>
      <c r="C110" s="536"/>
      <c r="D110" s="536"/>
      <c r="E110" s="537"/>
      <c r="F110" s="177">
        <f>IF(H95="","",H95)</f>
        <v>0</v>
      </c>
      <c r="G110" s="177" t="e">
        <f>IF(F110="","",F110*G102)</f>
        <v>#VALUE!</v>
      </c>
      <c r="H110" s="177" t="str">
        <f>IF(F110="","",IF(H62="Days",F110/F62*365.25,IF(H62="Months",F110/F62*12,"")))</f>
        <v/>
      </c>
      <c r="I110" s="177" t="str">
        <f>IF(F110="","",IF(AND(H62="Days",I103="Days"),F110/F62*I102,IF(AND(H62="Months",I103="Months"),F110/F62*I102,IF(AND(H62="Days",I103="Months"),F110/F62*30.4375*I102,IF(AND(H62="Months",I103="Days"),F110/F62/30.4375*I102,"")))))</f>
        <v/>
      </c>
      <c r="O110" s="21"/>
    </row>
    <row r="111" spans="1:15" x14ac:dyDescent="0.25">
      <c r="A111" s="176" t="s">
        <v>156</v>
      </c>
      <c r="B111" s="535" t="s">
        <v>157</v>
      </c>
      <c r="C111" s="536"/>
      <c r="D111" s="536"/>
      <c r="E111" s="537"/>
      <c r="F111" s="177">
        <f>IF(H96="","",H96)</f>
        <v>0</v>
      </c>
      <c r="G111" s="177" t="e">
        <f>IF(F111="","",F111*G102)</f>
        <v>#VALUE!</v>
      </c>
      <c r="H111" s="177" t="str">
        <f>IF(F111="","",IF(H62="Days",F111/F62*365.25,IF(H62="Months",F111/F62*12,"")))</f>
        <v/>
      </c>
      <c r="I111" s="177" t="str">
        <f>IF(F111="","",IF(AND(H62="Days",I103="Days"),F111/F62*I102,IF(AND(H62="Months",I103="Months"),F111/F62*I102,IF(AND(H62="Days",I103="Months"),F111/F62*30.4375*I102,IF(AND(H62="Months",I103="Days"),F111/F62/30.4375*I102,"")))))</f>
        <v/>
      </c>
      <c r="O111" s="21"/>
    </row>
    <row r="112" spans="1:15" s="155" customFormat="1" x14ac:dyDescent="0.25">
      <c r="A112" s="352" t="s">
        <v>158</v>
      </c>
      <c r="B112" s="538" t="s">
        <v>159</v>
      </c>
      <c r="C112" s="539"/>
      <c r="D112" s="539"/>
      <c r="E112" s="540"/>
      <c r="F112" s="353">
        <f>SUM(F106:F110)</f>
        <v>0</v>
      </c>
      <c r="G112" s="353" t="e">
        <f t="shared" ref="G112:I112" si="4">SUM(G106:G110)</f>
        <v>#VALUE!</v>
      </c>
      <c r="H112" s="353">
        <f t="shared" si="4"/>
        <v>0</v>
      </c>
      <c r="I112" s="353">
        <f t="shared" si="4"/>
        <v>0</v>
      </c>
      <c r="J112" s="188"/>
      <c r="K112" s="98" t="s">
        <v>191</v>
      </c>
      <c r="O112" s="189"/>
    </row>
    <row r="113" spans="1:19" ht="15.75" thickBot="1" x14ac:dyDescent="0.3">
      <c r="A113" s="354" t="s">
        <v>160</v>
      </c>
      <c r="B113" s="541" t="s">
        <v>161</v>
      </c>
      <c r="C113" s="542"/>
      <c r="D113" s="542"/>
      <c r="E113" s="543"/>
      <c r="F113" s="355">
        <f>IF(F111="",SUM(F106+F107+F108),F106+F107+F108+F111)</f>
        <v>0</v>
      </c>
      <c r="G113" s="355" t="e">
        <f>IF(G111="",SUM(G106+G107+G108),G106+G107+G108+G111)</f>
        <v>#VALUE!</v>
      </c>
      <c r="H113" s="355" t="e">
        <f>IF(H111="",SUM(H106+H107+H108),H106+H107+H108+H111)</f>
        <v>#VALUE!</v>
      </c>
      <c r="I113" s="355" t="e">
        <f>IF(I111="",SUM(I106+I107+I108),I106+I107+I108+I111)</f>
        <v>#VALUE!</v>
      </c>
      <c r="K113" s="14" t="s">
        <v>192</v>
      </c>
      <c r="O113" s="21"/>
    </row>
    <row r="114" spans="1:19" x14ac:dyDescent="0.25">
      <c r="B114" s="229"/>
      <c r="C114" s="66"/>
      <c r="D114" s="66"/>
      <c r="E114" s="111"/>
      <c r="O114" s="21"/>
    </row>
    <row r="116" spans="1:19" x14ac:dyDescent="0.25">
      <c r="B116" s="308" t="s">
        <v>101</v>
      </c>
      <c r="C116" s="308"/>
      <c r="D116" s="308"/>
      <c r="E116" s="308"/>
    </row>
    <row r="117" spans="1:19" ht="15.75" customHeight="1" x14ac:dyDescent="0.25"/>
    <row r="118" spans="1:19" x14ac:dyDescent="0.25">
      <c r="B118" s="351"/>
      <c r="C118" s="234"/>
      <c r="D118" s="234"/>
      <c r="E118" s="22"/>
      <c r="F118" s="22"/>
      <c r="G118" s="22"/>
      <c r="H118" s="22"/>
      <c r="I118" s="22"/>
      <c r="J118" s="109"/>
      <c r="K118" s="22"/>
      <c r="L118" s="22"/>
      <c r="M118" s="22"/>
      <c r="N118" s="22"/>
      <c r="O118" s="22"/>
      <c r="P118" s="22"/>
      <c r="Q118" s="22"/>
      <c r="R118" s="22"/>
      <c r="S118" s="22"/>
    </row>
    <row r="119" spans="1:19" x14ac:dyDescent="0.25">
      <c r="B119" s="234"/>
      <c r="C119" s="234"/>
      <c r="D119" s="234"/>
      <c r="E119" s="22"/>
      <c r="F119" s="22"/>
      <c r="G119" s="22"/>
      <c r="H119" s="22"/>
      <c r="I119" s="22"/>
      <c r="J119" s="109"/>
      <c r="K119" s="22"/>
      <c r="L119" s="22"/>
      <c r="M119" s="22"/>
      <c r="N119" s="22"/>
      <c r="O119" s="22"/>
      <c r="P119" s="22"/>
      <c r="Q119" s="22"/>
      <c r="R119" s="22"/>
      <c r="S119" s="22"/>
    </row>
    <row r="120" spans="1:19" x14ac:dyDescent="0.25">
      <c r="B120" s="234"/>
      <c r="C120" s="234"/>
      <c r="D120" s="234"/>
      <c r="E120" s="22"/>
      <c r="F120" s="22"/>
      <c r="G120" s="22"/>
      <c r="H120" s="22"/>
      <c r="I120" s="22"/>
      <c r="J120" s="109"/>
      <c r="K120" s="22"/>
      <c r="L120" s="22"/>
      <c r="M120" s="22"/>
      <c r="N120" s="22"/>
      <c r="O120" s="22"/>
      <c r="P120" s="22"/>
      <c r="Q120" s="22"/>
      <c r="R120" s="22"/>
      <c r="S120" s="22"/>
    </row>
    <row r="121" spans="1:19" x14ac:dyDescent="0.25">
      <c r="B121" s="234"/>
      <c r="C121" s="234"/>
      <c r="D121" s="234"/>
      <c r="E121" s="22"/>
      <c r="F121" s="22"/>
      <c r="G121" s="22"/>
      <c r="H121" s="22"/>
      <c r="I121" s="22"/>
      <c r="J121" s="109"/>
      <c r="K121" s="22"/>
      <c r="L121" s="22"/>
      <c r="M121" s="22"/>
      <c r="N121" s="22"/>
      <c r="O121" s="22"/>
      <c r="P121" s="22"/>
      <c r="Q121" s="22"/>
      <c r="R121" s="22"/>
      <c r="S121" s="22"/>
    </row>
    <row r="122" spans="1:19" x14ac:dyDescent="0.25">
      <c r="B122" s="234"/>
      <c r="C122" s="234"/>
      <c r="D122" s="234"/>
      <c r="E122" s="22"/>
      <c r="F122" s="22"/>
      <c r="G122" s="22"/>
      <c r="H122" s="22"/>
      <c r="I122" s="22"/>
      <c r="J122" s="109"/>
      <c r="K122" s="22"/>
      <c r="L122" s="22"/>
      <c r="M122" s="22"/>
      <c r="N122" s="22"/>
      <c r="O122" s="22"/>
      <c r="P122" s="22"/>
      <c r="Q122" s="22"/>
      <c r="R122" s="22"/>
      <c r="S122" s="22"/>
    </row>
    <row r="123" spans="1:19" x14ac:dyDescent="0.25">
      <c r="B123" s="234"/>
      <c r="C123" s="234"/>
      <c r="D123" s="234"/>
      <c r="E123" s="22"/>
      <c r="F123" s="22"/>
      <c r="G123" s="22"/>
      <c r="H123" s="22"/>
      <c r="I123" s="22"/>
      <c r="J123" s="109"/>
      <c r="K123" s="22"/>
      <c r="L123" s="22"/>
      <c r="M123" s="22"/>
      <c r="N123" s="22"/>
      <c r="O123" s="22"/>
      <c r="P123" s="22"/>
      <c r="Q123" s="22"/>
      <c r="R123" s="22"/>
      <c r="S123" s="22"/>
    </row>
    <row r="124" spans="1:19" x14ac:dyDescent="0.25">
      <c r="B124" s="234"/>
      <c r="C124" s="234"/>
      <c r="D124" s="234"/>
      <c r="E124" s="22"/>
      <c r="F124" s="22"/>
      <c r="G124" s="22"/>
      <c r="H124" s="22"/>
      <c r="I124" s="22"/>
      <c r="J124" s="109"/>
      <c r="K124" s="22"/>
      <c r="L124" s="22"/>
      <c r="M124" s="22"/>
      <c r="N124" s="22"/>
      <c r="O124" s="22"/>
      <c r="P124" s="22"/>
      <c r="Q124" s="22"/>
      <c r="R124" s="22"/>
      <c r="S124" s="22"/>
    </row>
    <row r="125" spans="1:19" s="26" customFormat="1" x14ac:dyDescent="0.25"/>
    <row r="126" spans="1:19" s="26" customFormat="1" x14ac:dyDescent="0.25"/>
    <row r="127" spans="1:19" s="26" customFormat="1" x14ac:dyDescent="0.25"/>
    <row r="128" spans="1:19" s="26" customFormat="1" ht="15.75" hidden="1" thickBot="1" x14ac:dyDescent="0.3">
      <c r="B128" s="410" t="str">
        <f>CONCATENATE("Comparator 1: ",NameComparator1)</f>
        <v xml:space="preserve">Comparator 1: </v>
      </c>
      <c r="C128" s="411"/>
      <c r="D128" s="411"/>
      <c r="E128" s="411"/>
      <c r="F128" s="411"/>
      <c r="G128" s="412"/>
    </row>
    <row r="129" spans="1:22" s="26" customFormat="1" hidden="1" x14ac:dyDescent="0.25">
      <c r="B129" s="227"/>
      <c r="C129" s="227"/>
      <c r="D129" s="227"/>
      <c r="F129" s="303"/>
      <c r="G129" s="303"/>
      <c r="H129" s="303"/>
      <c r="I129" s="303"/>
      <c r="J129" s="303"/>
    </row>
    <row r="130" spans="1:22" s="26" customFormat="1" hidden="1" x14ac:dyDescent="0.25"/>
    <row r="131" spans="1:22" s="26" customFormat="1" ht="28.5" hidden="1" customHeight="1" thickBot="1" x14ac:dyDescent="0.3">
      <c r="B131" s="334" t="s">
        <v>118</v>
      </c>
      <c r="C131" s="334"/>
      <c r="D131" s="334"/>
      <c r="E131" s="334"/>
      <c r="K131" s="408" t="s">
        <v>209</v>
      </c>
      <c r="L131" s="408"/>
      <c r="M131" s="408"/>
      <c r="N131" s="408"/>
      <c r="O131" s="408"/>
      <c r="P131" s="225"/>
      <c r="Q131" s="225"/>
      <c r="R131" s="225"/>
      <c r="S131" s="225"/>
      <c r="T131" s="225"/>
      <c r="U131" s="225"/>
      <c r="V131" s="225"/>
    </row>
    <row r="132" spans="1:22" s="26" customFormat="1" ht="18.95" hidden="1" customHeight="1" thickBot="1" x14ac:dyDescent="0.3">
      <c r="B132" s="465" t="s">
        <v>119</v>
      </c>
      <c r="C132" s="466"/>
      <c r="D132" s="466"/>
      <c r="E132" s="466"/>
      <c r="F132" s="466"/>
      <c r="G132" s="466"/>
      <c r="H132" s="466"/>
      <c r="I132" s="467"/>
      <c r="K132" s="408"/>
      <c r="L132" s="408"/>
      <c r="M132" s="408"/>
      <c r="N132" s="408"/>
      <c r="O132" s="408"/>
      <c r="P132" s="225"/>
      <c r="Q132" s="225"/>
      <c r="R132" s="225"/>
      <c r="S132" s="225"/>
      <c r="T132" s="225"/>
      <c r="U132" s="225"/>
      <c r="V132" s="225"/>
    </row>
    <row r="133" spans="1:22" s="26" customFormat="1" ht="15.75" hidden="1" thickBot="1" x14ac:dyDescent="0.3">
      <c r="B133" s="295"/>
      <c r="C133" s="296"/>
      <c r="D133" s="296"/>
      <c r="E133" s="296"/>
      <c r="F133" s="466" t="s">
        <v>120</v>
      </c>
      <c r="G133" s="466"/>
      <c r="H133" s="466"/>
      <c r="I133" s="467"/>
      <c r="K133" s="14"/>
    </row>
    <row r="134" spans="1:22" s="26" customFormat="1" ht="15.75" hidden="1" thickBot="1" x14ac:dyDescent="0.3">
      <c r="B134" s="472" t="s">
        <v>174</v>
      </c>
      <c r="C134" s="473"/>
      <c r="D134" s="473"/>
      <c r="E134" s="474"/>
      <c r="F134" s="149"/>
      <c r="G134" s="149"/>
      <c r="H134" s="149"/>
      <c r="I134" s="149"/>
      <c r="K134" s="14" t="s">
        <v>180</v>
      </c>
    </row>
    <row r="135" spans="1:22" s="26" customFormat="1" ht="30" hidden="1" customHeight="1" thickBot="1" x14ac:dyDescent="0.3">
      <c r="B135" s="472" t="s">
        <v>106</v>
      </c>
      <c r="C135" s="473"/>
      <c r="D135" s="473"/>
      <c r="E135" s="474"/>
      <c r="F135" s="235"/>
      <c r="G135" s="235"/>
      <c r="H135" s="235"/>
      <c r="I135" s="235"/>
      <c r="J135" s="26" t="s">
        <v>104</v>
      </c>
      <c r="K135" s="408" t="s">
        <v>181</v>
      </c>
      <c r="L135" s="408"/>
      <c r="M135" s="408"/>
      <c r="N135" s="408"/>
      <c r="O135" s="408"/>
      <c r="P135" s="21"/>
      <c r="Q135" s="21"/>
      <c r="R135" s="21"/>
      <c r="S135" s="21"/>
      <c r="T135" s="21"/>
    </row>
    <row r="136" spans="1:22" s="26" customFormat="1" ht="15.75" hidden="1" thickBot="1" x14ac:dyDescent="0.3">
      <c r="A136" s="14"/>
      <c r="B136" s="472" t="s">
        <v>107</v>
      </c>
      <c r="C136" s="473"/>
      <c r="D136" s="473"/>
      <c r="E136" s="474"/>
      <c r="F136" s="151"/>
      <c r="G136" s="151"/>
      <c r="H136" s="151"/>
      <c r="I136" s="151"/>
      <c r="J136" s="236"/>
      <c r="K136" s="110" t="s">
        <v>182</v>
      </c>
      <c r="N136" s="21"/>
      <c r="O136" s="21"/>
      <c r="P136" s="21"/>
      <c r="Q136" s="21"/>
      <c r="R136" s="21"/>
      <c r="S136" s="21"/>
      <c r="T136" s="21"/>
    </row>
    <row r="137" spans="1:22" s="26" customFormat="1" ht="15.75" hidden="1" thickBot="1" x14ac:dyDescent="0.3">
      <c r="A137" s="15"/>
      <c r="B137" s="472" t="s">
        <v>108</v>
      </c>
      <c r="C137" s="473"/>
      <c r="D137" s="473"/>
      <c r="E137" s="474"/>
      <c r="F137" s="489"/>
      <c r="G137" s="490"/>
      <c r="H137" s="490"/>
      <c r="I137" s="491"/>
      <c r="J137" s="237" t="s">
        <v>104</v>
      </c>
      <c r="K137" s="110" t="s">
        <v>210</v>
      </c>
    </row>
    <row r="138" spans="1:22" s="26" customFormat="1" ht="15.75" hidden="1" thickBot="1" x14ac:dyDescent="0.3">
      <c r="A138" s="15"/>
      <c r="B138" s="472" t="s">
        <v>74</v>
      </c>
      <c r="C138" s="473"/>
      <c r="D138" s="473"/>
      <c r="E138" s="474"/>
      <c r="F138" s="492"/>
      <c r="G138" s="493"/>
      <c r="H138" s="493"/>
      <c r="I138" s="494"/>
      <c r="J138" s="237" t="s">
        <v>104</v>
      </c>
      <c r="K138" s="110" t="s">
        <v>184</v>
      </c>
    </row>
    <row r="139" spans="1:22" s="26" customFormat="1" ht="15.75" hidden="1" thickBot="1" x14ac:dyDescent="0.3">
      <c r="B139" s="472" t="s">
        <v>75</v>
      </c>
      <c r="C139" s="473"/>
      <c r="D139" s="473"/>
      <c r="E139" s="474"/>
      <c r="F139" s="492"/>
      <c r="G139" s="493"/>
      <c r="H139" s="493"/>
      <c r="I139" s="494"/>
      <c r="J139" s="26" t="s">
        <v>104</v>
      </c>
      <c r="K139" s="110" t="s">
        <v>185</v>
      </c>
    </row>
    <row r="140" spans="1:22" s="26" customFormat="1" ht="15.75" hidden="1" thickBot="1" x14ac:dyDescent="0.3">
      <c r="B140" s="472" t="s">
        <v>76</v>
      </c>
      <c r="C140" s="473"/>
      <c r="D140" s="473"/>
      <c r="E140" s="474"/>
      <c r="F140" s="492"/>
      <c r="G140" s="493"/>
      <c r="H140" s="493"/>
      <c r="I140" s="494"/>
      <c r="J140" s="237" t="s">
        <v>104</v>
      </c>
      <c r="K140" s="110" t="s">
        <v>219</v>
      </c>
    </row>
    <row r="141" spans="1:22" s="26" customFormat="1" ht="15.75" hidden="1" thickBot="1" x14ac:dyDescent="0.3">
      <c r="B141" s="472" t="s">
        <v>172</v>
      </c>
      <c r="C141" s="473"/>
      <c r="D141" s="473"/>
      <c r="E141" s="474"/>
      <c r="F141" s="492"/>
      <c r="G141" s="493"/>
      <c r="H141" s="493"/>
      <c r="I141" s="494"/>
      <c r="J141" s="237" t="s">
        <v>104</v>
      </c>
      <c r="K141" s="110" t="s">
        <v>217</v>
      </c>
    </row>
    <row r="142" spans="1:22" s="26" customFormat="1" ht="15.75" hidden="1" thickBot="1" x14ac:dyDescent="0.3">
      <c r="B142" s="472" t="s">
        <v>173</v>
      </c>
      <c r="C142" s="473"/>
      <c r="D142" s="473"/>
      <c r="E142" s="474"/>
      <c r="F142" s="492"/>
      <c r="G142" s="493"/>
      <c r="H142" s="493"/>
      <c r="I142" s="494"/>
      <c r="J142" s="237" t="s">
        <v>104</v>
      </c>
      <c r="K142" s="110" t="s">
        <v>218</v>
      </c>
    </row>
    <row r="143" spans="1:22" s="26" customFormat="1" ht="30" hidden="1" customHeight="1" x14ac:dyDescent="0.25">
      <c r="B143" s="112"/>
      <c r="C143" s="112"/>
      <c r="D143" s="112"/>
      <c r="E143" s="303"/>
      <c r="F143" s="303"/>
      <c r="G143" s="238"/>
      <c r="H143" s="303"/>
      <c r="I143" s="303"/>
      <c r="J143" s="239"/>
      <c r="K143" s="110"/>
    </row>
    <row r="144" spans="1:22" s="26" customFormat="1" ht="15.75" hidden="1" thickBot="1" x14ac:dyDescent="0.3">
      <c r="B144" s="334" t="s">
        <v>171</v>
      </c>
      <c r="C144" s="334"/>
      <c r="D144" s="334"/>
      <c r="E144" s="334"/>
      <c r="F144" s="303"/>
      <c r="G144" s="303"/>
      <c r="H144" s="303"/>
      <c r="I144" s="303"/>
      <c r="J144" s="239"/>
      <c r="K144" s="404" t="s">
        <v>195</v>
      </c>
      <c r="L144" s="404"/>
      <c r="M144" s="404"/>
      <c r="N144" s="404"/>
      <c r="O144" s="404"/>
      <c r="P144" s="292"/>
      <c r="Q144" s="292"/>
      <c r="R144" s="292"/>
      <c r="S144" s="292"/>
      <c r="T144" s="292"/>
      <c r="U144" s="292"/>
      <c r="V144" s="292"/>
    </row>
    <row r="145" spans="1:22" s="26" customFormat="1" ht="29.1" hidden="1" customHeight="1" thickBot="1" x14ac:dyDescent="0.3">
      <c r="B145" s="465" t="s">
        <v>121</v>
      </c>
      <c r="C145" s="466"/>
      <c r="D145" s="466"/>
      <c r="E145" s="466"/>
      <c r="F145" s="466"/>
      <c r="G145" s="466"/>
      <c r="H145" s="466"/>
      <c r="I145" s="467"/>
      <c r="J145" s="239"/>
      <c r="K145" s="404"/>
      <c r="L145" s="404"/>
      <c r="M145" s="404"/>
      <c r="N145" s="404"/>
      <c r="O145" s="404"/>
      <c r="P145" s="292"/>
      <c r="Q145" s="292"/>
      <c r="R145" s="292"/>
      <c r="S145" s="292"/>
      <c r="T145" s="292"/>
      <c r="U145" s="292"/>
      <c r="V145" s="292"/>
    </row>
    <row r="146" spans="1:22" s="26" customFormat="1" ht="30" hidden="1" customHeight="1" thickBot="1" x14ac:dyDescent="0.3">
      <c r="B146" s="472" t="s">
        <v>122</v>
      </c>
      <c r="C146" s="473"/>
      <c r="D146" s="473"/>
      <c r="E146" s="474"/>
      <c r="F146" s="468"/>
      <c r="G146" s="469"/>
      <c r="H146" s="470"/>
      <c r="I146" s="471"/>
      <c r="J146" s="239"/>
      <c r="K146" s="408" t="s">
        <v>186</v>
      </c>
      <c r="L146" s="408"/>
      <c r="M146" s="408"/>
      <c r="N146" s="408"/>
      <c r="O146" s="408"/>
    </row>
    <row r="147" spans="1:22" s="26" customFormat="1" ht="23.1" hidden="1" customHeight="1" thickBot="1" x14ac:dyDescent="0.3">
      <c r="B147" s="472" t="str">
        <f>B134</f>
        <v>Pack Identification</v>
      </c>
      <c r="C147" s="473"/>
      <c r="D147" s="473"/>
      <c r="E147" s="474"/>
      <c r="F147" s="192" t="str">
        <f>IF(ISBLANK(F134),"",F134)</f>
        <v/>
      </c>
      <c r="G147" s="192" t="str">
        <f t="shared" ref="G147:I147" si="5">IF(ISBLANK(G134),"",G134)</f>
        <v/>
      </c>
      <c r="H147" s="192" t="str">
        <f t="shared" si="5"/>
        <v/>
      </c>
      <c r="I147" s="192" t="str">
        <f t="shared" si="5"/>
        <v/>
      </c>
      <c r="J147" s="239"/>
      <c r="K147" s="408"/>
      <c r="L147" s="408"/>
      <c r="M147" s="408"/>
      <c r="N147" s="408"/>
      <c r="O147" s="408"/>
    </row>
    <row r="148" spans="1:22" s="26" customFormat="1" ht="15.75" hidden="1" thickBot="1" x14ac:dyDescent="0.3">
      <c r="B148" s="512" t="s">
        <v>123</v>
      </c>
      <c r="C148" s="513"/>
      <c r="D148" s="513"/>
      <c r="E148" s="514"/>
      <c r="F148" s="145"/>
      <c r="G148" s="154"/>
      <c r="H148" s="154"/>
      <c r="I148" s="154"/>
      <c r="J148" s="239"/>
      <c r="K148" s="408" t="s">
        <v>187</v>
      </c>
      <c r="L148" s="408"/>
      <c r="M148" s="408"/>
      <c r="N148" s="408"/>
      <c r="O148" s="408"/>
    </row>
    <row r="149" spans="1:22" s="26" customFormat="1" ht="75.75" hidden="1" customHeight="1" x14ac:dyDescent="0.25">
      <c r="B149" s="304"/>
      <c r="C149" s="304"/>
      <c r="D149" s="304"/>
      <c r="E149" s="304"/>
      <c r="F149" s="303"/>
      <c r="G149" s="303"/>
      <c r="H149" s="303"/>
      <c r="I149" s="303"/>
      <c r="J149" s="239"/>
      <c r="K149" s="408"/>
      <c r="L149" s="408"/>
      <c r="M149" s="408"/>
      <c r="N149" s="408"/>
      <c r="O149" s="408"/>
    </row>
    <row r="150" spans="1:22" s="26" customFormat="1" hidden="1" x14ac:dyDescent="0.25">
      <c r="B150" s="511"/>
      <c r="C150" s="511"/>
      <c r="D150" s="511"/>
      <c r="E150" s="511"/>
      <c r="K150" s="408"/>
      <c r="L150" s="408"/>
      <c r="M150" s="408"/>
      <c r="N150" s="408"/>
      <c r="O150" s="408"/>
    </row>
    <row r="151" spans="1:22" s="26" customFormat="1" hidden="1" x14ac:dyDescent="0.25">
      <c r="B151" s="303"/>
      <c r="C151" s="303"/>
      <c r="D151" s="303"/>
      <c r="E151" s="303"/>
      <c r="O151" s="21"/>
    </row>
    <row r="152" spans="1:22" s="26" customFormat="1" hidden="1" x14ac:dyDescent="0.25">
      <c r="A152" s="155"/>
      <c r="B152" s="308" t="s">
        <v>124</v>
      </c>
      <c r="C152" s="290"/>
      <c r="D152" s="66"/>
      <c r="E152" s="66"/>
      <c r="F152" s="390"/>
      <c r="G152" s="390"/>
      <c r="H152" s="390"/>
      <c r="I152" s="390"/>
      <c r="O152" s="21"/>
    </row>
    <row r="153" spans="1:22" s="26" customFormat="1" hidden="1" x14ac:dyDescent="0.25">
      <c r="A153" s="14" t="s">
        <v>125</v>
      </c>
      <c r="B153" s="290"/>
      <c r="C153" s="290"/>
      <c r="D153" s="66"/>
      <c r="E153" s="66"/>
      <c r="F153" s="290"/>
      <c r="G153" s="290"/>
      <c r="H153" s="290"/>
      <c r="I153" s="290"/>
      <c r="O153" s="21"/>
    </row>
    <row r="154" spans="1:22" s="26" customFormat="1" ht="15.75" hidden="1" thickBot="1" x14ac:dyDescent="0.3">
      <c r="B154" s="66"/>
      <c r="C154" s="66"/>
      <c r="D154" s="66"/>
      <c r="E154" s="66"/>
      <c r="F154" s="390" t="s">
        <v>126</v>
      </c>
      <c r="G154" s="390"/>
      <c r="H154" s="390"/>
      <c r="I154" s="390"/>
      <c r="O154" s="21"/>
    </row>
    <row r="155" spans="1:22" s="26" customFormat="1" ht="15.75" hidden="1" thickBot="1" x14ac:dyDescent="0.3">
      <c r="B155" s="66"/>
      <c r="C155" s="66"/>
      <c r="D155" s="66"/>
      <c r="E155" s="66"/>
      <c r="F155" s="156" t="str">
        <f>IF(F134="","",F134)</f>
        <v/>
      </c>
      <c r="G155" s="156" t="str">
        <f>IF(G134="","",G134)</f>
        <v/>
      </c>
      <c r="H155" s="156" t="str">
        <f>IF(H134="","",H134)</f>
        <v/>
      </c>
      <c r="I155" s="156" t="str">
        <f>IF(I134="","",I134)</f>
        <v/>
      </c>
      <c r="O155" s="21"/>
    </row>
    <row r="156" spans="1:22" s="26" customFormat="1" hidden="1" x14ac:dyDescent="0.25">
      <c r="A156" s="91" t="s">
        <v>77</v>
      </c>
      <c r="B156" s="475" t="s">
        <v>82</v>
      </c>
      <c r="C156" s="476"/>
      <c r="D156" s="476"/>
      <c r="E156" s="240"/>
      <c r="F156" s="241" t="str">
        <f>IF(OR(F135="",F136="",F137=""),"",IF(F135="Price to Wholesaler",F136,IF(F135="Reimbursement Price",(F158/(1+E157)*1),"Error")))</f>
        <v/>
      </c>
      <c r="G156" s="241" t="str">
        <f>IF(OR(G135="",G136="",F137=""),"",IF(G135="Price to Wholesaler",G136,IF(G135="Reimbursement Price",(G158/(1+E157)*1),"Error")))</f>
        <v/>
      </c>
      <c r="H156" s="241" t="str">
        <f>IF(OR(H135="",H136="",F137=""),"",IF(H135="Price to Wholesaler",H136,IF(H135="Reimbursement Price",(H158/(1+E157)*1),"Error")))</f>
        <v/>
      </c>
      <c r="I156" s="241" t="str">
        <f>IF(OR(I135="",I136="",F137=""),"",IF(I135="Price to Wholesaler",I136,IF(I135="Reimbursement Price",(I158/(1+E157)*1),"Error")))</f>
        <v/>
      </c>
      <c r="O156" s="21"/>
    </row>
    <row r="157" spans="1:22" s="26" customFormat="1" hidden="1" x14ac:dyDescent="0.25">
      <c r="A157" s="297" t="s">
        <v>78</v>
      </c>
      <c r="B157" s="477" t="s">
        <v>83</v>
      </c>
      <c r="C157" s="478"/>
      <c r="D157" s="478"/>
      <c r="E157" s="93" t="str">
        <f>IF(OR(F137=""),"",IF(AND(F137="CDS",F138="Yes"),CYF,IF(AND(F137="CDS",F138="No"),CNF,IF(F137="HT",CHT,IF(F137="Hosp",CHO,"Error")))))</f>
        <v/>
      </c>
      <c r="F157" s="242" t="str">
        <f>IF(OR(F137="",F136="",F135=""),"",F156*E157)</f>
        <v/>
      </c>
      <c r="G157" s="242" t="str">
        <f>IF(OR(F137="",G136="",G135=""),"",G156*E157)</f>
        <v/>
      </c>
      <c r="H157" s="242" t="str">
        <f>IF(OR(F137="",H136="",H135=""),"",H156*E157)</f>
        <v/>
      </c>
      <c r="I157" s="242" t="str">
        <f>IF(OR(F137="",I136="",I135=""),"",I156*E157)</f>
        <v/>
      </c>
      <c r="O157" s="21"/>
    </row>
    <row r="158" spans="1:22" s="26" customFormat="1" hidden="1" x14ac:dyDescent="0.25">
      <c r="A158" s="297" t="s">
        <v>79</v>
      </c>
      <c r="B158" s="477" t="str">
        <f>IF(F137="Hosp","Hospital Price", "Reimbursement Price")</f>
        <v>Reimbursement Price</v>
      </c>
      <c r="C158" s="478"/>
      <c r="D158" s="478"/>
      <c r="E158" s="243" t="str">
        <f>IF(F135="Price to Wholesaler","A+B","")</f>
        <v/>
      </c>
      <c r="F158" s="242" t="str">
        <f>IF(F135="Reimbursement Price",F136,IF(ISBLANK(E157),"",IF(F135="Price to Wholesaler",(F156+F157),IF(F135="","","Error"))))</f>
        <v/>
      </c>
      <c r="G158" s="242" t="str">
        <f>IF(G135="Reimbursement Price",G136,IF(ISBLANK(E157),"",IF(G135="Price to Wholesaler",(G156+G157),IF(G135="","","Error"))))</f>
        <v/>
      </c>
      <c r="H158" s="242" t="str">
        <f>IF(H135="Reimbursement Price",H136,IF(ISBLANK(E157),"",IF(H135="Price to Wholesaler",(H156+H157),IF(H135="","","Error"))))</f>
        <v/>
      </c>
      <c r="I158" s="242" t="str">
        <f>IF(I135="Reimbursement Price",I136,IF(ISBLANK(E157),"",IF(I135="Price to Wholesaler",(I156+I157),IF(I135="","","Error"))))</f>
        <v/>
      </c>
      <c r="O158" s="21"/>
    </row>
    <row r="159" spans="1:22" s="26" customFormat="1" hidden="1" x14ac:dyDescent="0.25">
      <c r="A159" s="297" t="s">
        <v>80</v>
      </c>
      <c r="B159" s="477" t="s">
        <v>214</v>
      </c>
      <c r="C159" s="478"/>
      <c r="D159" s="478"/>
      <c r="E159" s="268" t="str">
        <f>IF(OR(F140="",AND(F140="Yes",F141=""),AND(F140="No",F142="")),"",IF(AND(F140="No",F142="Patented Exclusive or Off Patent Exclusive and subject to clause 10 of Framework Agreement"),MR,IF(AND(F140="No",F142="Off Patent Non-Exclusive or Generic"),"None",IF(AND(F140="Yes",F141="Biosimilar"),"None",IF(AND(F140="Yes",F141="Patented or Off Patent Exclusive"),MR,IF(AND(F140="Yes",F141="Off Patent Non-Exclusive 12.5% Rebate incorporated into Price to Wholesaler"),"None",IF(AND(F140="Yes",F141="Off Patent Non-Exclusive 12.5% Rebate"),MRB,"Error")))))))</f>
        <v/>
      </c>
      <c r="F159" s="242" t="str">
        <f>IF(OR(F140="",AND(F140="Yes",F141=""),AND(F140="No",F142=""),F135="",ISBLANK(F136)),"",IF(E159="None",0,(E159*F156)))</f>
        <v/>
      </c>
      <c r="G159" s="242" t="str">
        <f>IF(OR(F140="",AND(F140="Yes",F141=""),AND(F140="No",F142=""),G135="",ISBLANK(G136)),"",IF(E159="None",0,(E159*G156)))</f>
        <v/>
      </c>
      <c r="H159" s="242" t="str">
        <f>IF(OR(F140="",AND(F140="Yes",F141=""),AND(F140="No",F142=""),H135="",ISBLANK(H136)),"",IF(E159="None",0,(E159*H156)))</f>
        <v/>
      </c>
      <c r="I159" s="242" t="str">
        <f>IF(OR(F140="",AND(F140="Yes",F141=""),AND(F140="No",F142=""),I135="",ISBLANK(I136)),"",IF(E159="None",0,(E159*I156)))</f>
        <v/>
      </c>
      <c r="O159" s="21"/>
    </row>
    <row r="160" spans="1:22" s="26" customFormat="1" ht="15.75" hidden="1" thickBot="1" x14ac:dyDescent="0.3">
      <c r="A160" s="298" t="s">
        <v>81</v>
      </c>
      <c r="B160" s="479" t="s">
        <v>94</v>
      </c>
      <c r="C160" s="480"/>
      <c r="D160" s="480"/>
      <c r="E160" s="160" t="str">
        <f>IF(F139="","",IF(F139="Yes",0,VT))</f>
        <v/>
      </c>
      <c r="F160" s="244" t="str">
        <f>IF(OR($B139="",F136="",ISBLANK(F136)),"",($E160*F158))</f>
        <v/>
      </c>
      <c r="G160" s="244" t="str">
        <f t="shared" ref="G160:I160" si="6">IF(OR($B139="",G136="",ISBLANK(G136)),"",($E160*G158))</f>
        <v/>
      </c>
      <c r="H160" s="244" t="str">
        <f t="shared" si="6"/>
        <v/>
      </c>
      <c r="I160" s="244" t="str">
        <f t="shared" si="6"/>
        <v/>
      </c>
      <c r="O160" s="21"/>
    </row>
    <row r="161" spans="1:20" s="26" customFormat="1" ht="15.75" hidden="1" thickBot="1" x14ac:dyDescent="0.3">
      <c r="A161" s="299" t="s">
        <v>127</v>
      </c>
      <c r="B161" s="481" t="s">
        <v>128</v>
      </c>
      <c r="C161" s="481"/>
      <c r="D161" s="481"/>
      <c r="E161" s="299"/>
      <c r="F161" s="245" t="str">
        <f>IF(OR(F135="",$F137="",$F139="",$F140=""),"",SUM(F158:F160))</f>
        <v/>
      </c>
      <c r="G161" s="245" t="str">
        <f t="shared" ref="G161:I161" si="7">IF(OR(G135="",$F137="",$F139="",$F140=""),"",SUM(G158:G160))</f>
        <v/>
      </c>
      <c r="H161" s="245" t="str">
        <f t="shared" si="7"/>
        <v/>
      </c>
      <c r="I161" s="245" t="str">
        <f t="shared" si="7"/>
        <v/>
      </c>
      <c r="O161" s="21"/>
    </row>
    <row r="162" spans="1:20" s="26" customFormat="1" ht="15.75" hidden="1" thickBot="1" x14ac:dyDescent="0.3">
      <c r="A162" s="299" t="s">
        <v>129</v>
      </c>
      <c r="B162" s="482" t="s">
        <v>130</v>
      </c>
      <c r="C162" s="482"/>
      <c r="D162" s="482"/>
      <c r="E162" s="245"/>
      <c r="F162" s="245" t="str">
        <f>IF(OR(F135="",$F137="",$F139="",$F140=""),"",SUM(F158:F159))</f>
        <v/>
      </c>
      <c r="G162" s="245" t="str">
        <f t="shared" ref="G162:I162" si="8">IF(OR(G135="",$F137="",$F139="",$F140=""),"",SUM(G158:G159))</f>
        <v/>
      </c>
      <c r="H162" s="245" t="str">
        <f t="shared" si="8"/>
        <v/>
      </c>
      <c r="I162" s="245" t="str">
        <f t="shared" si="8"/>
        <v/>
      </c>
      <c r="O162" s="21"/>
    </row>
    <row r="163" spans="1:20" s="26" customFormat="1" hidden="1" x14ac:dyDescent="0.25">
      <c r="B163" s="66"/>
      <c r="C163" s="66"/>
      <c r="D163" s="66"/>
      <c r="E163" s="66"/>
      <c r="K163" s="26" t="s">
        <v>131</v>
      </c>
      <c r="O163" s="21"/>
    </row>
    <row r="164" spans="1:20" s="26" customFormat="1" hidden="1" x14ac:dyDescent="0.25">
      <c r="A164" s="155" t="s">
        <v>132</v>
      </c>
      <c r="B164" s="66"/>
      <c r="C164" s="66"/>
      <c r="D164" s="66"/>
      <c r="E164" s="66"/>
      <c r="F164" s="246"/>
      <c r="G164" s="246"/>
      <c r="H164" s="246"/>
      <c r="I164" s="246"/>
      <c r="O164" s="21"/>
    </row>
    <row r="165" spans="1:20" s="26" customFormat="1" hidden="1" x14ac:dyDescent="0.25">
      <c r="A165" s="125"/>
      <c r="B165" s="125" t="s">
        <v>133</v>
      </c>
      <c r="C165" s="125"/>
      <c r="D165" s="125"/>
      <c r="E165" s="125"/>
      <c r="F165" s="125"/>
      <c r="G165" s="125"/>
      <c r="H165" s="125"/>
      <c r="O165" s="21"/>
    </row>
    <row r="166" spans="1:20" s="26" customFormat="1" hidden="1" x14ac:dyDescent="0.25">
      <c r="B166" s="21" t="s">
        <v>134</v>
      </c>
      <c r="C166" s="229"/>
      <c r="D166" s="229"/>
      <c r="E166" s="66"/>
      <c r="O166" s="21"/>
    </row>
    <row r="167" spans="1:20" s="26" customFormat="1" ht="15.75" hidden="1" thickBot="1" x14ac:dyDescent="0.3">
      <c r="B167" s="165"/>
      <c r="C167" s="229"/>
      <c r="D167" s="229"/>
      <c r="E167" s="66"/>
      <c r="O167" s="21"/>
    </row>
    <row r="168" spans="1:20" s="26" customFormat="1" ht="15.75" hidden="1" thickBot="1" x14ac:dyDescent="0.3">
      <c r="B168" s="230"/>
      <c r="C168" s="66"/>
      <c r="D168" s="66"/>
      <c r="E168" s="66"/>
      <c r="G168" s="293" t="s">
        <v>135</v>
      </c>
      <c r="H168" s="293" t="s">
        <v>136</v>
      </c>
      <c r="O168" s="21"/>
    </row>
    <row r="169" spans="1:20" s="26" customFormat="1" hidden="1" x14ac:dyDescent="0.25">
      <c r="B169" s="483" t="s">
        <v>137</v>
      </c>
      <c r="C169" s="484"/>
      <c r="D169" s="484"/>
      <c r="E169" s="484"/>
      <c r="F169" s="485"/>
      <c r="G169" s="247" t="str">
        <f>IF(F137="","",IF(F137="CDS","per dispensing",IF(F137="HT","per month",IF(F137="Hosp","No Fee", ERROR))))</f>
        <v/>
      </c>
      <c r="H169" s="248" t="str">
        <f>IF(F137="","",IF(F137="CDS",DF,IF(F137="HT",PC,IF(F137="Hosp","No Fee",ERROR))))</f>
        <v/>
      </c>
      <c r="I169" s="26" t="s">
        <v>138</v>
      </c>
      <c r="O169" s="21"/>
    </row>
    <row r="170" spans="1:20" s="26" customFormat="1" ht="15.75" hidden="1" thickBot="1" x14ac:dyDescent="0.3">
      <c r="B170" s="486" t="s">
        <v>92</v>
      </c>
      <c r="C170" s="487"/>
      <c r="D170" s="487"/>
      <c r="E170" s="487"/>
      <c r="F170" s="488"/>
      <c r="G170" s="249" t="str">
        <f>IF(OR(F137="",F139=""),"",IF(F137="Hosp","No Fee",IF(F137="HT","No VAT",IF(AND(F137="CDS",F139="No"),VT,"No VAT"))))</f>
        <v/>
      </c>
      <c r="H170" s="250" t="str">
        <f>IF(OR(F139="",F137="Hosp"),"",IF(OR(F139="Yes",F137="HT"),0,H169*G170))</f>
        <v/>
      </c>
      <c r="O170" s="21"/>
    </row>
    <row r="171" spans="1:20" s="26" customFormat="1" hidden="1" x14ac:dyDescent="0.25">
      <c r="B171" s="230"/>
      <c r="C171" s="66"/>
      <c r="D171" s="66"/>
      <c r="E171" s="66"/>
      <c r="O171" s="21"/>
    </row>
    <row r="172" spans="1:20" s="26" customFormat="1" hidden="1" x14ac:dyDescent="0.25">
      <c r="B172" s="230"/>
      <c r="C172" s="66"/>
      <c r="D172" s="66"/>
      <c r="E172" s="66"/>
      <c r="O172" s="21"/>
    </row>
    <row r="173" spans="1:20" s="26" customFormat="1" ht="33.950000000000003" hidden="1" customHeight="1" thickBot="1" x14ac:dyDescent="0.3">
      <c r="A173" s="165" t="s">
        <v>193</v>
      </c>
      <c r="B173" s="230"/>
      <c r="C173" s="66"/>
      <c r="D173" s="66"/>
      <c r="E173" s="66"/>
      <c r="K173" s="408" t="s">
        <v>197</v>
      </c>
      <c r="L173" s="408"/>
      <c r="M173" s="408"/>
      <c r="N173" s="408"/>
      <c r="O173" s="408"/>
      <c r="P173" s="195"/>
      <c r="Q173" s="195"/>
      <c r="R173" s="195"/>
      <c r="S173" s="195"/>
      <c r="T173" s="195"/>
    </row>
    <row r="174" spans="1:20" s="26" customFormat="1" ht="17.100000000000001" hidden="1" customHeight="1" thickBot="1" x14ac:dyDescent="0.3">
      <c r="A174" s="14" t="s">
        <v>194</v>
      </c>
      <c r="B174" s="230"/>
      <c r="C174" s="66"/>
      <c r="D174" s="66"/>
      <c r="E174" s="66"/>
      <c r="G174" s="293" t="s">
        <v>101</v>
      </c>
      <c r="H174" s="293" t="s">
        <v>136</v>
      </c>
      <c r="K174" s="408" t="str">
        <f>IF(F137="HT","For High tech, if a treatment cycle =28 days the corresponding pharmacy fee is =62.03*12/365.25*28.  The pharmacy fee remains the same regardless of the number of products dispensed that month.",IF(F137="CDS","For CDS, if 2 packets of the same pack presentation are required per treatment cycle, one dispensing fee applies (€5.48). If multiple pack presentations are required, multiple dispensing fees apply",""))</f>
        <v/>
      </c>
      <c r="L174" s="408"/>
      <c r="M174" s="408"/>
      <c r="N174" s="408"/>
      <c r="O174" s="408"/>
      <c r="P174" s="195"/>
      <c r="Q174" s="195"/>
      <c r="R174" s="195"/>
      <c r="S174" s="195"/>
      <c r="T174" s="195"/>
    </row>
    <row r="175" spans="1:20" s="26" customFormat="1" ht="16.5" hidden="1" customHeight="1" x14ac:dyDescent="0.25">
      <c r="A175" s="170" t="s">
        <v>139</v>
      </c>
      <c r="B175" s="504" t="s">
        <v>140</v>
      </c>
      <c r="C175" s="504"/>
      <c r="D175" s="504"/>
      <c r="E175" s="504"/>
      <c r="F175" s="504"/>
      <c r="G175" s="251"/>
      <c r="H175" s="252"/>
      <c r="K175" s="408"/>
      <c r="L175" s="408"/>
      <c r="M175" s="408"/>
      <c r="N175" s="408"/>
      <c r="O175" s="408"/>
      <c r="P175" s="195"/>
      <c r="Q175" s="195"/>
      <c r="R175" s="195"/>
      <c r="S175" s="195"/>
      <c r="T175" s="195"/>
    </row>
    <row r="176" spans="1:20" s="26" customFormat="1" hidden="1" x14ac:dyDescent="0.25">
      <c r="A176" s="173" t="s">
        <v>141</v>
      </c>
      <c r="B176" s="505" t="s">
        <v>142</v>
      </c>
      <c r="C176" s="505"/>
      <c r="D176" s="505"/>
      <c r="E176" s="505"/>
      <c r="F176" s="505"/>
      <c r="G176" s="253"/>
      <c r="H176" s="254"/>
      <c r="K176" s="14" t="s">
        <v>188</v>
      </c>
      <c r="O176" s="21"/>
    </row>
    <row r="177" spans="1:15" s="26" customFormat="1" hidden="1" x14ac:dyDescent="0.25">
      <c r="A177" s="173" t="s">
        <v>143</v>
      </c>
      <c r="B177" s="505" t="s">
        <v>144</v>
      </c>
      <c r="C177" s="505"/>
      <c r="D177" s="505"/>
      <c r="E177" s="505"/>
      <c r="F177" s="505"/>
      <c r="G177" s="253"/>
      <c r="H177" s="254"/>
      <c r="K177" s="14" t="s">
        <v>189</v>
      </c>
      <c r="O177" s="21"/>
    </row>
    <row r="178" spans="1:15" s="26" customFormat="1" hidden="1" x14ac:dyDescent="0.25">
      <c r="A178" s="173" t="s">
        <v>145</v>
      </c>
      <c r="B178" s="505" t="s">
        <v>146</v>
      </c>
      <c r="C178" s="505"/>
      <c r="D178" s="505"/>
      <c r="E178" s="505"/>
      <c r="F178" s="505"/>
      <c r="G178" s="255"/>
      <c r="H178" s="256" t="str">
        <f>IF(ISBLANK(H175),"",SUM(H175:H177))</f>
        <v/>
      </c>
      <c r="O178" s="21"/>
    </row>
    <row r="179" spans="1:15" s="26" customFormat="1" ht="15.75" hidden="1" thickBot="1" x14ac:dyDescent="0.3">
      <c r="A179" s="178" t="s">
        <v>147</v>
      </c>
      <c r="B179" s="515" t="s">
        <v>196</v>
      </c>
      <c r="C179" s="515"/>
      <c r="D179" s="515"/>
      <c r="E179" s="515"/>
      <c r="F179" s="515"/>
      <c r="G179" s="257"/>
      <c r="H179" s="250" t="str">
        <f>IF(ISBLANK(H175),"",SUM(H175:H176))</f>
        <v/>
      </c>
      <c r="O179" s="21"/>
    </row>
    <row r="180" spans="1:15" s="26" customFormat="1" hidden="1" x14ac:dyDescent="0.25">
      <c r="B180" s="66"/>
      <c r="C180" s="66"/>
      <c r="D180" s="66"/>
      <c r="E180" s="66"/>
      <c r="O180" s="21"/>
    </row>
    <row r="181" spans="1:15" s="26" customFormat="1" hidden="1" x14ac:dyDescent="0.25">
      <c r="B181" s="66"/>
      <c r="C181" s="66"/>
      <c r="D181" s="66"/>
      <c r="E181" s="66"/>
      <c r="O181" s="21"/>
    </row>
    <row r="182" spans="1:15" s="26" customFormat="1" hidden="1" x14ac:dyDescent="0.25">
      <c r="A182" s="155" t="s">
        <v>148</v>
      </c>
      <c r="B182" s="66"/>
      <c r="C182" s="66"/>
      <c r="D182" s="66"/>
      <c r="E182" s="66"/>
      <c r="O182" s="21"/>
    </row>
    <row r="183" spans="1:15" s="26" customFormat="1" ht="15.75" hidden="1" thickBot="1" x14ac:dyDescent="0.3">
      <c r="B183" s="66"/>
      <c r="C183" s="66"/>
      <c r="D183" s="66"/>
      <c r="E183" s="66"/>
      <c r="O183" s="21"/>
    </row>
    <row r="184" spans="1:15" s="26" customFormat="1" ht="29.1" hidden="1" customHeight="1" x14ac:dyDescent="0.25">
      <c r="A184" s="65"/>
      <c r="B184" s="303"/>
      <c r="C184" s="303"/>
      <c r="D184" s="303"/>
      <c r="E184" s="303"/>
      <c r="F184" s="506" t="s">
        <v>149</v>
      </c>
      <c r="G184" s="180" t="s">
        <v>150</v>
      </c>
      <c r="H184" s="508" t="s">
        <v>151</v>
      </c>
      <c r="I184" s="180" t="s">
        <v>152</v>
      </c>
      <c r="J184" s="66"/>
      <c r="K184" s="408" t="s">
        <v>190</v>
      </c>
      <c r="L184" s="408"/>
      <c r="M184" s="408"/>
      <c r="N184" s="408"/>
      <c r="O184" s="408"/>
    </row>
    <row r="185" spans="1:15" s="26" customFormat="1" hidden="1" x14ac:dyDescent="0.25">
      <c r="A185" s="65"/>
      <c r="B185" s="303"/>
      <c r="C185" s="303"/>
      <c r="D185" s="303"/>
      <c r="E185" s="303"/>
      <c r="F185" s="507"/>
      <c r="G185" s="253"/>
      <c r="H185" s="509"/>
      <c r="I185" s="182"/>
      <c r="J185" s="66"/>
      <c r="K185" s="408"/>
      <c r="L185" s="408"/>
      <c r="M185" s="408"/>
      <c r="N185" s="408"/>
      <c r="O185" s="408"/>
    </row>
    <row r="186" spans="1:15" s="26" customFormat="1" ht="15.75" hidden="1" thickBot="1" x14ac:dyDescent="0.3">
      <c r="A186" s="65"/>
      <c r="B186" s="303"/>
      <c r="C186" s="303"/>
      <c r="D186" s="303"/>
      <c r="E186" s="303"/>
      <c r="F186" s="507"/>
      <c r="G186" s="183" t="s">
        <v>153</v>
      </c>
      <c r="H186" s="510"/>
      <c r="I186" s="184"/>
      <c r="J186" s="66"/>
      <c r="K186" s="408"/>
      <c r="L186" s="408"/>
      <c r="M186" s="408"/>
      <c r="N186" s="408"/>
      <c r="O186" s="408"/>
    </row>
    <row r="187" spans="1:15" s="26" customFormat="1" hidden="1" x14ac:dyDescent="0.25">
      <c r="A187" s="247" t="s">
        <v>77</v>
      </c>
      <c r="B187" s="463" t="str">
        <f>B156</f>
        <v>Price to Wholesaler</v>
      </c>
      <c r="C187" s="463"/>
      <c r="D187" s="463"/>
      <c r="E187" s="463"/>
      <c r="F187" s="256">
        <f>SUMPRODUCT(F156:I156,F148:I148)</f>
        <v>0</v>
      </c>
      <c r="G187" s="256">
        <f>F187*G185</f>
        <v>0</v>
      </c>
      <c r="H187" s="256" t="str">
        <f>IF(H146="Days",F187/F146*365.25,IF(H146="Months",F187/F146*12,""))</f>
        <v/>
      </c>
      <c r="I187" s="256" t="str">
        <f>IF(AND(H146="Days",I186="Days"),F187/F146*I185,IF(AND(H146="Months",I186="Months"),F187/F146*I185,IF(AND(H146="Days",I186="Months"),F187/F146*30.4375*I185,IF(AND(H146="Months",I186="Days"),F187/F146/30.4375*I185,""))))</f>
        <v/>
      </c>
      <c r="O187" s="21"/>
    </row>
    <row r="188" spans="1:15" s="26" customFormat="1" hidden="1" x14ac:dyDescent="0.25">
      <c r="A188" s="255" t="s">
        <v>78</v>
      </c>
      <c r="B188" s="464" t="str">
        <f>B157</f>
        <v>Wholesale Mark-up</v>
      </c>
      <c r="C188" s="464"/>
      <c r="D188" s="464"/>
      <c r="E188" s="464"/>
      <c r="F188" s="256">
        <f>SUMPRODUCT(F157:I157,F148:I148)</f>
        <v>0</v>
      </c>
      <c r="G188" s="256">
        <f>F188*G185</f>
        <v>0</v>
      </c>
      <c r="H188" s="256" t="str">
        <f>IF(H146="Days",F188/F146*365.25,IF(H146="Months",F188/F146*12,""))</f>
        <v/>
      </c>
      <c r="I188" s="256" t="str">
        <f>IF(AND(H146="Days",I186="Days"),F188/F146*I185,IF(AND(H146="Months",I186="Months"),F188/F146*I185,IF(AND(H146="Days",I186="Months"),F188/F146*30.4375*I185,IF(AND(H146="Months",I186="Days"),F188/F146/30.4375*I185,""))))</f>
        <v/>
      </c>
      <c r="O188" s="21"/>
    </row>
    <row r="189" spans="1:15" s="26" customFormat="1" hidden="1" x14ac:dyDescent="0.25">
      <c r="A189" s="255" t="s">
        <v>79</v>
      </c>
      <c r="B189" s="294" t="str">
        <f>B158</f>
        <v>Reimbursement Price</v>
      </c>
      <c r="C189" s="300"/>
      <c r="D189" s="301"/>
      <c r="E189" s="302"/>
      <c r="F189" s="256">
        <f>SUMPRODUCT(F158:I158,F148:I148)</f>
        <v>0</v>
      </c>
      <c r="G189" s="256">
        <f>F189*G185</f>
        <v>0</v>
      </c>
      <c r="H189" s="256" t="str">
        <f>IF(H146="Days",F189/F146*365.25,IF(H146="Months",F189/F146*12,""))</f>
        <v/>
      </c>
      <c r="I189" s="256" t="str">
        <f>IF(AND(H146="Days",I186="Days"),F189/F146*I185,IF(AND(H146="Months",I186="Months"),F189/F146*I185,IF(AND(H146="Days",I186="Months"),F189/F146*30.4375*I185,IF(AND(H146="Months",I186="Days"),F189/F146/30.4375*I185,""))))</f>
        <v/>
      </c>
      <c r="O189" s="21"/>
    </row>
    <row r="190" spans="1:15" s="26" customFormat="1" hidden="1" x14ac:dyDescent="0.25">
      <c r="A190" s="255" t="s">
        <v>80</v>
      </c>
      <c r="B190" s="495" t="str">
        <f>B159</f>
        <v>Framework Agreement Rebate</v>
      </c>
      <c r="C190" s="496"/>
      <c r="D190" s="496"/>
      <c r="E190" s="497"/>
      <c r="F190" s="256">
        <f>SUMPRODUCT(F159:I159,F148:I148)</f>
        <v>0</v>
      </c>
      <c r="G190" s="256">
        <f>F190*G185</f>
        <v>0</v>
      </c>
      <c r="H190" s="256" t="str">
        <f>IF(H146="Days",F190/F146*365.25,IF(H146="Months",F190/F146*12,""))</f>
        <v/>
      </c>
      <c r="I190" s="256" t="str">
        <f>IF(AND(H146="Days",I186="Days"),F190/F146*I185,IF(AND(H146="Months",I186="Months"),F190/F146*I185,IF(AND(H146="Days",I186="Months"),F190/F146*30.4375*I185,IF(AND(H146="Months",I186="Days"),F190/F146/30.4375*I185,""))))</f>
        <v/>
      </c>
      <c r="O190" s="21"/>
    </row>
    <row r="191" spans="1:15" s="26" customFormat="1" hidden="1" x14ac:dyDescent="0.25">
      <c r="A191" s="255" t="s">
        <v>81</v>
      </c>
      <c r="B191" s="495" t="str">
        <f>B160</f>
        <v xml:space="preserve">VAT on Drug Cost </v>
      </c>
      <c r="C191" s="496"/>
      <c r="D191" s="496"/>
      <c r="E191" s="497"/>
      <c r="F191" s="256">
        <f>SUMPRODUCT(F160:I160,F148:I148)</f>
        <v>0</v>
      </c>
      <c r="G191" s="256">
        <f>F191*G185</f>
        <v>0</v>
      </c>
      <c r="H191" s="256" t="str">
        <f>IF(H146="Days",F191/F146*365.25,IF(H146="Months",F191/F146*12,""))</f>
        <v/>
      </c>
      <c r="I191" s="256" t="str">
        <f>IF(AND(H146="Days",I186="Days"),F191/F146*I185,IF(AND(H146="Months",I186="Months"),F191/F146*I185,IF(AND(H146="Days",I186="Months"),F191/F146*30.4375*I185,IF(AND(H146="Months",I186="Days"),F191/F146/30.4375*I185,""))))</f>
        <v/>
      </c>
      <c r="O191" s="21"/>
    </row>
    <row r="192" spans="1:15" s="26" customFormat="1" hidden="1" x14ac:dyDescent="0.25">
      <c r="A192" s="255" t="s">
        <v>154</v>
      </c>
      <c r="B192" s="495" t="s">
        <v>155</v>
      </c>
      <c r="C192" s="496"/>
      <c r="D192" s="496"/>
      <c r="E192" s="497"/>
      <c r="F192" s="256" t="str">
        <f>IF(H178="","",H178)</f>
        <v/>
      </c>
      <c r="G192" s="256" t="str">
        <f>IF(F192="","",F192*G185)</f>
        <v/>
      </c>
      <c r="H192" s="256" t="str">
        <f>IF(F192="","",IF(H146="Days",F192/F146*365.25,IF(H146="Months",F192/F146*12,"")))</f>
        <v/>
      </c>
      <c r="I192" s="256" t="str">
        <f>IF(F192="","",IF(AND(H146="Days",I186="Days"),F192/F146*I185,IF(AND(H146="Months",I186="Months"),F192/F146*I185,IF(AND(H146="Days",I186="Months"),F192/F146*30.4375*I185,IF(AND(H146="Months",I186="Days"),F192/F146/30.4375*I185,"")))))</f>
        <v/>
      </c>
      <c r="O192" s="21"/>
    </row>
    <row r="193" spans="1:19" s="26" customFormat="1" hidden="1" x14ac:dyDescent="0.25">
      <c r="A193" s="255" t="s">
        <v>156</v>
      </c>
      <c r="B193" s="495" t="s">
        <v>157</v>
      </c>
      <c r="C193" s="496"/>
      <c r="D193" s="496"/>
      <c r="E193" s="497"/>
      <c r="F193" s="256" t="str">
        <f>IF(H179="","",H179)</f>
        <v/>
      </c>
      <c r="G193" s="256" t="str">
        <f>IF(F193="","",F193*G185)</f>
        <v/>
      </c>
      <c r="H193" s="256" t="str">
        <f>IF(F193="","",IF(H146="Days",F193/F146*365.25,IF(H146="Months",F193/F146*12,"")))</f>
        <v/>
      </c>
      <c r="I193" s="256" t="str">
        <f>IF(F193="","",IF(AND(H146="Days",I186="Days"),F193/F146*I185,IF(AND(H146="Months",I186="Months"),F193/F146*I185,IF(AND(H146="Days",I186="Months"),F193/F146*30.4375*I185,IF(AND(H146="Months",I186="Days"),F193/F146/30.4375*I185,"")))))</f>
        <v/>
      </c>
      <c r="O193" s="21"/>
    </row>
    <row r="194" spans="1:19" s="155" customFormat="1" hidden="1" x14ac:dyDescent="0.25">
      <c r="A194" s="186" t="s">
        <v>158</v>
      </c>
      <c r="B194" s="498" t="s">
        <v>159</v>
      </c>
      <c r="C194" s="499"/>
      <c r="D194" s="499"/>
      <c r="E194" s="500"/>
      <c r="F194" s="187">
        <f>SUM(F189:F192)</f>
        <v>0</v>
      </c>
      <c r="G194" s="187">
        <f t="shared" ref="G194:I194" si="9">SUM(G189:G192)</f>
        <v>0</v>
      </c>
      <c r="H194" s="187">
        <f t="shared" si="9"/>
        <v>0</v>
      </c>
      <c r="I194" s="187">
        <f t="shared" si="9"/>
        <v>0</v>
      </c>
      <c r="K194" s="98" t="s">
        <v>191</v>
      </c>
      <c r="O194" s="189"/>
    </row>
    <row r="195" spans="1:19" s="26" customFormat="1" ht="15.75" hidden="1" thickBot="1" x14ac:dyDescent="0.3">
      <c r="A195" s="257" t="s">
        <v>160</v>
      </c>
      <c r="B195" s="501" t="s">
        <v>161</v>
      </c>
      <c r="C195" s="502"/>
      <c r="D195" s="502"/>
      <c r="E195" s="503"/>
      <c r="F195" s="250">
        <f>IF(F193="",SUM(F189+F190),F189+F190+F193)</f>
        <v>0</v>
      </c>
      <c r="G195" s="250">
        <f t="shared" ref="G195" si="10">IF(G193="",SUM(G189+G190),G189+G190+G193)</f>
        <v>0</v>
      </c>
      <c r="H195" s="250" t="e">
        <f>IF(H193="",SUM(H189+H190),H189+H190+H193)</f>
        <v>#VALUE!</v>
      </c>
      <c r="I195" s="250" t="e">
        <f t="shared" ref="I195" si="11">IF(I193="",SUM(I189+I190),I189+I190+I193)</f>
        <v>#VALUE!</v>
      </c>
      <c r="K195" s="14" t="s">
        <v>192</v>
      </c>
      <c r="O195" s="21"/>
    </row>
    <row r="196" spans="1:19" s="26" customFormat="1" hidden="1" x14ac:dyDescent="0.25">
      <c r="B196" s="229"/>
      <c r="C196" s="66"/>
      <c r="D196" s="66"/>
      <c r="E196" s="66"/>
      <c r="O196" s="21"/>
    </row>
    <row r="197" spans="1:19" s="26" customFormat="1" hidden="1" x14ac:dyDescent="0.25"/>
    <row r="198" spans="1:19" s="26" customFormat="1" hidden="1" x14ac:dyDescent="0.25">
      <c r="B198" s="308" t="s">
        <v>101</v>
      </c>
      <c r="C198" s="308"/>
      <c r="D198" s="308"/>
      <c r="E198" s="308"/>
    </row>
    <row r="199" spans="1:19" s="26" customFormat="1" ht="15.75" hidden="1" customHeight="1" x14ac:dyDescent="0.25"/>
    <row r="200" spans="1:19" s="26" customFormat="1" hidden="1" x14ac:dyDescent="0.25">
      <c r="B200" s="234"/>
      <c r="C200" s="234"/>
      <c r="D200" s="234"/>
      <c r="E200" s="234"/>
      <c r="F200" s="234"/>
      <c r="G200" s="234"/>
      <c r="H200" s="234"/>
      <c r="I200" s="234"/>
      <c r="J200" s="234"/>
      <c r="K200" s="234"/>
      <c r="L200" s="234"/>
      <c r="M200" s="234"/>
      <c r="N200" s="234"/>
      <c r="O200" s="234"/>
      <c r="P200" s="234"/>
      <c r="Q200" s="234"/>
      <c r="R200" s="234"/>
      <c r="S200" s="234"/>
    </row>
    <row r="201" spans="1:19" s="26" customFormat="1" hidden="1" x14ac:dyDescent="0.25">
      <c r="B201" s="234"/>
      <c r="C201" s="234"/>
      <c r="D201" s="234"/>
      <c r="E201" s="234"/>
      <c r="F201" s="234"/>
      <c r="G201" s="234"/>
      <c r="H201" s="234"/>
      <c r="I201" s="234"/>
      <c r="J201" s="234"/>
      <c r="K201" s="234"/>
      <c r="L201" s="234"/>
      <c r="M201" s="234"/>
      <c r="N201" s="234"/>
      <c r="O201" s="234"/>
      <c r="P201" s="234"/>
      <c r="Q201" s="234"/>
      <c r="R201" s="234"/>
      <c r="S201" s="234"/>
    </row>
    <row r="202" spans="1:19" s="26" customFormat="1" hidden="1" x14ac:dyDescent="0.25">
      <c r="B202" s="234"/>
      <c r="C202" s="234"/>
      <c r="D202" s="234"/>
      <c r="E202" s="234"/>
      <c r="F202" s="234"/>
      <c r="G202" s="234"/>
      <c r="H202" s="234"/>
      <c r="I202" s="234"/>
      <c r="J202" s="234"/>
      <c r="K202" s="234"/>
      <c r="L202" s="234"/>
      <c r="M202" s="234"/>
      <c r="N202" s="234"/>
      <c r="O202" s="234"/>
      <c r="P202" s="234"/>
      <c r="Q202" s="234"/>
      <c r="R202" s="234"/>
      <c r="S202" s="234"/>
    </row>
    <row r="203" spans="1:19" s="26" customFormat="1" hidden="1" x14ac:dyDescent="0.25">
      <c r="B203" s="234"/>
      <c r="C203" s="234"/>
      <c r="D203" s="234"/>
      <c r="E203" s="234"/>
      <c r="F203" s="234"/>
      <c r="G203" s="234"/>
      <c r="H203" s="234"/>
      <c r="I203" s="234"/>
      <c r="J203" s="234"/>
      <c r="K203" s="234"/>
      <c r="L203" s="234"/>
      <c r="M203" s="234"/>
      <c r="N203" s="234"/>
      <c r="O203" s="234"/>
      <c r="P203" s="234"/>
      <c r="Q203" s="234"/>
      <c r="R203" s="234"/>
      <c r="S203" s="234"/>
    </row>
    <row r="204" spans="1:19" s="26" customFormat="1" hidden="1" x14ac:dyDescent="0.25">
      <c r="B204" s="234"/>
      <c r="C204" s="234"/>
      <c r="D204" s="234"/>
      <c r="E204" s="234"/>
      <c r="F204" s="234"/>
      <c r="G204" s="234"/>
      <c r="H204" s="234"/>
      <c r="I204" s="234"/>
      <c r="J204" s="234"/>
      <c r="K204" s="234"/>
      <c r="L204" s="234"/>
      <c r="M204" s="234"/>
      <c r="N204" s="234"/>
      <c r="O204" s="234"/>
      <c r="P204" s="234"/>
      <c r="Q204" s="234"/>
      <c r="R204" s="234"/>
      <c r="S204" s="234"/>
    </row>
    <row r="205" spans="1:19" s="26" customFormat="1" hidden="1" x14ac:dyDescent="0.25">
      <c r="B205" s="234"/>
      <c r="C205" s="234"/>
      <c r="D205" s="234"/>
      <c r="E205" s="234"/>
      <c r="F205" s="234"/>
      <c r="G205" s="234"/>
      <c r="H205" s="234"/>
      <c r="I205" s="234"/>
      <c r="J205" s="234"/>
      <c r="K205" s="234"/>
      <c r="L205" s="234"/>
      <c r="M205" s="234"/>
      <c r="N205" s="234"/>
      <c r="O205" s="234"/>
      <c r="P205" s="234"/>
      <c r="Q205" s="234"/>
      <c r="R205" s="234"/>
      <c r="S205" s="234"/>
    </row>
    <row r="206" spans="1:19" s="26" customFormat="1" hidden="1" x14ac:dyDescent="0.25">
      <c r="B206" s="234"/>
      <c r="C206" s="234"/>
      <c r="D206" s="234"/>
      <c r="E206" s="234"/>
      <c r="F206" s="234"/>
      <c r="G206" s="234"/>
      <c r="H206" s="234"/>
      <c r="I206" s="234"/>
      <c r="J206" s="234"/>
      <c r="K206" s="234"/>
      <c r="L206" s="234"/>
      <c r="M206" s="234"/>
      <c r="N206" s="234"/>
      <c r="O206" s="234"/>
      <c r="P206" s="234"/>
      <c r="Q206" s="234"/>
      <c r="R206" s="234"/>
      <c r="S206" s="234"/>
    </row>
    <row r="207" spans="1:19" s="26" customFormat="1" hidden="1" x14ac:dyDescent="0.25">
      <c r="B207" s="234"/>
      <c r="C207" s="234"/>
      <c r="D207" s="234"/>
      <c r="E207" s="234"/>
      <c r="F207" s="234"/>
      <c r="G207" s="234"/>
      <c r="H207" s="234"/>
      <c r="I207" s="234"/>
      <c r="J207" s="234"/>
      <c r="K207" s="234"/>
      <c r="L207" s="234"/>
      <c r="M207" s="234"/>
      <c r="N207" s="234"/>
      <c r="O207" s="234"/>
      <c r="P207" s="234"/>
      <c r="Q207" s="234"/>
      <c r="R207" s="234"/>
      <c r="S207" s="234"/>
    </row>
    <row r="208" spans="1:19" s="26" customFormat="1" hidden="1" x14ac:dyDescent="0.25">
      <c r="B208" s="234"/>
      <c r="C208" s="234"/>
      <c r="D208" s="234"/>
      <c r="E208" s="234"/>
      <c r="F208" s="234"/>
      <c r="G208" s="234"/>
      <c r="H208" s="234"/>
      <c r="I208" s="234"/>
      <c r="J208" s="234"/>
      <c r="K208" s="234"/>
      <c r="L208" s="234"/>
      <c r="M208" s="234"/>
      <c r="N208" s="234"/>
      <c r="O208" s="234"/>
      <c r="P208" s="234"/>
      <c r="Q208" s="234"/>
      <c r="R208" s="234"/>
      <c r="S208" s="234"/>
    </row>
    <row r="209" spans="1:22" s="26" customFormat="1" hidden="1" x14ac:dyDescent="0.25">
      <c r="B209" s="234"/>
      <c r="C209" s="234"/>
      <c r="D209" s="234"/>
      <c r="E209" s="234"/>
      <c r="F209" s="234"/>
      <c r="G209" s="234"/>
      <c r="H209" s="234"/>
      <c r="I209" s="234"/>
      <c r="J209" s="234"/>
      <c r="K209" s="234"/>
      <c r="L209" s="234"/>
      <c r="M209" s="234"/>
      <c r="N209" s="234"/>
      <c r="O209" s="234"/>
      <c r="P209" s="234"/>
      <c r="Q209" s="234"/>
      <c r="R209" s="234"/>
      <c r="S209" s="234"/>
    </row>
    <row r="210" spans="1:22" s="26" customFormat="1" hidden="1" x14ac:dyDescent="0.25"/>
    <row r="211" spans="1:22" s="26" customFormat="1" hidden="1" x14ac:dyDescent="0.25"/>
    <row r="212" spans="1:22" s="26" customFormat="1" ht="15.75" hidden="1" thickBot="1" x14ac:dyDescent="0.3"/>
    <row r="213" spans="1:22" s="26" customFormat="1" ht="15.75" hidden="1" thickBot="1" x14ac:dyDescent="0.3">
      <c r="B213" s="410" t="str">
        <f>CONCATENATE("Comparator 2: ",NameComparator2)</f>
        <v xml:space="preserve">Comparator 2: </v>
      </c>
      <c r="C213" s="411"/>
      <c r="D213" s="411"/>
      <c r="E213" s="411"/>
      <c r="F213" s="411"/>
      <c r="G213" s="412"/>
    </row>
    <row r="214" spans="1:22" s="26" customFormat="1" hidden="1" x14ac:dyDescent="0.25">
      <c r="B214" s="227"/>
      <c r="C214" s="227"/>
      <c r="D214" s="227"/>
      <c r="F214" s="303"/>
      <c r="G214" s="303"/>
      <c r="H214" s="303"/>
      <c r="I214" s="303"/>
      <c r="J214" s="303"/>
    </row>
    <row r="215" spans="1:22" s="26" customFormat="1" hidden="1" x14ac:dyDescent="0.25"/>
    <row r="216" spans="1:22" s="26" customFormat="1" ht="28.5" hidden="1" customHeight="1" thickBot="1" x14ac:dyDescent="0.3">
      <c r="B216" s="334" t="s">
        <v>118</v>
      </c>
      <c r="C216" s="334"/>
      <c r="D216" s="334"/>
      <c r="E216" s="334"/>
      <c r="K216" s="408" t="s">
        <v>209</v>
      </c>
      <c r="L216" s="408"/>
      <c r="M216" s="408"/>
      <c r="N216" s="408"/>
      <c r="O216" s="408"/>
      <c r="P216" s="225"/>
      <c r="Q216" s="225"/>
      <c r="R216" s="225"/>
      <c r="S216" s="225"/>
      <c r="T216" s="225"/>
      <c r="U216" s="225"/>
      <c r="V216" s="225"/>
    </row>
    <row r="217" spans="1:22" s="26" customFormat="1" ht="18.95" hidden="1" customHeight="1" thickBot="1" x14ac:dyDescent="0.3">
      <c r="B217" s="465" t="s">
        <v>119</v>
      </c>
      <c r="C217" s="466"/>
      <c r="D217" s="466"/>
      <c r="E217" s="466"/>
      <c r="F217" s="466"/>
      <c r="G217" s="466"/>
      <c r="H217" s="466"/>
      <c r="I217" s="467"/>
      <c r="K217" s="408"/>
      <c r="L217" s="408"/>
      <c r="M217" s="408"/>
      <c r="N217" s="408"/>
      <c r="O217" s="408"/>
      <c r="P217" s="225"/>
      <c r="Q217" s="225"/>
      <c r="R217" s="225"/>
      <c r="S217" s="225"/>
      <c r="T217" s="225"/>
      <c r="U217" s="225"/>
      <c r="V217" s="225"/>
    </row>
    <row r="218" spans="1:22" s="26" customFormat="1" ht="15.75" hidden="1" thickBot="1" x14ac:dyDescent="0.3">
      <c r="B218" s="295"/>
      <c r="C218" s="296"/>
      <c r="D218" s="296"/>
      <c r="E218" s="296"/>
      <c r="F218" s="466" t="s">
        <v>120</v>
      </c>
      <c r="G218" s="466"/>
      <c r="H218" s="466"/>
      <c r="I218" s="467"/>
      <c r="K218" s="14"/>
    </row>
    <row r="219" spans="1:22" s="26" customFormat="1" ht="15.75" hidden="1" thickBot="1" x14ac:dyDescent="0.3">
      <c r="B219" s="472" t="s">
        <v>174</v>
      </c>
      <c r="C219" s="473"/>
      <c r="D219" s="473"/>
      <c r="E219" s="474"/>
      <c r="F219" s="149"/>
      <c r="G219" s="149"/>
      <c r="H219" s="149"/>
      <c r="I219" s="149"/>
      <c r="K219" s="14" t="s">
        <v>180</v>
      </c>
    </row>
    <row r="220" spans="1:22" s="26" customFormat="1" ht="30" hidden="1" customHeight="1" thickBot="1" x14ac:dyDescent="0.3">
      <c r="B220" s="472" t="s">
        <v>106</v>
      </c>
      <c r="C220" s="473"/>
      <c r="D220" s="473"/>
      <c r="E220" s="474"/>
      <c r="F220" s="235"/>
      <c r="G220" s="235"/>
      <c r="H220" s="235"/>
      <c r="I220" s="235"/>
      <c r="J220" s="26" t="s">
        <v>104</v>
      </c>
      <c r="K220" s="408" t="s">
        <v>181</v>
      </c>
      <c r="L220" s="408"/>
      <c r="M220" s="408"/>
      <c r="N220" s="408"/>
      <c r="O220" s="408"/>
      <c r="P220" s="21"/>
      <c r="Q220" s="21"/>
      <c r="R220" s="21"/>
      <c r="S220" s="21"/>
      <c r="T220" s="21"/>
    </row>
    <row r="221" spans="1:22" s="26" customFormat="1" ht="15.75" hidden="1" thickBot="1" x14ac:dyDescent="0.3">
      <c r="A221" s="14"/>
      <c r="B221" s="472" t="s">
        <v>107</v>
      </c>
      <c r="C221" s="473"/>
      <c r="D221" s="473"/>
      <c r="E221" s="474"/>
      <c r="F221" s="151"/>
      <c r="G221" s="151"/>
      <c r="H221" s="151"/>
      <c r="I221" s="151"/>
      <c r="J221" s="236"/>
      <c r="K221" s="110" t="s">
        <v>182</v>
      </c>
      <c r="N221" s="21"/>
      <c r="O221" s="21"/>
      <c r="P221" s="21"/>
      <c r="Q221" s="21"/>
      <c r="R221" s="21"/>
      <c r="S221" s="21"/>
      <c r="T221" s="21"/>
    </row>
    <row r="222" spans="1:22" s="26" customFormat="1" ht="15.75" hidden="1" thickBot="1" x14ac:dyDescent="0.3">
      <c r="A222" s="15"/>
      <c r="B222" s="472" t="s">
        <v>108</v>
      </c>
      <c r="C222" s="473"/>
      <c r="D222" s="473"/>
      <c r="E222" s="474"/>
      <c r="F222" s="489"/>
      <c r="G222" s="490"/>
      <c r="H222" s="490"/>
      <c r="I222" s="491"/>
      <c r="J222" s="237" t="s">
        <v>104</v>
      </c>
      <c r="K222" s="110" t="s">
        <v>210</v>
      </c>
    </row>
    <row r="223" spans="1:22" s="26" customFormat="1" ht="15.75" hidden="1" thickBot="1" x14ac:dyDescent="0.3">
      <c r="A223" s="15"/>
      <c r="B223" s="472" t="s">
        <v>74</v>
      </c>
      <c r="C223" s="473"/>
      <c r="D223" s="473"/>
      <c r="E223" s="474"/>
      <c r="F223" s="492"/>
      <c r="G223" s="493"/>
      <c r="H223" s="493"/>
      <c r="I223" s="494"/>
      <c r="J223" s="237" t="s">
        <v>104</v>
      </c>
      <c r="K223" s="110" t="s">
        <v>184</v>
      </c>
    </row>
    <row r="224" spans="1:22" s="26" customFormat="1" ht="15.75" hidden="1" thickBot="1" x14ac:dyDescent="0.3">
      <c r="B224" s="472" t="s">
        <v>75</v>
      </c>
      <c r="C224" s="473"/>
      <c r="D224" s="473"/>
      <c r="E224" s="474"/>
      <c r="F224" s="492"/>
      <c r="G224" s="493"/>
      <c r="H224" s="493"/>
      <c r="I224" s="494"/>
      <c r="J224" s="26" t="s">
        <v>104</v>
      </c>
      <c r="K224" s="110" t="s">
        <v>185</v>
      </c>
    </row>
    <row r="225" spans="1:22" s="26" customFormat="1" ht="15.75" hidden="1" thickBot="1" x14ac:dyDescent="0.3">
      <c r="B225" s="472" t="s">
        <v>76</v>
      </c>
      <c r="C225" s="473"/>
      <c r="D225" s="473"/>
      <c r="E225" s="474"/>
      <c r="F225" s="492"/>
      <c r="G225" s="493"/>
      <c r="H225" s="493"/>
      <c r="I225" s="494"/>
      <c r="J225" s="237" t="s">
        <v>104</v>
      </c>
      <c r="K225" s="110" t="s">
        <v>216</v>
      </c>
    </row>
    <row r="226" spans="1:22" s="26" customFormat="1" ht="15.75" hidden="1" thickBot="1" x14ac:dyDescent="0.3">
      <c r="B226" s="472" t="s">
        <v>172</v>
      </c>
      <c r="C226" s="473"/>
      <c r="D226" s="473"/>
      <c r="E226" s="474"/>
      <c r="F226" s="492"/>
      <c r="G226" s="493"/>
      <c r="H226" s="493"/>
      <c r="I226" s="494"/>
      <c r="J226" s="237" t="s">
        <v>104</v>
      </c>
      <c r="K226" s="110" t="s">
        <v>217</v>
      </c>
    </row>
    <row r="227" spans="1:22" s="26" customFormat="1" ht="15.75" hidden="1" thickBot="1" x14ac:dyDescent="0.3">
      <c r="B227" s="472" t="s">
        <v>173</v>
      </c>
      <c r="C227" s="473"/>
      <c r="D227" s="473"/>
      <c r="E227" s="474"/>
      <c r="F227" s="492"/>
      <c r="G227" s="493"/>
      <c r="H227" s="493"/>
      <c r="I227" s="494"/>
      <c r="J227" s="237" t="s">
        <v>104</v>
      </c>
      <c r="K227" s="110" t="s">
        <v>218</v>
      </c>
    </row>
    <row r="228" spans="1:22" s="26" customFormat="1" ht="30" hidden="1" customHeight="1" x14ac:dyDescent="0.25">
      <c r="B228" s="112"/>
      <c r="C228" s="112"/>
      <c r="D228" s="112"/>
      <c r="E228" s="303"/>
      <c r="F228" s="303"/>
      <c r="G228" s="238"/>
      <c r="H228" s="303"/>
      <c r="I228" s="303"/>
      <c r="J228" s="239"/>
      <c r="K228" s="110"/>
    </row>
    <row r="229" spans="1:22" s="26" customFormat="1" ht="15.75" hidden="1" thickBot="1" x14ac:dyDescent="0.3">
      <c r="B229" s="334" t="s">
        <v>171</v>
      </c>
      <c r="C229" s="334"/>
      <c r="D229" s="334"/>
      <c r="E229" s="334"/>
      <c r="F229" s="303"/>
      <c r="G229" s="303"/>
      <c r="H229" s="303"/>
      <c r="I229" s="303"/>
      <c r="J229" s="239"/>
      <c r="K229" s="404" t="s">
        <v>195</v>
      </c>
      <c r="L229" s="404"/>
      <c r="M229" s="404"/>
      <c r="N229" s="404"/>
      <c r="O229" s="404"/>
      <c r="P229" s="292"/>
      <c r="Q229" s="292"/>
      <c r="R229" s="292"/>
      <c r="S229" s="292"/>
      <c r="T229" s="292"/>
      <c r="U229" s="292"/>
      <c r="V229" s="292"/>
    </row>
    <row r="230" spans="1:22" s="26" customFormat="1" ht="29.1" hidden="1" customHeight="1" thickBot="1" x14ac:dyDescent="0.3">
      <c r="B230" s="465" t="s">
        <v>121</v>
      </c>
      <c r="C230" s="466"/>
      <c r="D230" s="466"/>
      <c r="E230" s="466"/>
      <c r="F230" s="466"/>
      <c r="G230" s="466"/>
      <c r="H230" s="466"/>
      <c r="I230" s="467"/>
      <c r="J230" s="239"/>
      <c r="K230" s="404"/>
      <c r="L230" s="404"/>
      <c r="M230" s="404"/>
      <c r="N230" s="404"/>
      <c r="O230" s="404"/>
      <c r="P230" s="292"/>
      <c r="Q230" s="292"/>
      <c r="R230" s="292"/>
      <c r="S230" s="292"/>
      <c r="T230" s="292"/>
      <c r="U230" s="292"/>
      <c r="V230" s="292"/>
    </row>
    <row r="231" spans="1:22" s="26" customFormat="1" ht="30" hidden="1" customHeight="1" thickBot="1" x14ac:dyDescent="0.3">
      <c r="B231" s="472" t="s">
        <v>122</v>
      </c>
      <c r="C231" s="473"/>
      <c r="D231" s="473"/>
      <c r="E231" s="474"/>
      <c r="F231" s="468"/>
      <c r="G231" s="469"/>
      <c r="H231" s="470"/>
      <c r="I231" s="471"/>
      <c r="J231" s="239"/>
      <c r="K231" s="408" t="s">
        <v>186</v>
      </c>
      <c r="L231" s="408"/>
      <c r="M231" s="408"/>
      <c r="N231" s="408"/>
      <c r="O231" s="408"/>
    </row>
    <row r="232" spans="1:22" s="26" customFormat="1" ht="23.1" hidden="1" customHeight="1" thickBot="1" x14ac:dyDescent="0.3">
      <c r="B232" s="472" t="str">
        <f>B219</f>
        <v>Pack Identification</v>
      </c>
      <c r="C232" s="473"/>
      <c r="D232" s="473"/>
      <c r="E232" s="474"/>
      <c r="F232" s="192" t="str">
        <f>IF(ISBLANK(F219),"",F219)</f>
        <v/>
      </c>
      <c r="G232" s="192" t="str">
        <f t="shared" ref="G232:I232" si="12">IF(ISBLANK(G219),"",G219)</f>
        <v/>
      </c>
      <c r="H232" s="192" t="str">
        <f t="shared" si="12"/>
        <v/>
      </c>
      <c r="I232" s="192" t="str">
        <f t="shared" si="12"/>
        <v/>
      </c>
      <c r="J232" s="239"/>
      <c r="K232" s="408"/>
      <c r="L232" s="408"/>
      <c r="M232" s="408"/>
      <c r="N232" s="408"/>
      <c r="O232" s="408"/>
    </row>
    <row r="233" spans="1:22" s="26" customFormat="1" ht="15.75" hidden="1" thickBot="1" x14ac:dyDescent="0.3">
      <c r="B233" s="512" t="s">
        <v>123</v>
      </c>
      <c r="C233" s="513"/>
      <c r="D233" s="513"/>
      <c r="E233" s="514"/>
      <c r="F233" s="145"/>
      <c r="G233" s="154"/>
      <c r="H233" s="154"/>
      <c r="I233" s="154"/>
      <c r="J233" s="239"/>
      <c r="K233" s="408" t="s">
        <v>187</v>
      </c>
      <c r="L233" s="408"/>
      <c r="M233" s="408"/>
      <c r="N233" s="408"/>
      <c r="O233" s="408"/>
    </row>
    <row r="234" spans="1:22" s="26" customFormat="1" ht="75.75" hidden="1" customHeight="1" x14ac:dyDescent="0.25">
      <c r="B234" s="304"/>
      <c r="C234" s="304"/>
      <c r="D234" s="304"/>
      <c r="E234" s="304"/>
      <c r="F234" s="303"/>
      <c r="G234" s="303"/>
      <c r="H234" s="303"/>
      <c r="I234" s="303"/>
      <c r="J234" s="239"/>
      <c r="K234" s="408"/>
      <c r="L234" s="408"/>
      <c r="M234" s="408"/>
      <c r="N234" s="408"/>
      <c r="O234" s="408"/>
    </row>
    <row r="235" spans="1:22" s="26" customFormat="1" hidden="1" x14ac:dyDescent="0.25">
      <c r="B235" s="511"/>
      <c r="C235" s="511"/>
      <c r="D235" s="511"/>
      <c r="E235" s="511"/>
      <c r="K235" s="408"/>
      <c r="L235" s="408"/>
      <c r="M235" s="408"/>
      <c r="N235" s="408"/>
      <c r="O235" s="408"/>
    </row>
    <row r="236" spans="1:22" s="26" customFormat="1" hidden="1" x14ac:dyDescent="0.25">
      <c r="B236" s="303"/>
      <c r="C236" s="303"/>
      <c r="D236" s="303"/>
      <c r="E236" s="303"/>
      <c r="O236" s="21"/>
    </row>
    <row r="237" spans="1:22" s="26" customFormat="1" hidden="1" x14ac:dyDescent="0.25">
      <c r="A237" s="155"/>
      <c r="B237" s="308" t="s">
        <v>124</v>
      </c>
      <c r="C237" s="290"/>
      <c r="D237" s="66"/>
      <c r="E237" s="66"/>
      <c r="F237" s="390"/>
      <c r="G237" s="390"/>
      <c r="H237" s="390"/>
      <c r="I237" s="390"/>
      <c r="O237" s="21"/>
    </row>
    <row r="238" spans="1:22" s="26" customFormat="1" hidden="1" x14ac:dyDescent="0.25">
      <c r="A238" s="14" t="s">
        <v>125</v>
      </c>
      <c r="B238" s="290"/>
      <c r="C238" s="290"/>
      <c r="D238" s="66"/>
      <c r="E238" s="66"/>
      <c r="F238" s="290"/>
      <c r="G238" s="290"/>
      <c r="H238" s="290"/>
      <c r="I238" s="290"/>
      <c r="O238" s="21"/>
    </row>
    <row r="239" spans="1:22" s="26" customFormat="1" ht="15.75" hidden="1" thickBot="1" x14ac:dyDescent="0.3">
      <c r="B239" s="66"/>
      <c r="C239" s="66"/>
      <c r="D239" s="66"/>
      <c r="E239" s="66"/>
      <c r="F239" s="390" t="s">
        <v>126</v>
      </c>
      <c r="G239" s="390"/>
      <c r="H239" s="390"/>
      <c r="I239" s="390"/>
      <c r="O239" s="21"/>
    </row>
    <row r="240" spans="1:22" s="26" customFormat="1" ht="15.75" hidden="1" thickBot="1" x14ac:dyDescent="0.3">
      <c r="B240" s="66"/>
      <c r="C240" s="66"/>
      <c r="D240" s="66"/>
      <c r="E240" s="66"/>
      <c r="F240" s="156" t="str">
        <f>IF(F219="","",F219)</f>
        <v/>
      </c>
      <c r="G240" s="156" t="str">
        <f>IF(G219="","",G219)</f>
        <v/>
      </c>
      <c r="H240" s="156" t="str">
        <f>IF(H219="","",H219)</f>
        <v/>
      </c>
      <c r="I240" s="156" t="str">
        <f>IF(I219="","",I219)</f>
        <v/>
      </c>
      <c r="O240" s="21"/>
    </row>
    <row r="241" spans="1:15" s="26" customFormat="1" hidden="1" x14ac:dyDescent="0.25">
      <c r="A241" s="91" t="s">
        <v>77</v>
      </c>
      <c r="B241" s="475" t="s">
        <v>82</v>
      </c>
      <c r="C241" s="476"/>
      <c r="D241" s="476"/>
      <c r="E241" s="240"/>
      <c r="F241" s="241" t="str">
        <f>IF(OR(F220="",F221="",F222=""),"",IF(F220="Price to Wholesaler",F221,IF(F220="Reimbursement Price",(F243/(1+E242)*1),"Error")))</f>
        <v/>
      </c>
      <c r="G241" s="241" t="str">
        <f>IF(OR(G220="",G221="",F222=""),"",IF(G220="Price to Wholesaler",G221,IF(G220="Reimbursement Price",(G243/(1+E242)*1),"Error")))</f>
        <v/>
      </c>
      <c r="H241" s="241" t="str">
        <f>IF(OR(H220="",H221="",F222=""),"",IF(H220="Price to Wholesaler",H221,IF(H220="Reimbursement Price",(H243/(1+E242)*1),"Error")))</f>
        <v/>
      </c>
      <c r="I241" s="241" t="str">
        <f>IF(OR(I220="",I221="",F222=""),"",IF(I220="Price to Wholesaler",I221,IF(I220="Reimbursement Price",(I243/(1+E242)*1),"Error")))</f>
        <v/>
      </c>
      <c r="O241" s="21"/>
    </row>
    <row r="242" spans="1:15" s="26" customFormat="1" hidden="1" x14ac:dyDescent="0.25">
      <c r="A242" s="297" t="s">
        <v>78</v>
      </c>
      <c r="B242" s="477" t="s">
        <v>83</v>
      </c>
      <c r="C242" s="478"/>
      <c r="D242" s="478"/>
      <c r="E242" s="93" t="str">
        <f>IF(OR(F222=""),"",IF(AND(F222="CDS",F223="Yes"),CYF,IF(AND(F222="CDS",F223="No"),CNF,IF(F222="HT",CHT,IF(F222="Hosp",CHO,"Error")))))</f>
        <v/>
      </c>
      <c r="F242" s="242" t="str">
        <f>IF(OR(F222="",F221="",F220=""),"",F241*E242)</f>
        <v/>
      </c>
      <c r="G242" s="242" t="str">
        <f>IF(OR(F222="",G221="",G220=""),"",G241*E242)</f>
        <v/>
      </c>
      <c r="H242" s="242" t="str">
        <f>IF(OR(F222="",H221="",H220=""),"",H241*E242)</f>
        <v/>
      </c>
      <c r="I242" s="242" t="str">
        <f>IF(OR(F222="",I221="",I220=""),"",I241*E242)</f>
        <v/>
      </c>
      <c r="O242" s="21"/>
    </row>
    <row r="243" spans="1:15" s="26" customFormat="1" hidden="1" x14ac:dyDescent="0.25">
      <c r="A243" s="297" t="s">
        <v>79</v>
      </c>
      <c r="B243" s="477" t="str">
        <f>IF(F222="Hosp","Hospital Price", "Reimbursement Price")</f>
        <v>Reimbursement Price</v>
      </c>
      <c r="C243" s="478"/>
      <c r="D243" s="478"/>
      <c r="E243" s="243" t="str">
        <f>IF(F220="Price to Wholesaler","A+B","")</f>
        <v/>
      </c>
      <c r="F243" s="242" t="str">
        <f>IF(F220="Reimbursement Price",F221,IF(ISBLANK(E242),"",IF(F220="Price to Wholesaler",(F241+F242),IF(F220="","","Error"))))</f>
        <v/>
      </c>
      <c r="G243" s="242" t="str">
        <f>IF(G220="Reimbursement Price",G221,IF(ISBLANK(E242),"",IF(G220="Price to Wholesaler",(G241+G242),IF(G220="","","Error"))))</f>
        <v/>
      </c>
      <c r="H243" s="242" t="str">
        <f>IF(H220="Reimbursement Price",H221,IF(ISBLANK(E242),"",IF(H220="Price to Wholesaler",(H241+H242),IF(H220="","","Error"))))</f>
        <v/>
      </c>
      <c r="I243" s="242" t="str">
        <f>IF(I220="Reimbursement Price",I221,IF(ISBLANK(E242),"",IF(I220="Price to Wholesaler",(I241+I242),IF(I220="","","Error"))))</f>
        <v/>
      </c>
      <c r="O243" s="21"/>
    </row>
    <row r="244" spans="1:15" s="26" customFormat="1" hidden="1" x14ac:dyDescent="0.25">
      <c r="A244" s="297" t="s">
        <v>80</v>
      </c>
      <c r="B244" s="477" t="s">
        <v>214</v>
      </c>
      <c r="C244" s="478"/>
      <c r="D244" s="478"/>
      <c r="E244" s="268" t="str">
        <f>IF(OR(F225="",AND(F225="Yes",F226=""),AND(F225="No",F227="")),"",IF(AND(F225="No",F227="Patented Exclusive or Off Patent Exclusive and subject to clause 10 of Framework Agreement"),MR,IF(AND(F225="No",F227="Off Patent Non-Exclusive or Generic"),"None",IF(AND(F225="Yes",F226="Biosimilar"),"None",IF(AND(F225="Yes",F226="Patented or Off Patent Exclusive"),MR,IF(AND(F225="Yes",F226="Off Patent Non-Exclusive 12.5% Rebate incorporated into Price to Wholesaler"),"None",IF(AND(F225="Yes",F226="Off Patent Non-Exclusive 12.5% Rebate"),MRB,"Error")))))))</f>
        <v/>
      </c>
      <c r="F244" s="242" t="str">
        <f>IF(OR(F225="",AND(F225="Yes",F226=""),AND(F225="No",F227=""),F220="",ISBLANK(F221)),"",IF(E244="None",0,(E244*F241)))</f>
        <v/>
      </c>
      <c r="G244" s="242" t="str">
        <f>IF(OR(F225="",AND(F225="Yes",F226=""),AND(F225="No",F227=""),G220="",ISBLANK(G221)),"",IF(E244="None",0,(E244*G241)))</f>
        <v/>
      </c>
      <c r="H244" s="242" t="str">
        <f>IF(OR(F225="",AND(F225="Yes",F226=""),AND(F225="No",F227=""),H220="",ISBLANK(H221)),"",IF(E244="None",0,(E244*H241)))</f>
        <v/>
      </c>
      <c r="I244" s="242" t="str">
        <f>IF(OR(F225="",AND(F225="Yes",F226=""),AND(F225="No",F227=""),I220="",ISBLANK(I221)),"",IF(E244="None",0,(E244*I241)))</f>
        <v/>
      </c>
      <c r="O244" s="21"/>
    </row>
    <row r="245" spans="1:15" s="26" customFormat="1" ht="15.75" hidden="1" thickBot="1" x14ac:dyDescent="0.3">
      <c r="A245" s="298" t="s">
        <v>81</v>
      </c>
      <c r="B245" s="479" t="s">
        <v>94</v>
      </c>
      <c r="C245" s="480"/>
      <c r="D245" s="480"/>
      <c r="E245" s="160" t="str">
        <f>IF(F224="","",IF(F224="Yes",0,VT))</f>
        <v/>
      </c>
      <c r="F245" s="244" t="str">
        <f>IF(OR($B224="",F221="",ISBLANK(F221)),"",($E245*F243))</f>
        <v/>
      </c>
      <c r="G245" s="244" t="str">
        <f t="shared" ref="G245:I245" si="13">IF(OR($B224="",G221="",ISBLANK(G221)),"",($E245*G243))</f>
        <v/>
      </c>
      <c r="H245" s="244" t="str">
        <f t="shared" si="13"/>
        <v/>
      </c>
      <c r="I245" s="244" t="str">
        <f t="shared" si="13"/>
        <v/>
      </c>
      <c r="O245" s="21"/>
    </row>
    <row r="246" spans="1:15" s="26" customFormat="1" ht="15.75" hidden="1" thickBot="1" x14ac:dyDescent="0.3">
      <c r="A246" s="299" t="s">
        <v>127</v>
      </c>
      <c r="B246" s="481" t="s">
        <v>128</v>
      </c>
      <c r="C246" s="481"/>
      <c r="D246" s="481"/>
      <c r="E246" s="299"/>
      <c r="F246" s="245" t="str">
        <f>IF(OR(F220="",$F222="",$F224="",$F225=""),"",SUM(F243:F245))</f>
        <v/>
      </c>
      <c r="G246" s="245" t="str">
        <f t="shared" ref="G246:I246" si="14">IF(OR(G220="",$F222="",$F224="",$F225=""),"",SUM(G243:G245))</f>
        <v/>
      </c>
      <c r="H246" s="245" t="str">
        <f t="shared" si="14"/>
        <v/>
      </c>
      <c r="I246" s="245" t="str">
        <f t="shared" si="14"/>
        <v/>
      </c>
      <c r="O246" s="21"/>
    </row>
    <row r="247" spans="1:15" s="26" customFormat="1" ht="15.75" hidden="1" thickBot="1" x14ac:dyDescent="0.3">
      <c r="A247" s="299" t="s">
        <v>129</v>
      </c>
      <c r="B247" s="482" t="s">
        <v>130</v>
      </c>
      <c r="C247" s="482"/>
      <c r="D247" s="482"/>
      <c r="E247" s="245"/>
      <c r="F247" s="245" t="str">
        <f>IF(OR(F220="",$F222="",$F224="",$F225=""),"",SUM(F243:F244))</f>
        <v/>
      </c>
      <c r="G247" s="245" t="str">
        <f t="shared" ref="G247:I247" si="15">IF(OR(G220="",$F222="",$F224="",$F225=""),"",SUM(G243:G244))</f>
        <v/>
      </c>
      <c r="H247" s="245" t="str">
        <f t="shared" si="15"/>
        <v/>
      </c>
      <c r="I247" s="245" t="str">
        <f t="shared" si="15"/>
        <v/>
      </c>
      <c r="O247" s="21"/>
    </row>
    <row r="248" spans="1:15" s="26" customFormat="1" hidden="1" x14ac:dyDescent="0.25">
      <c r="B248" s="66"/>
      <c r="C248" s="66"/>
      <c r="D248" s="66"/>
      <c r="E248" s="66"/>
      <c r="K248" s="26" t="s">
        <v>131</v>
      </c>
      <c r="O248" s="21"/>
    </row>
    <row r="249" spans="1:15" s="26" customFormat="1" hidden="1" x14ac:dyDescent="0.25">
      <c r="A249" s="155" t="s">
        <v>132</v>
      </c>
      <c r="B249" s="66"/>
      <c r="C249" s="66"/>
      <c r="D249" s="66"/>
      <c r="E249" s="66"/>
      <c r="F249" s="246"/>
      <c r="G249" s="246"/>
      <c r="H249" s="246"/>
      <c r="I249" s="246"/>
      <c r="O249" s="21"/>
    </row>
    <row r="250" spans="1:15" s="26" customFormat="1" hidden="1" x14ac:dyDescent="0.25">
      <c r="A250" s="125"/>
      <c r="B250" s="125" t="s">
        <v>133</v>
      </c>
      <c r="C250" s="125"/>
      <c r="D250" s="125"/>
      <c r="E250" s="125"/>
      <c r="F250" s="125"/>
      <c r="G250" s="125"/>
      <c r="H250" s="125"/>
      <c r="O250" s="21"/>
    </row>
    <row r="251" spans="1:15" s="26" customFormat="1" hidden="1" x14ac:dyDescent="0.25">
      <c r="B251" s="21" t="s">
        <v>134</v>
      </c>
      <c r="C251" s="229"/>
      <c r="D251" s="229"/>
      <c r="E251" s="66"/>
      <c r="O251" s="21"/>
    </row>
    <row r="252" spans="1:15" s="26" customFormat="1" ht="15.75" hidden="1" thickBot="1" x14ac:dyDescent="0.3">
      <c r="B252" s="165"/>
      <c r="C252" s="229"/>
      <c r="D252" s="229"/>
      <c r="E252" s="66"/>
      <c r="O252" s="21"/>
    </row>
    <row r="253" spans="1:15" s="26" customFormat="1" ht="15.75" hidden="1" thickBot="1" x14ac:dyDescent="0.3">
      <c r="B253" s="230"/>
      <c r="C253" s="66"/>
      <c r="D253" s="66"/>
      <c r="E253" s="66"/>
      <c r="G253" s="293" t="s">
        <v>135</v>
      </c>
      <c r="H253" s="293" t="s">
        <v>136</v>
      </c>
      <c r="O253" s="21"/>
    </row>
    <row r="254" spans="1:15" s="26" customFormat="1" hidden="1" x14ac:dyDescent="0.25">
      <c r="B254" s="483" t="s">
        <v>137</v>
      </c>
      <c r="C254" s="484"/>
      <c r="D254" s="484"/>
      <c r="E254" s="484"/>
      <c r="F254" s="485"/>
      <c r="G254" s="247" t="str">
        <f>IF(F222="","",IF(F222="CDS","per dispensing",IF(F222="HT","per month",IF(F222="Hosp","No Fee", ERROR))))</f>
        <v/>
      </c>
      <c r="H254" s="248" t="str">
        <f>IF(F222="","",IF(F222="CDS",DF,IF(F222="HT",PC,IF(F222="Hosp","No Fee",ERROR))))</f>
        <v/>
      </c>
      <c r="I254" s="26" t="s">
        <v>138</v>
      </c>
      <c r="O254" s="21"/>
    </row>
    <row r="255" spans="1:15" s="26" customFormat="1" ht="15.75" hidden="1" thickBot="1" x14ac:dyDescent="0.3">
      <c r="B255" s="486" t="s">
        <v>92</v>
      </c>
      <c r="C255" s="487"/>
      <c r="D255" s="487"/>
      <c r="E255" s="487"/>
      <c r="F255" s="488"/>
      <c r="G255" s="249" t="str">
        <f>IF(OR(F222="",F224=""),"",IF(F222="Hosp","No Fee",IF(F222="HT","No VAT",IF(AND(F222="CDS",F224="No"),VT,"No VAT"))))</f>
        <v/>
      </c>
      <c r="H255" s="250" t="str">
        <f>IF(OR(F224="",F222="Hosp"),"",IF(OR(F224="Yes",F222="HT"),0,H254*G255))</f>
        <v/>
      </c>
      <c r="O255" s="21"/>
    </row>
    <row r="256" spans="1:15" s="26" customFormat="1" hidden="1" x14ac:dyDescent="0.25">
      <c r="B256" s="230"/>
      <c r="C256" s="66"/>
      <c r="D256" s="66"/>
      <c r="E256" s="66"/>
      <c r="O256" s="21"/>
    </row>
    <row r="257" spans="1:20" s="26" customFormat="1" hidden="1" x14ac:dyDescent="0.25">
      <c r="B257" s="230"/>
      <c r="C257" s="66"/>
      <c r="D257" s="66"/>
      <c r="E257" s="66"/>
      <c r="O257" s="21"/>
    </row>
    <row r="258" spans="1:20" s="26" customFormat="1" ht="33.950000000000003" hidden="1" customHeight="1" thickBot="1" x14ac:dyDescent="0.3">
      <c r="A258" s="165" t="s">
        <v>193</v>
      </c>
      <c r="B258" s="230"/>
      <c r="C258" s="66"/>
      <c r="D258" s="66"/>
      <c r="E258" s="66"/>
      <c r="K258" s="408" t="s">
        <v>197</v>
      </c>
      <c r="L258" s="408"/>
      <c r="M258" s="408"/>
      <c r="N258" s="408"/>
      <c r="O258" s="408"/>
      <c r="P258" s="195"/>
      <c r="Q258" s="195"/>
      <c r="R258" s="195"/>
      <c r="S258" s="195"/>
      <c r="T258" s="195"/>
    </row>
    <row r="259" spans="1:20" s="26" customFormat="1" ht="17.100000000000001" hidden="1" customHeight="1" thickBot="1" x14ac:dyDescent="0.3">
      <c r="A259" s="14" t="s">
        <v>194</v>
      </c>
      <c r="B259" s="230"/>
      <c r="C259" s="66"/>
      <c r="D259" s="66"/>
      <c r="E259" s="66"/>
      <c r="G259" s="293" t="s">
        <v>101</v>
      </c>
      <c r="H259" s="293" t="s">
        <v>136</v>
      </c>
      <c r="K259" s="408" t="str">
        <f>IF(F222="HT","For High tech, if a treatment cycle =28 days the corresponding pharmacy fee is =62.03*12/365.25*28.  The pharmacy fee remains the same regardless of the number of products dispensed that month.",IF(F222="CDS","For CDS, if 2 packets of the same pack presentation are required per treatment cycle, one dispensing fee applies (€5.48). If multiple pack presentations are required, multiple dispensing fees apply",""))</f>
        <v/>
      </c>
      <c r="L259" s="408"/>
      <c r="M259" s="408"/>
      <c r="N259" s="408"/>
      <c r="O259" s="408"/>
      <c r="P259" s="195"/>
      <c r="Q259" s="195"/>
      <c r="R259" s="195"/>
      <c r="S259" s="195"/>
      <c r="T259" s="195"/>
    </row>
    <row r="260" spans="1:20" s="26" customFormat="1" ht="16.5" hidden="1" customHeight="1" x14ac:dyDescent="0.25">
      <c r="A260" s="170" t="s">
        <v>139</v>
      </c>
      <c r="B260" s="504" t="s">
        <v>140</v>
      </c>
      <c r="C260" s="504"/>
      <c r="D260" s="504"/>
      <c r="E260" s="504"/>
      <c r="F260" s="504"/>
      <c r="G260" s="251"/>
      <c r="H260" s="252"/>
      <c r="K260" s="408"/>
      <c r="L260" s="408"/>
      <c r="M260" s="408"/>
      <c r="N260" s="408"/>
      <c r="O260" s="408"/>
      <c r="P260" s="195"/>
      <c r="Q260" s="195"/>
      <c r="R260" s="195"/>
      <c r="S260" s="195"/>
      <c r="T260" s="195"/>
    </row>
    <row r="261" spans="1:20" s="26" customFormat="1" hidden="1" x14ac:dyDescent="0.25">
      <c r="A261" s="173" t="s">
        <v>141</v>
      </c>
      <c r="B261" s="505" t="s">
        <v>142</v>
      </c>
      <c r="C261" s="505"/>
      <c r="D261" s="505"/>
      <c r="E261" s="505"/>
      <c r="F261" s="505"/>
      <c r="G261" s="253"/>
      <c r="H261" s="254"/>
      <c r="K261" s="14" t="s">
        <v>188</v>
      </c>
      <c r="O261" s="21"/>
    </row>
    <row r="262" spans="1:20" s="26" customFormat="1" hidden="1" x14ac:dyDescent="0.25">
      <c r="A262" s="173" t="s">
        <v>143</v>
      </c>
      <c r="B262" s="505" t="s">
        <v>144</v>
      </c>
      <c r="C262" s="505"/>
      <c r="D262" s="505"/>
      <c r="E262" s="505"/>
      <c r="F262" s="505"/>
      <c r="G262" s="253"/>
      <c r="H262" s="254"/>
      <c r="K262" s="14" t="s">
        <v>189</v>
      </c>
      <c r="O262" s="21"/>
    </row>
    <row r="263" spans="1:20" s="26" customFormat="1" hidden="1" x14ac:dyDescent="0.25">
      <c r="A263" s="173" t="s">
        <v>145</v>
      </c>
      <c r="B263" s="505" t="s">
        <v>146</v>
      </c>
      <c r="C263" s="505"/>
      <c r="D263" s="505"/>
      <c r="E263" s="505"/>
      <c r="F263" s="505"/>
      <c r="G263" s="255"/>
      <c r="H263" s="256" t="str">
        <f>IF(ISBLANK(H260),"",SUM(H260:H262))</f>
        <v/>
      </c>
      <c r="O263" s="21"/>
    </row>
    <row r="264" spans="1:20" s="26" customFormat="1" ht="15.75" hidden="1" thickBot="1" x14ac:dyDescent="0.3">
      <c r="A264" s="178" t="s">
        <v>147</v>
      </c>
      <c r="B264" s="515" t="s">
        <v>196</v>
      </c>
      <c r="C264" s="515"/>
      <c r="D264" s="515"/>
      <c r="E264" s="515"/>
      <c r="F264" s="515"/>
      <c r="G264" s="257"/>
      <c r="H264" s="250" t="str">
        <f>IF(ISBLANK(H260),"",SUM(H260:H261))</f>
        <v/>
      </c>
      <c r="O264" s="21"/>
    </row>
    <row r="265" spans="1:20" s="26" customFormat="1" hidden="1" x14ac:dyDescent="0.25">
      <c r="B265" s="66"/>
      <c r="C265" s="66"/>
      <c r="D265" s="66"/>
      <c r="E265" s="66"/>
      <c r="O265" s="21"/>
    </row>
    <row r="266" spans="1:20" s="26" customFormat="1" hidden="1" x14ac:dyDescent="0.25">
      <c r="B266" s="66"/>
      <c r="C266" s="66"/>
      <c r="D266" s="66"/>
      <c r="E266" s="66"/>
      <c r="O266" s="21"/>
    </row>
    <row r="267" spans="1:20" s="26" customFormat="1" hidden="1" x14ac:dyDescent="0.25">
      <c r="A267" s="155" t="s">
        <v>148</v>
      </c>
      <c r="B267" s="66"/>
      <c r="C267" s="66"/>
      <c r="D267" s="66"/>
      <c r="E267" s="66"/>
      <c r="O267" s="21"/>
    </row>
    <row r="268" spans="1:20" s="26" customFormat="1" ht="15.75" hidden="1" thickBot="1" x14ac:dyDescent="0.3">
      <c r="B268" s="66"/>
      <c r="C268" s="66"/>
      <c r="D268" s="66"/>
      <c r="E268" s="66"/>
      <c r="O268" s="21"/>
    </row>
    <row r="269" spans="1:20" s="26" customFormat="1" ht="29.1" hidden="1" customHeight="1" x14ac:dyDescent="0.25">
      <c r="A269" s="65"/>
      <c r="B269" s="303"/>
      <c r="C269" s="303"/>
      <c r="D269" s="303"/>
      <c r="E269" s="303"/>
      <c r="F269" s="506" t="s">
        <v>149</v>
      </c>
      <c r="G269" s="180" t="s">
        <v>150</v>
      </c>
      <c r="H269" s="508" t="s">
        <v>151</v>
      </c>
      <c r="I269" s="180" t="s">
        <v>152</v>
      </c>
      <c r="J269" s="66"/>
      <c r="K269" s="408" t="s">
        <v>190</v>
      </c>
      <c r="L269" s="408"/>
      <c r="M269" s="408"/>
      <c r="N269" s="408"/>
      <c r="O269" s="408"/>
    </row>
    <row r="270" spans="1:20" s="26" customFormat="1" hidden="1" x14ac:dyDescent="0.25">
      <c r="A270" s="65"/>
      <c r="B270" s="303"/>
      <c r="C270" s="303"/>
      <c r="D270" s="303"/>
      <c r="E270" s="303"/>
      <c r="F270" s="507"/>
      <c r="G270" s="253"/>
      <c r="H270" s="509"/>
      <c r="I270" s="182"/>
      <c r="J270" s="66"/>
      <c r="K270" s="408"/>
      <c r="L270" s="408"/>
      <c r="M270" s="408"/>
      <c r="N270" s="408"/>
      <c r="O270" s="408"/>
    </row>
    <row r="271" spans="1:20" s="26" customFormat="1" ht="15.75" hidden="1" thickBot="1" x14ac:dyDescent="0.3">
      <c r="A271" s="65"/>
      <c r="B271" s="303"/>
      <c r="C271" s="303"/>
      <c r="D271" s="303"/>
      <c r="E271" s="303"/>
      <c r="F271" s="507"/>
      <c r="G271" s="183" t="s">
        <v>153</v>
      </c>
      <c r="H271" s="510"/>
      <c r="I271" s="184"/>
      <c r="J271" s="66"/>
      <c r="K271" s="408"/>
      <c r="L271" s="408"/>
      <c r="M271" s="408"/>
      <c r="N271" s="408"/>
      <c r="O271" s="408"/>
    </row>
    <row r="272" spans="1:20" s="26" customFormat="1" hidden="1" x14ac:dyDescent="0.25">
      <c r="A272" s="247" t="s">
        <v>77</v>
      </c>
      <c r="B272" s="463" t="str">
        <f>B241</f>
        <v>Price to Wholesaler</v>
      </c>
      <c r="C272" s="463"/>
      <c r="D272" s="463"/>
      <c r="E272" s="463"/>
      <c r="F272" s="256">
        <f>SUMPRODUCT(F241:I241,F233:I233)</f>
        <v>0</v>
      </c>
      <c r="G272" s="256">
        <f>F272*G270</f>
        <v>0</v>
      </c>
      <c r="H272" s="256" t="str">
        <f>IF(H231="Days",F272/F231*365.25,IF(H231="Months",F272/F231*12,""))</f>
        <v/>
      </c>
      <c r="I272" s="256" t="str">
        <f>IF(AND(H231="Days",I271="Days"),F272/F231*I270,IF(AND(H231="Months",I271="Months"),F272/F231*I270,IF(AND(H231="Days",I271="Months"),F272/F231*30.4375*I270,IF(AND(H231="Months",I271="Days"),F272/F231/30.4375*I270,""))))</f>
        <v/>
      </c>
      <c r="O272" s="21"/>
    </row>
    <row r="273" spans="1:19" s="26" customFormat="1" hidden="1" x14ac:dyDescent="0.25">
      <c r="A273" s="255" t="s">
        <v>78</v>
      </c>
      <c r="B273" s="464" t="str">
        <f>B242</f>
        <v>Wholesale Mark-up</v>
      </c>
      <c r="C273" s="464"/>
      <c r="D273" s="464"/>
      <c r="E273" s="464"/>
      <c r="F273" s="256">
        <f>SUMPRODUCT(F242:I242,F233:I233)</f>
        <v>0</v>
      </c>
      <c r="G273" s="256">
        <f>F273*G270</f>
        <v>0</v>
      </c>
      <c r="H273" s="256" t="str">
        <f>IF(H231="Days",F273/F231*365.25,IF(H231="Months",F273/F231*12,""))</f>
        <v/>
      </c>
      <c r="I273" s="256" t="str">
        <f>IF(AND(H231="Days",I271="Days"),F273/F231*I270,IF(AND(H231="Months",I271="Months"),F273/F231*I270,IF(AND(H231="Days",I271="Months"),F273/F231*30.4375*I270,IF(AND(H231="Months",I271="Days"),F273/F231/30.4375*I270,""))))</f>
        <v/>
      </c>
      <c r="O273" s="21"/>
    </row>
    <row r="274" spans="1:19" s="26" customFormat="1" hidden="1" x14ac:dyDescent="0.25">
      <c r="A274" s="255" t="s">
        <v>79</v>
      </c>
      <c r="B274" s="294" t="str">
        <f>B243</f>
        <v>Reimbursement Price</v>
      </c>
      <c r="C274" s="300"/>
      <c r="D274" s="301"/>
      <c r="E274" s="302"/>
      <c r="F274" s="256">
        <f>SUMPRODUCT(F243:I243,F233:I233)</f>
        <v>0</v>
      </c>
      <c r="G274" s="256">
        <f>F274*G270</f>
        <v>0</v>
      </c>
      <c r="H274" s="256" t="str">
        <f>IF(H231="Days",F274/F231*365.25,IF(H231="Months",F274/F231*12,""))</f>
        <v/>
      </c>
      <c r="I274" s="256" t="str">
        <f>IF(AND(H231="Days",I271="Days"),F274/F231*I270,IF(AND(H231="Months",I271="Months"),F274/F231*I270,IF(AND(H231="Days",I271="Months"),F274/F231*30.4375*I270,IF(AND(H231="Months",I271="Days"),F274/F231/30.4375*I270,""))))</f>
        <v/>
      </c>
      <c r="O274" s="21"/>
    </row>
    <row r="275" spans="1:19" s="26" customFormat="1" hidden="1" x14ac:dyDescent="0.25">
      <c r="A275" s="255" t="s">
        <v>80</v>
      </c>
      <c r="B275" s="495" t="str">
        <f>B244</f>
        <v>Framework Agreement Rebate</v>
      </c>
      <c r="C275" s="496"/>
      <c r="D275" s="496"/>
      <c r="E275" s="497"/>
      <c r="F275" s="256">
        <f>SUMPRODUCT(F244:I244,F233:I233)</f>
        <v>0</v>
      </c>
      <c r="G275" s="256">
        <f>F275*G270</f>
        <v>0</v>
      </c>
      <c r="H275" s="256" t="str">
        <f>IF(H231="Days",F275/F231*365.25,IF(H231="Months",F275/F231*12,""))</f>
        <v/>
      </c>
      <c r="I275" s="256" t="str">
        <f>IF(AND(H231="Days",I271="Days"),F275/F231*I270,IF(AND(H231="Months",I271="Months"),F275/F231*I270,IF(AND(H231="Days",I271="Months"),F275/F231*30.4375*I270,IF(AND(H231="Months",I271="Days"),F275/F231/30.4375*I270,""))))</f>
        <v/>
      </c>
      <c r="O275" s="21"/>
    </row>
    <row r="276" spans="1:19" s="26" customFormat="1" hidden="1" x14ac:dyDescent="0.25">
      <c r="A276" s="255" t="s">
        <v>81</v>
      </c>
      <c r="B276" s="495" t="str">
        <f>B245</f>
        <v xml:space="preserve">VAT on Drug Cost </v>
      </c>
      <c r="C276" s="496"/>
      <c r="D276" s="496"/>
      <c r="E276" s="497"/>
      <c r="F276" s="256">
        <f>SUMPRODUCT(F245:I245,F233:I233)</f>
        <v>0</v>
      </c>
      <c r="G276" s="256">
        <f>F276*G270</f>
        <v>0</v>
      </c>
      <c r="H276" s="256" t="str">
        <f>IF(H231="Days",F276/F231*365.25,IF(H231="Months",F276/F231*12,""))</f>
        <v/>
      </c>
      <c r="I276" s="256" t="str">
        <f>IF(AND(H231="Days",I271="Days"),F276/F231*I270,IF(AND(H231="Months",I271="Months"),F276/F231*I270,IF(AND(H231="Days",I271="Months"),F276/F231*30.4375*I270,IF(AND(H231="Months",I271="Days"),F276/F231/30.4375*I270,""))))</f>
        <v/>
      </c>
      <c r="O276" s="21"/>
    </row>
    <row r="277" spans="1:19" s="26" customFormat="1" hidden="1" x14ac:dyDescent="0.25">
      <c r="A277" s="255" t="s">
        <v>154</v>
      </c>
      <c r="B277" s="495" t="s">
        <v>155</v>
      </c>
      <c r="C277" s="496"/>
      <c r="D277" s="496"/>
      <c r="E277" s="497"/>
      <c r="F277" s="256" t="str">
        <f>IF(H263="","",H263)</f>
        <v/>
      </c>
      <c r="G277" s="256" t="str">
        <f>IF(F277="","",F277*G270)</f>
        <v/>
      </c>
      <c r="H277" s="256" t="str">
        <f>IF(F277="","",IF(H231="Days",F277/F231*365.25,IF(H231="Months",F277/F231*12,"")))</f>
        <v/>
      </c>
      <c r="I277" s="256" t="str">
        <f>IF(F277="","",IF(AND(H231="Days",I271="Days"),F277/F231*I270,IF(AND(H231="Months",I271="Months"),F277/F231*I270,IF(AND(H231="Days",I271="Months"),F277/F231*30.4375*I270,IF(AND(H231="Months",I271="Days"),F277/F231/30.4375*I270,"")))))</f>
        <v/>
      </c>
      <c r="O277" s="21"/>
    </row>
    <row r="278" spans="1:19" s="26" customFormat="1" hidden="1" x14ac:dyDescent="0.25">
      <c r="A278" s="255" t="s">
        <v>156</v>
      </c>
      <c r="B278" s="495" t="s">
        <v>157</v>
      </c>
      <c r="C278" s="496"/>
      <c r="D278" s="496"/>
      <c r="E278" s="497"/>
      <c r="F278" s="256" t="str">
        <f>IF(H264="","",H264)</f>
        <v/>
      </c>
      <c r="G278" s="256" t="str">
        <f>IF(F278="","",F278*G270)</f>
        <v/>
      </c>
      <c r="H278" s="256" t="str">
        <f>IF(F278="","",IF(H231="Days",F278/F231*365.25,IF(H231="Months",F278/F231*12,"")))</f>
        <v/>
      </c>
      <c r="I278" s="256" t="str">
        <f>IF(F278="","",IF(AND(H231="Days",I271="Days"),F278/F231*I270,IF(AND(H231="Months",I271="Months"),F278/F231*I270,IF(AND(H231="Days",I271="Months"),F278/F231*30.4375*I270,IF(AND(H231="Months",I271="Days"),F278/F231/30.4375*I270,"")))))</f>
        <v/>
      </c>
      <c r="O278" s="21"/>
    </row>
    <row r="279" spans="1:19" s="155" customFormat="1" hidden="1" x14ac:dyDescent="0.25">
      <c r="A279" s="186" t="s">
        <v>158</v>
      </c>
      <c r="B279" s="498" t="s">
        <v>159</v>
      </c>
      <c r="C279" s="499"/>
      <c r="D279" s="499"/>
      <c r="E279" s="500"/>
      <c r="F279" s="187">
        <f>SUM(F274:F277)</f>
        <v>0</v>
      </c>
      <c r="G279" s="187">
        <f t="shared" ref="G279:I279" si="16">SUM(G274:G277)</f>
        <v>0</v>
      </c>
      <c r="H279" s="187">
        <f t="shared" si="16"/>
        <v>0</v>
      </c>
      <c r="I279" s="187">
        <f t="shared" si="16"/>
        <v>0</v>
      </c>
      <c r="K279" s="98" t="s">
        <v>191</v>
      </c>
      <c r="O279" s="189"/>
    </row>
    <row r="280" spans="1:19" s="26" customFormat="1" ht="15.75" hidden="1" thickBot="1" x14ac:dyDescent="0.3">
      <c r="A280" s="257" t="s">
        <v>160</v>
      </c>
      <c r="B280" s="501" t="s">
        <v>161</v>
      </c>
      <c r="C280" s="502"/>
      <c r="D280" s="502"/>
      <c r="E280" s="503"/>
      <c r="F280" s="250">
        <f>IF(F278="",SUM(F274+F275),F274+F275+F278)</f>
        <v>0</v>
      </c>
      <c r="G280" s="250">
        <f t="shared" ref="G280" si="17">IF(G278="",SUM(G274+G275),G274+G275+G278)</f>
        <v>0</v>
      </c>
      <c r="H280" s="250" t="e">
        <f>IF(H278="",SUM(H274+H275),H274+H275+H278)</f>
        <v>#VALUE!</v>
      </c>
      <c r="I280" s="250" t="e">
        <f t="shared" ref="I280" si="18">IF(I278="",SUM(I274+I275),I274+I275+I278)</f>
        <v>#VALUE!</v>
      </c>
      <c r="K280" s="14" t="s">
        <v>192</v>
      </c>
      <c r="O280" s="21"/>
    </row>
    <row r="281" spans="1:19" s="26" customFormat="1" hidden="1" x14ac:dyDescent="0.25">
      <c r="B281" s="229"/>
      <c r="C281" s="66"/>
      <c r="D281" s="66"/>
      <c r="E281" s="66"/>
      <c r="O281" s="21"/>
    </row>
    <row r="282" spans="1:19" s="26" customFormat="1" hidden="1" x14ac:dyDescent="0.25"/>
    <row r="283" spans="1:19" s="26" customFormat="1" hidden="1" x14ac:dyDescent="0.25">
      <c r="B283" s="308" t="s">
        <v>101</v>
      </c>
      <c r="C283" s="308"/>
      <c r="D283" s="308"/>
      <c r="E283" s="308"/>
    </row>
    <row r="284" spans="1:19" s="26" customFormat="1" ht="15.75" hidden="1" customHeight="1" x14ac:dyDescent="0.25"/>
    <row r="285" spans="1:19" s="26" customFormat="1" hidden="1" x14ac:dyDescent="0.25">
      <c r="B285" s="234"/>
      <c r="C285" s="234"/>
      <c r="D285" s="234"/>
      <c r="E285" s="234"/>
      <c r="F285" s="234"/>
      <c r="G285" s="234"/>
      <c r="H285" s="234"/>
      <c r="I285" s="234"/>
      <c r="J285" s="234"/>
      <c r="K285" s="234"/>
      <c r="L285" s="234"/>
      <c r="M285" s="234"/>
      <c r="N285" s="234"/>
      <c r="O285" s="234"/>
      <c r="P285" s="234"/>
      <c r="Q285" s="234"/>
      <c r="R285" s="234"/>
      <c r="S285" s="234"/>
    </row>
    <row r="286" spans="1:19" s="26" customFormat="1" hidden="1" x14ac:dyDescent="0.25">
      <c r="B286" s="234"/>
      <c r="C286" s="234"/>
      <c r="D286" s="234"/>
      <c r="E286" s="234"/>
      <c r="F286" s="234"/>
      <c r="G286" s="234"/>
      <c r="H286" s="234"/>
      <c r="I286" s="234"/>
      <c r="J286" s="234"/>
      <c r="K286" s="234"/>
      <c r="L286" s="234"/>
      <c r="M286" s="234"/>
      <c r="N286" s="234"/>
      <c r="O286" s="234"/>
      <c r="P286" s="234"/>
      <c r="Q286" s="234"/>
      <c r="R286" s="234"/>
      <c r="S286" s="234"/>
    </row>
    <row r="287" spans="1:19" s="26" customFormat="1" hidden="1" x14ac:dyDescent="0.25">
      <c r="B287" s="234"/>
      <c r="C287" s="234"/>
      <c r="D287" s="234"/>
      <c r="E287" s="234"/>
      <c r="F287" s="234"/>
      <c r="G287" s="234"/>
      <c r="H287" s="234"/>
      <c r="I287" s="234"/>
      <c r="J287" s="234"/>
      <c r="K287" s="234"/>
      <c r="L287" s="234"/>
      <c r="M287" s="234"/>
      <c r="N287" s="234"/>
      <c r="O287" s="234"/>
      <c r="P287" s="234"/>
      <c r="Q287" s="234"/>
      <c r="R287" s="234"/>
      <c r="S287" s="234"/>
    </row>
    <row r="288" spans="1:19" s="26" customFormat="1" hidden="1" x14ac:dyDescent="0.25">
      <c r="B288" s="234"/>
      <c r="C288" s="234"/>
      <c r="D288" s="234"/>
      <c r="E288" s="234"/>
      <c r="F288" s="234"/>
      <c r="G288" s="234"/>
      <c r="H288" s="234"/>
      <c r="I288" s="234"/>
      <c r="J288" s="234"/>
      <c r="K288" s="234"/>
      <c r="L288" s="234"/>
      <c r="M288" s="234"/>
      <c r="N288" s="234"/>
      <c r="O288" s="234"/>
      <c r="P288" s="234"/>
      <c r="Q288" s="234"/>
      <c r="R288" s="234"/>
      <c r="S288" s="234"/>
    </row>
    <row r="289" spans="2:22" s="26" customFormat="1" hidden="1" x14ac:dyDescent="0.25">
      <c r="B289" s="234"/>
      <c r="C289" s="234"/>
      <c r="D289" s="234"/>
      <c r="E289" s="234"/>
      <c r="F289" s="234"/>
      <c r="G289" s="234"/>
      <c r="H289" s="234"/>
      <c r="I289" s="234"/>
      <c r="J289" s="234"/>
      <c r="K289" s="234"/>
      <c r="L289" s="234"/>
      <c r="M289" s="234"/>
      <c r="N289" s="234"/>
      <c r="O289" s="234"/>
      <c r="P289" s="234"/>
      <c r="Q289" s="234"/>
      <c r="R289" s="234"/>
      <c r="S289" s="234"/>
    </row>
    <row r="290" spans="2:22" s="26" customFormat="1" hidden="1" x14ac:dyDescent="0.25">
      <c r="B290" s="234"/>
      <c r="C290" s="234"/>
      <c r="D290" s="234"/>
      <c r="E290" s="234"/>
      <c r="F290" s="234"/>
      <c r="G290" s="234"/>
      <c r="H290" s="234"/>
      <c r="I290" s="234"/>
      <c r="J290" s="234"/>
      <c r="K290" s="234"/>
      <c r="L290" s="234"/>
      <c r="M290" s="234"/>
      <c r="N290" s="234"/>
      <c r="O290" s="234"/>
      <c r="P290" s="234"/>
      <c r="Q290" s="234"/>
      <c r="R290" s="234"/>
      <c r="S290" s="234"/>
    </row>
    <row r="291" spans="2:22" s="26" customFormat="1" hidden="1" x14ac:dyDescent="0.25">
      <c r="B291" s="234"/>
      <c r="C291" s="234"/>
      <c r="D291" s="234"/>
      <c r="E291" s="234"/>
      <c r="F291" s="234"/>
      <c r="G291" s="234"/>
      <c r="H291" s="234"/>
      <c r="I291" s="234"/>
      <c r="J291" s="234"/>
      <c r="K291" s="234"/>
      <c r="L291" s="234"/>
      <c r="M291" s="234"/>
      <c r="N291" s="234"/>
      <c r="O291" s="234"/>
      <c r="P291" s="234"/>
      <c r="Q291" s="234"/>
      <c r="R291" s="234"/>
      <c r="S291" s="234"/>
    </row>
    <row r="292" spans="2:22" s="26" customFormat="1" hidden="1" x14ac:dyDescent="0.25">
      <c r="B292" s="234"/>
      <c r="C292" s="234"/>
      <c r="D292" s="234"/>
      <c r="E292" s="234"/>
      <c r="F292" s="234"/>
      <c r="G292" s="234"/>
      <c r="H292" s="234"/>
      <c r="I292" s="234"/>
      <c r="J292" s="234"/>
      <c r="K292" s="234"/>
      <c r="L292" s="234"/>
      <c r="M292" s="234"/>
      <c r="N292" s="234"/>
      <c r="O292" s="234"/>
      <c r="P292" s="234"/>
      <c r="Q292" s="234"/>
      <c r="R292" s="234"/>
      <c r="S292" s="234"/>
    </row>
    <row r="293" spans="2:22" s="26" customFormat="1" hidden="1" x14ac:dyDescent="0.25">
      <c r="B293" s="234"/>
      <c r="C293" s="234"/>
      <c r="D293" s="234"/>
      <c r="E293" s="234"/>
      <c r="F293" s="234"/>
      <c r="G293" s="234"/>
      <c r="H293" s="234"/>
      <c r="I293" s="234"/>
      <c r="J293" s="234"/>
      <c r="K293" s="234"/>
      <c r="L293" s="234"/>
      <c r="M293" s="234"/>
      <c r="N293" s="234"/>
      <c r="O293" s="234"/>
      <c r="P293" s="234"/>
      <c r="Q293" s="234"/>
      <c r="R293" s="234"/>
      <c r="S293" s="234"/>
    </row>
    <row r="294" spans="2:22" s="26" customFormat="1" hidden="1" x14ac:dyDescent="0.25">
      <c r="B294" s="234"/>
      <c r="C294" s="234"/>
      <c r="D294" s="234"/>
      <c r="E294" s="234"/>
      <c r="F294" s="234"/>
      <c r="G294" s="234"/>
      <c r="H294" s="234"/>
      <c r="I294" s="234"/>
      <c r="J294" s="234"/>
      <c r="K294" s="234"/>
      <c r="L294" s="234"/>
      <c r="M294" s="234"/>
      <c r="N294" s="234"/>
      <c r="O294" s="234"/>
      <c r="P294" s="234"/>
      <c r="Q294" s="234"/>
      <c r="R294" s="234"/>
      <c r="S294" s="234"/>
    </row>
    <row r="295" spans="2:22" s="26" customFormat="1" hidden="1" x14ac:dyDescent="0.25"/>
    <row r="296" spans="2:22" s="26" customFormat="1" hidden="1" x14ac:dyDescent="0.25"/>
    <row r="297" spans="2:22" s="26" customFormat="1" hidden="1" x14ac:dyDescent="0.25"/>
    <row r="298" spans="2:22" s="26" customFormat="1" ht="15.75" hidden="1" thickBot="1" x14ac:dyDescent="0.3"/>
    <row r="299" spans="2:22" s="26" customFormat="1" ht="15.75" hidden="1" thickBot="1" x14ac:dyDescent="0.3">
      <c r="B299" s="410" t="str">
        <f>CONCATENATE("Comparator 3: ",NameComparator3)</f>
        <v xml:space="preserve">Comparator 3: </v>
      </c>
      <c r="C299" s="411"/>
      <c r="D299" s="411"/>
      <c r="E299" s="411"/>
      <c r="F299" s="411"/>
      <c r="G299" s="412"/>
    </row>
    <row r="300" spans="2:22" s="26" customFormat="1" hidden="1" x14ac:dyDescent="0.25">
      <c r="B300" s="227"/>
      <c r="C300" s="227"/>
      <c r="D300" s="227"/>
      <c r="F300" s="303"/>
      <c r="G300" s="303"/>
      <c r="H300" s="303"/>
      <c r="I300" s="303"/>
      <c r="J300" s="303"/>
    </row>
    <row r="301" spans="2:22" s="26" customFormat="1" hidden="1" x14ac:dyDescent="0.25"/>
    <row r="302" spans="2:22" s="26" customFormat="1" ht="28.5" hidden="1" customHeight="1" thickBot="1" x14ac:dyDescent="0.3">
      <c r="B302" s="334" t="s">
        <v>118</v>
      </c>
      <c r="C302" s="334"/>
      <c r="D302" s="334"/>
      <c r="E302" s="334"/>
      <c r="K302" s="408" t="s">
        <v>209</v>
      </c>
      <c r="L302" s="408"/>
      <c r="M302" s="408"/>
      <c r="N302" s="408"/>
      <c r="O302" s="408"/>
      <c r="P302" s="225"/>
      <c r="Q302" s="225"/>
      <c r="R302" s="225"/>
      <c r="S302" s="225"/>
      <c r="T302" s="225"/>
      <c r="U302" s="225"/>
      <c r="V302" s="225"/>
    </row>
    <row r="303" spans="2:22" s="26" customFormat="1" ht="18.95" hidden="1" customHeight="1" thickBot="1" x14ac:dyDescent="0.3">
      <c r="B303" s="465" t="s">
        <v>119</v>
      </c>
      <c r="C303" s="466"/>
      <c r="D303" s="466"/>
      <c r="E303" s="466"/>
      <c r="F303" s="466"/>
      <c r="G303" s="466"/>
      <c r="H303" s="466"/>
      <c r="I303" s="467"/>
      <c r="K303" s="408"/>
      <c r="L303" s="408"/>
      <c r="M303" s="408"/>
      <c r="N303" s="408"/>
      <c r="O303" s="408"/>
      <c r="P303" s="225"/>
      <c r="Q303" s="225"/>
      <c r="R303" s="225"/>
      <c r="S303" s="225"/>
      <c r="T303" s="225"/>
      <c r="U303" s="225"/>
      <c r="V303" s="225"/>
    </row>
    <row r="304" spans="2:22" s="26" customFormat="1" ht="15.75" hidden="1" thickBot="1" x14ac:dyDescent="0.3">
      <c r="B304" s="295"/>
      <c r="C304" s="296"/>
      <c r="D304" s="296"/>
      <c r="E304" s="296"/>
      <c r="F304" s="466" t="s">
        <v>120</v>
      </c>
      <c r="G304" s="466"/>
      <c r="H304" s="466"/>
      <c r="I304" s="467"/>
      <c r="K304" s="14"/>
    </row>
    <row r="305" spans="1:22" s="26" customFormat="1" ht="15.75" hidden="1" thickBot="1" x14ac:dyDescent="0.3">
      <c r="B305" s="472" t="s">
        <v>174</v>
      </c>
      <c r="C305" s="473"/>
      <c r="D305" s="473"/>
      <c r="E305" s="474"/>
      <c r="F305" s="149"/>
      <c r="G305" s="149"/>
      <c r="H305" s="149"/>
      <c r="I305" s="149"/>
      <c r="K305" s="14" t="s">
        <v>180</v>
      </c>
    </row>
    <row r="306" spans="1:22" s="26" customFormat="1" ht="30" hidden="1" customHeight="1" thickBot="1" x14ac:dyDescent="0.3">
      <c r="B306" s="472" t="s">
        <v>106</v>
      </c>
      <c r="C306" s="473"/>
      <c r="D306" s="473"/>
      <c r="E306" s="474"/>
      <c r="F306" s="235"/>
      <c r="G306" s="235"/>
      <c r="H306" s="235"/>
      <c r="I306" s="235"/>
      <c r="J306" s="26" t="s">
        <v>104</v>
      </c>
      <c r="K306" s="408" t="s">
        <v>181</v>
      </c>
      <c r="L306" s="408"/>
      <c r="M306" s="408"/>
      <c r="N306" s="408"/>
      <c r="O306" s="408"/>
      <c r="P306" s="21"/>
      <c r="Q306" s="21"/>
      <c r="R306" s="21"/>
      <c r="S306" s="21"/>
      <c r="T306" s="21"/>
    </row>
    <row r="307" spans="1:22" s="26" customFormat="1" ht="15.75" hidden="1" thickBot="1" x14ac:dyDescent="0.3">
      <c r="A307" s="14"/>
      <c r="B307" s="472" t="s">
        <v>107</v>
      </c>
      <c r="C307" s="473"/>
      <c r="D307" s="473"/>
      <c r="E307" s="474"/>
      <c r="F307" s="151"/>
      <c r="G307" s="151"/>
      <c r="H307" s="151"/>
      <c r="I307" s="151"/>
      <c r="J307" s="236"/>
      <c r="K307" s="110" t="s">
        <v>182</v>
      </c>
      <c r="N307" s="21"/>
      <c r="O307" s="21"/>
      <c r="P307" s="21"/>
      <c r="Q307" s="21"/>
      <c r="R307" s="21"/>
      <c r="S307" s="21"/>
      <c r="T307" s="21"/>
    </row>
    <row r="308" spans="1:22" s="26" customFormat="1" ht="15.75" hidden="1" thickBot="1" x14ac:dyDescent="0.3">
      <c r="A308" s="15"/>
      <c r="B308" s="472" t="s">
        <v>108</v>
      </c>
      <c r="C308" s="473"/>
      <c r="D308" s="473"/>
      <c r="E308" s="474"/>
      <c r="F308" s="489"/>
      <c r="G308" s="490"/>
      <c r="H308" s="490"/>
      <c r="I308" s="491"/>
      <c r="J308" s="237" t="s">
        <v>104</v>
      </c>
      <c r="K308" s="110" t="s">
        <v>210</v>
      </c>
    </row>
    <row r="309" spans="1:22" s="26" customFormat="1" ht="15.75" hidden="1" thickBot="1" x14ac:dyDescent="0.3">
      <c r="A309" s="15"/>
      <c r="B309" s="472" t="s">
        <v>74</v>
      </c>
      <c r="C309" s="473"/>
      <c r="D309" s="473"/>
      <c r="E309" s="474"/>
      <c r="F309" s="492"/>
      <c r="G309" s="493"/>
      <c r="H309" s="493"/>
      <c r="I309" s="494"/>
      <c r="J309" s="237" t="s">
        <v>104</v>
      </c>
      <c r="K309" s="110" t="s">
        <v>184</v>
      </c>
    </row>
    <row r="310" spans="1:22" s="26" customFormat="1" ht="15.75" hidden="1" thickBot="1" x14ac:dyDescent="0.3">
      <c r="B310" s="472" t="s">
        <v>75</v>
      </c>
      <c r="C310" s="473"/>
      <c r="D310" s="473"/>
      <c r="E310" s="474"/>
      <c r="F310" s="492"/>
      <c r="G310" s="493"/>
      <c r="H310" s="493"/>
      <c r="I310" s="494"/>
      <c r="J310" s="26" t="s">
        <v>104</v>
      </c>
      <c r="K310" s="110" t="s">
        <v>185</v>
      </c>
    </row>
    <row r="311" spans="1:22" s="26" customFormat="1" ht="15.75" hidden="1" thickBot="1" x14ac:dyDescent="0.3">
      <c r="B311" s="472" t="s">
        <v>76</v>
      </c>
      <c r="C311" s="473"/>
      <c r="D311" s="473"/>
      <c r="E311" s="474"/>
      <c r="F311" s="492"/>
      <c r="G311" s="493"/>
      <c r="H311" s="493"/>
      <c r="I311" s="494"/>
      <c r="J311" s="237" t="s">
        <v>104</v>
      </c>
      <c r="K311" s="110" t="s">
        <v>216</v>
      </c>
    </row>
    <row r="312" spans="1:22" s="26" customFormat="1" ht="15.75" hidden="1" thickBot="1" x14ac:dyDescent="0.3">
      <c r="B312" s="472" t="s">
        <v>172</v>
      </c>
      <c r="C312" s="473"/>
      <c r="D312" s="473"/>
      <c r="E312" s="474"/>
      <c r="F312" s="492"/>
      <c r="G312" s="493"/>
      <c r="H312" s="493"/>
      <c r="I312" s="494"/>
      <c r="J312" s="237" t="s">
        <v>104</v>
      </c>
      <c r="K312" s="110" t="s">
        <v>217</v>
      </c>
    </row>
    <row r="313" spans="1:22" s="26" customFormat="1" ht="15.75" hidden="1" thickBot="1" x14ac:dyDescent="0.3">
      <c r="B313" s="472" t="s">
        <v>173</v>
      </c>
      <c r="C313" s="473"/>
      <c r="D313" s="473"/>
      <c r="E313" s="474"/>
      <c r="F313" s="492"/>
      <c r="G313" s="493"/>
      <c r="H313" s="493"/>
      <c r="I313" s="494"/>
      <c r="J313" s="237" t="s">
        <v>104</v>
      </c>
      <c r="K313" s="110" t="s">
        <v>218</v>
      </c>
    </row>
    <row r="314" spans="1:22" s="26" customFormat="1" ht="30" hidden="1" customHeight="1" x14ac:dyDescent="0.25">
      <c r="B314" s="112"/>
      <c r="C314" s="112"/>
      <c r="D314" s="112"/>
      <c r="E314" s="303"/>
      <c r="F314" s="303"/>
      <c r="G314" s="238"/>
      <c r="H314" s="303"/>
      <c r="I314" s="303"/>
      <c r="J314" s="239"/>
      <c r="K314" s="110"/>
    </row>
    <row r="315" spans="1:22" s="26" customFormat="1" ht="15.75" hidden="1" thickBot="1" x14ac:dyDescent="0.3">
      <c r="B315" s="334" t="s">
        <v>171</v>
      </c>
      <c r="C315" s="334"/>
      <c r="D315" s="334"/>
      <c r="E315" s="334"/>
      <c r="F315" s="303"/>
      <c r="G315" s="303"/>
      <c r="H315" s="303"/>
      <c r="I315" s="303"/>
      <c r="J315" s="239"/>
      <c r="K315" s="404" t="s">
        <v>195</v>
      </c>
      <c r="L315" s="404"/>
      <c r="M315" s="404"/>
      <c r="N315" s="404"/>
      <c r="O315" s="404"/>
      <c r="P315" s="292"/>
      <c r="Q315" s="292"/>
      <c r="R315" s="292"/>
      <c r="S315" s="292"/>
      <c r="T315" s="292"/>
      <c r="U315" s="292"/>
      <c r="V315" s="292"/>
    </row>
    <row r="316" spans="1:22" s="26" customFormat="1" ht="29.1" hidden="1" customHeight="1" thickBot="1" x14ac:dyDescent="0.3">
      <c r="B316" s="465" t="s">
        <v>121</v>
      </c>
      <c r="C316" s="466"/>
      <c r="D316" s="466"/>
      <c r="E316" s="466"/>
      <c r="F316" s="466"/>
      <c r="G316" s="466"/>
      <c r="H316" s="466"/>
      <c r="I316" s="467"/>
      <c r="J316" s="239"/>
      <c r="K316" s="404"/>
      <c r="L316" s="404"/>
      <c r="M316" s="404"/>
      <c r="N316" s="404"/>
      <c r="O316" s="404"/>
      <c r="P316" s="292"/>
      <c r="Q316" s="292"/>
      <c r="R316" s="292"/>
      <c r="S316" s="292"/>
      <c r="T316" s="292"/>
      <c r="U316" s="292"/>
      <c r="V316" s="292"/>
    </row>
    <row r="317" spans="1:22" s="26" customFormat="1" ht="30" hidden="1" customHeight="1" thickBot="1" x14ac:dyDescent="0.3">
      <c r="B317" s="472" t="s">
        <v>122</v>
      </c>
      <c r="C317" s="473"/>
      <c r="D317" s="473"/>
      <c r="E317" s="474"/>
      <c r="F317" s="468"/>
      <c r="G317" s="469"/>
      <c r="H317" s="470"/>
      <c r="I317" s="471"/>
      <c r="J317" s="239"/>
      <c r="K317" s="408" t="s">
        <v>186</v>
      </c>
      <c r="L317" s="408"/>
      <c r="M317" s="408"/>
      <c r="N317" s="408"/>
      <c r="O317" s="408"/>
    </row>
    <row r="318" spans="1:22" s="26" customFormat="1" ht="23.1" hidden="1" customHeight="1" thickBot="1" x14ac:dyDescent="0.3">
      <c r="B318" s="472" t="str">
        <f>B305</f>
        <v>Pack Identification</v>
      </c>
      <c r="C318" s="473"/>
      <c r="D318" s="473"/>
      <c r="E318" s="474"/>
      <c r="F318" s="192" t="str">
        <f>IF(ISBLANK(F305),"",F305)</f>
        <v/>
      </c>
      <c r="G318" s="192" t="str">
        <f t="shared" ref="G318:I318" si="19">IF(ISBLANK(G305),"",G305)</f>
        <v/>
      </c>
      <c r="H318" s="192" t="str">
        <f t="shared" si="19"/>
        <v/>
      </c>
      <c r="I318" s="192" t="str">
        <f t="shared" si="19"/>
        <v/>
      </c>
      <c r="J318" s="239"/>
      <c r="K318" s="408"/>
      <c r="L318" s="408"/>
      <c r="M318" s="408"/>
      <c r="N318" s="408"/>
      <c r="O318" s="408"/>
    </row>
    <row r="319" spans="1:22" s="26" customFormat="1" ht="15.75" hidden="1" thickBot="1" x14ac:dyDescent="0.3">
      <c r="B319" s="512" t="s">
        <v>123</v>
      </c>
      <c r="C319" s="513"/>
      <c r="D319" s="513"/>
      <c r="E319" s="514"/>
      <c r="F319" s="145"/>
      <c r="G319" s="154"/>
      <c r="H319" s="154"/>
      <c r="I319" s="154"/>
      <c r="J319" s="239"/>
      <c r="K319" s="408" t="s">
        <v>187</v>
      </c>
      <c r="L319" s="408"/>
      <c r="M319" s="408"/>
      <c r="N319" s="408"/>
      <c r="O319" s="408"/>
    </row>
    <row r="320" spans="1:22" s="26" customFormat="1" ht="75.75" hidden="1" customHeight="1" x14ac:dyDescent="0.25">
      <c r="B320" s="304"/>
      <c r="C320" s="304"/>
      <c r="D320" s="304"/>
      <c r="E320" s="304"/>
      <c r="F320" s="303"/>
      <c r="G320" s="303"/>
      <c r="H320" s="303"/>
      <c r="I320" s="303"/>
      <c r="J320" s="239"/>
      <c r="K320" s="408"/>
      <c r="L320" s="408"/>
      <c r="M320" s="408"/>
      <c r="N320" s="408"/>
      <c r="O320" s="408"/>
    </row>
    <row r="321" spans="1:15" s="26" customFormat="1" hidden="1" x14ac:dyDescent="0.25">
      <c r="B321" s="511"/>
      <c r="C321" s="511"/>
      <c r="D321" s="511"/>
      <c r="E321" s="511"/>
      <c r="K321" s="408"/>
      <c r="L321" s="408"/>
      <c r="M321" s="408"/>
      <c r="N321" s="408"/>
      <c r="O321" s="408"/>
    </row>
    <row r="322" spans="1:15" s="26" customFormat="1" hidden="1" x14ac:dyDescent="0.25">
      <c r="B322" s="303"/>
      <c r="C322" s="303"/>
      <c r="D322" s="303"/>
      <c r="E322" s="303"/>
      <c r="O322" s="21"/>
    </row>
    <row r="323" spans="1:15" s="26" customFormat="1" hidden="1" x14ac:dyDescent="0.25">
      <c r="A323" s="155"/>
      <c r="B323" s="308" t="s">
        <v>124</v>
      </c>
      <c r="C323" s="290"/>
      <c r="D323" s="66"/>
      <c r="E323" s="66"/>
      <c r="F323" s="390"/>
      <c r="G323" s="390"/>
      <c r="H323" s="390"/>
      <c r="I323" s="390"/>
      <c r="O323" s="21"/>
    </row>
    <row r="324" spans="1:15" s="26" customFormat="1" hidden="1" x14ac:dyDescent="0.25">
      <c r="A324" s="14" t="s">
        <v>125</v>
      </c>
      <c r="B324" s="290"/>
      <c r="C324" s="290"/>
      <c r="D324" s="66"/>
      <c r="E324" s="66"/>
      <c r="F324" s="290"/>
      <c r="G324" s="290"/>
      <c r="H324" s="290"/>
      <c r="I324" s="290"/>
      <c r="O324" s="21"/>
    </row>
    <row r="325" spans="1:15" s="26" customFormat="1" ht="15.75" hidden="1" thickBot="1" x14ac:dyDescent="0.3">
      <c r="B325" s="66"/>
      <c r="C325" s="66"/>
      <c r="D325" s="66"/>
      <c r="E325" s="66"/>
      <c r="F325" s="390" t="s">
        <v>126</v>
      </c>
      <c r="G325" s="390"/>
      <c r="H325" s="390"/>
      <c r="I325" s="390"/>
      <c r="O325" s="21"/>
    </row>
    <row r="326" spans="1:15" s="26" customFormat="1" ht="15.75" hidden="1" thickBot="1" x14ac:dyDescent="0.3">
      <c r="B326" s="66"/>
      <c r="C326" s="66"/>
      <c r="D326" s="66"/>
      <c r="E326" s="66"/>
      <c r="F326" s="156" t="str">
        <f>IF(F305="","",F305)</f>
        <v/>
      </c>
      <c r="G326" s="156" t="str">
        <f>IF(G305="","",G305)</f>
        <v/>
      </c>
      <c r="H326" s="156" t="str">
        <f>IF(H305="","",H305)</f>
        <v/>
      </c>
      <c r="I326" s="156" t="str">
        <f>IF(I305="","",I305)</f>
        <v/>
      </c>
      <c r="O326" s="21"/>
    </row>
    <row r="327" spans="1:15" s="26" customFormat="1" hidden="1" x14ac:dyDescent="0.25">
      <c r="A327" s="91" t="s">
        <v>77</v>
      </c>
      <c r="B327" s="475" t="s">
        <v>82</v>
      </c>
      <c r="C327" s="476"/>
      <c r="D327" s="476"/>
      <c r="E327" s="240"/>
      <c r="F327" s="241" t="str">
        <f>IF(OR(F306="",F307="",F308=""),"",IF(F306="Price to Wholesaler",F307,IF(F306="Reimbursement Price",(F329/(1+E328)*1),"Error")))</f>
        <v/>
      </c>
      <c r="G327" s="241" t="str">
        <f>IF(OR(G306="",G307="",F308=""),"",IF(G306="Price to Wholesaler",G307,IF(G306="Reimbursement Price",(G329/(1+E328)*1),"Error")))</f>
        <v/>
      </c>
      <c r="H327" s="241" t="str">
        <f>IF(OR(H306="",H307="",F308=""),"",IF(H306="Price to Wholesaler",H307,IF(H306="Reimbursement Price",(H329/(1+E328)*1),"Error")))</f>
        <v/>
      </c>
      <c r="I327" s="241" t="str">
        <f>IF(OR(I306="",I307="",F308=""),"",IF(I306="Price to Wholesaler",I307,IF(I306="Reimbursement Price",(I329/(1+E328)*1),"Error")))</f>
        <v/>
      </c>
      <c r="O327" s="21"/>
    </row>
    <row r="328" spans="1:15" s="26" customFormat="1" hidden="1" x14ac:dyDescent="0.25">
      <c r="A328" s="297" t="s">
        <v>78</v>
      </c>
      <c r="B328" s="477" t="s">
        <v>83</v>
      </c>
      <c r="C328" s="478"/>
      <c r="D328" s="478"/>
      <c r="E328" s="93" t="str">
        <f>IF(OR(F308=""),"",IF(AND(F308="CDS",F309="Yes"),CYF,IF(AND(F308="CDS",F309="No"),CNF,IF(F308="HT",CHT,IF(F308="Hosp",CHO,"Error")))))</f>
        <v/>
      </c>
      <c r="F328" s="242" t="str">
        <f>IF(OR(F308="",F307="",F306=""),"",F327*E328)</f>
        <v/>
      </c>
      <c r="G328" s="242" t="str">
        <f>IF(OR(F308="",G307="",G306=""),"",G327*E328)</f>
        <v/>
      </c>
      <c r="H328" s="242" t="str">
        <f>IF(OR(F308="",H307="",H306=""),"",H327*E328)</f>
        <v/>
      </c>
      <c r="I328" s="242" t="str">
        <f>IF(OR(F308="",I307="",I306=""),"",I327*E328)</f>
        <v/>
      </c>
      <c r="O328" s="21"/>
    </row>
    <row r="329" spans="1:15" s="26" customFormat="1" hidden="1" x14ac:dyDescent="0.25">
      <c r="A329" s="297" t="s">
        <v>79</v>
      </c>
      <c r="B329" s="477" t="str">
        <f>IF(F308="Hosp","Hospital Price", "Reimbursement Price")</f>
        <v>Reimbursement Price</v>
      </c>
      <c r="C329" s="478"/>
      <c r="D329" s="478"/>
      <c r="E329" s="243" t="str">
        <f>IF(F306="Price to Wholesaler","A+B","")</f>
        <v/>
      </c>
      <c r="F329" s="242" t="str">
        <f>IF(F306="Reimbursement Price",F307,IF(ISBLANK(E328),"",IF(F306="Price to Wholesaler",(F327+F328),IF(F306="","","Error"))))</f>
        <v/>
      </c>
      <c r="G329" s="242" t="str">
        <f>IF(G306="Reimbursement Price",G307,IF(ISBLANK(E328),"",IF(G306="Price to Wholesaler",(G327+G328),IF(G306="","","Error"))))</f>
        <v/>
      </c>
      <c r="H329" s="242" t="str">
        <f>IF(H306="Reimbursement Price",H307,IF(ISBLANK(E328),"",IF(H306="Price to Wholesaler",(H327+H328),IF(H306="","","Error"))))</f>
        <v/>
      </c>
      <c r="I329" s="242" t="str">
        <f>IF(I306="Reimbursement Price",I307,IF(ISBLANK(E328),"",IF(I306="Price to Wholesaler",(I327+I328),IF(I306="","","Error"))))</f>
        <v/>
      </c>
      <c r="O329" s="21"/>
    </row>
    <row r="330" spans="1:15" s="26" customFormat="1" hidden="1" x14ac:dyDescent="0.25">
      <c r="A330" s="297" t="s">
        <v>80</v>
      </c>
      <c r="B330" s="477" t="s">
        <v>214</v>
      </c>
      <c r="C330" s="478"/>
      <c r="D330" s="478"/>
      <c r="E330" s="268" t="str">
        <f>IF(OR(F311="",AND(F311="Yes",F312=""),AND(F311="No",F313="")),"",IF(AND(F311="No",F313="Patented Exclusive or Off Patent Exclusive and subject to clause 10 of Framework Agreement"),MR,IF(AND(F311="No",F313="Off Patent Non-Exclusive or Generic"),"None",IF(AND(F311="Yes",F312="Biosimilar"),"None",IF(AND(F311="Yes",F312="Patented or Off Patent Exclusive"),MR,IF(AND(F311="Yes",F312="Off Patent Non-Exclusive 12.5% Rebate incorporated into Price to Wholesaler"),"None",IF(AND(F311="Yes",F312="Off Patent Non-Exclusive 12.5% Rebate"),MRB,"Error")))))))</f>
        <v/>
      </c>
      <c r="F330" s="242" t="str">
        <f>IF(OR(F311="",AND(F311="Yes",F312=""),AND(F311="No",F313=""),F306="",ISBLANK(F307)),"",IF(E330="None",0,(E330*F327)))</f>
        <v/>
      </c>
      <c r="G330" s="242" t="str">
        <f>IF(OR(F311="",AND(F311="Yes",F312=""),AND(F311="No",F313=""),G306="",ISBLANK(G307)),"",IF(E330="None",0,(E330*G327)))</f>
        <v/>
      </c>
      <c r="H330" s="242" t="str">
        <f>IF(OR(F311="",AND(F311="Yes",F312=""),AND(F311="No",F313=""),H306="",ISBLANK(H307)),"",IF(E330="None",0,(E330*H327)))</f>
        <v/>
      </c>
      <c r="I330" s="242" t="str">
        <f>IF(OR(F311="",AND(F311="Yes",F312=""),AND(F311="No",F313=""),I306="",ISBLANK(I307)),"",IF(E330="None",0,(E330*I327)))</f>
        <v/>
      </c>
      <c r="O330" s="21"/>
    </row>
    <row r="331" spans="1:15" s="26" customFormat="1" ht="15.75" hidden="1" thickBot="1" x14ac:dyDescent="0.3">
      <c r="A331" s="298" t="s">
        <v>81</v>
      </c>
      <c r="B331" s="479" t="s">
        <v>94</v>
      </c>
      <c r="C331" s="480"/>
      <c r="D331" s="480"/>
      <c r="E331" s="160" t="str">
        <f>IF(F310="","",IF(F310="Yes",0,VT))</f>
        <v/>
      </c>
      <c r="F331" s="244" t="str">
        <f>IF(OR($B310="",F307="",ISBLANK(F307)),"",($E331*F329))</f>
        <v/>
      </c>
      <c r="G331" s="244" t="str">
        <f>IF(OR($B310="",G307="",ISBLANK(G307)),"",($E331*G329))</f>
        <v/>
      </c>
      <c r="H331" s="244" t="str">
        <f>IF(OR($B310="",H307="",ISBLANK(H307)),"",($E331*H329))</f>
        <v/>
      </c>
      <c r="I331" s="244" t="str">
        <f>IF(OR($B310="",I307="",ISBLANK(I307)),"",($E331*I329))</f>
        <v/>
      </c>
      <c r="O331" s="21"/>
    </row>
    <row r="332" spans="1:15" s="26" customFormat="1" ht="15.75" hidden="1" thickBot="1" x14ac:dyDescent="0.3">
      <c r="A332" s="299" t="s">
        <v>127</v>
      </c>
      <c r="B332" s="481" t="s">
        <v>128</v>
      </c>
      <c r="C332" s="481"/>
      <c r="D332" s="481"/>
      <c r="E332" s="299"/>
      <c r="F332" s="245" t="str">
        <f>IF(OR(F306="",$F308="",$F310="",$F311=""),"",SUM(F329:F331))</f>
        <v/>
      </c>
      <c r="G332" s="245" t="str">
        <f>IF(OR(G306="",$F308="",$F310="",$F311=""),"",SUM(G329:G331))</f>
        <v/>
      </c>
      <c r="H332" s="245" t="str">
        <f>IF(OR(H306="",$F308="",$F310="",$F311=""),"",SUM(H329:H331))</f>
        <v/>
      </c>
      <c r="I332" s="245" t="str">
        <f>IF(OR(I306="",$F308="",$F310="",$F311=""),"",SUM(I329:I331))</f>
        <v/>
      </c>
      <c r="O332" s="21"/>
    </row>
    <row r="333" spans="1:15" s="26" customFormat="1" ht="15.75" hidden="1" thickBot="1" x14ac:dyDescent="0.3">
      <c r="A333" s="299" t="s">
        <v>129</v>
      </c>
      <c r="B333" s="482" t="s">
        <v>130</v>
      </c>
      <c r="C333" s="482"/>
      <c r="D333" s="482"/>
      <c r="E333" s="245"/>
      <c r="F333" s="245" t="str">
        <f>IF(OR(F306="",$F308="",$F310="",$F311=""),"",SUM(F329:F330))</f>
        <v/>
      </c>
      <c r="G333" s="245" t="str">
        <f>IF(OR(G306="",$F308="",$F310="",$F311=""),"",SUM(G329:G330))</f>
        <v/>
      </c>
      <c r="H333" s="245" t="str">
        <f t="shared" ref="H333:I333" si="20">IF(OR(H306="",$F308="",$F310="",$F311=""),"",SUM(H329:H330))</f>
        <v/>
      </c>
      <c r="I333" s="245" t="str">
        <f t="shared" si="20"/>
        <v/>
      </c>
      <c r="O333" s="21"/>
    </row>
    <row r="334" spans="1:15" s="26" customFormat="1" hidden="1" x14ac:dyDescent="0.25">
      <c r="B334" s="66"/>
      <c r="C334" s="66"/>
      <c r="D334" s="66"/>
      <c r="E334" s="66"/>
      <c r="K334" s="26" t="s">
        <v>131</v>
      </c>
      <c r="O334" s="21"/>
    </row>
    <row r="335" spans="1:15" s="26" customFormat="1" hidden="1" x14ac:dyDescent="0.25">
      <c r="A335" s="155" t="s">
        <v>132</v>
      </c>
      <c r="B335" s="66"/>
      <c r="C335" s="66"/>
      <c r="D335" s="66"/>
      <c r="E335" s="66"/>
      <c r="F335" s="246"/>
      <c r="G335" s="246"/>
      <c r="H335" s="246"/>
      <c r="I335" s="246"/>
      <c r="O335" s="21"/>
    </row>
    <row r="336" spans="1:15" s="26" customFormat="1" hidden="1" x14ac:dyDescent="0.25">
      <c r="A336" s="125"/>
      <c r="B336" s="125" t="s">
        <v>133</v>
      </c>
      <c r="C336" s="125"/>
      <c r="D336" s="125"/>
      <c r="E336" s="125"/>
      <c r="F336" s="125"/>
      <c r="G336" s="125"/>
      <c r="H336" s="125"/>
      <c r="O336" s="21"/>
    </row>
    <row r="337" spans="1:20" s="26" customFormat="1" hidden="1" x14ac:dyDescent="0.25">
      <c r="B337" s="21" t="s">
        <v>134</v>
      </c>
      <c r="C337" s="229"/>
      <c r="D337" s="229"/>
      <c r="E337" s="66"/>
      <c r="O337" s="21"/>
    </row>
    <row r="338" spans="1:20" s="26" customFormat="1" ht="15.75" hidden="1" thickBot="1" x14ac:dyDescent="0.3">
      <c r="B338" s="165"/>
      <c r="C338" s="229"/>
      <c r="D338" s="229"/>
      <c r="E338" s="66"/>
      <c r="O338" s="21"/>
    </row>
    <row r="339" spans="1:20" s="26" customFormat="1" ht="15.75" hidden="1" thickBot="1" x14ac:dyDescent="0.3">
      <c r="B339" s="230"/>
      <c r="C339" s="66"/>
      <c r="D339" s="66"/>
      <c r="E339" s="66"/>
      <c r="G339" s="293" t="s">
        <v>135</v>
      </c>
      <c r="H339" s="293" t="s">
        <v>136</v>
      </c>
      <c r="O339" s="21"/>
    </row>
    <row r="340" spans="1:20" s="26" customFormat="1" hidden="1" x14ac:dyDescent="0.25">
      <c r="B340" s="483" t="s">
        <v>137</v>
      </c>
      <c r="C340" s="484"/>
      <c r="D340" s="484"/>
      <c r="E340" s="484"/>
      <c r="F340" s="485"/>
      <c r="G340" s="247" t="str">
        <f>IF(F308="","",IF(F308="CDS","per dispensing",IF(F308="HT","per month",IF(F308="Hosp","No Fee", ERROR))))</f>
        <v/>
      </c>
      <c r="H340" s="248" t="str">
        <f>IF(F308="","",IF(F308="CDS",DF,IF(F308="HT",PC,IF(F308="Hosp","No Fee",ERROR))))</f>
        <v/>
      </c>
      <c r="I340" s="26" t="s">
        <v>138</v>
      </c>
      <c r="O340" s="21"/>
    </row>
    <row r="341" spans="1:20" s="26" customFormat="1" ht="15.75" hidden="1" thickBot="1" x14ac:dyDescent="0.3">
      <c r="B341" s="486" t="s">
        <v>92</v>
      </c>
      <c r="C341" s="487"/>
      <c r="D341" s="487"/>
      <c r="E341" s="487"/>
      <c r="F341" s="488"/>
      <c r="G341" s="249" t="str">
        <f>IF(OR(F308="",F310=""),"",IF(F308="Hosp","No Fee",IF(F308="HT","No VAT",IF(AND(F308="CDS",F310="No"),VT,"No VAT"))))</f>
        <v/>
      </c>
      <c r="H341" s="250" t="str">
        <f>IF(OR(F310="",F308="Hosp"),"",IF(OR(F310="Yes",F308="HT"),0,H340*G341))</f>
        <v/>
      </c>
      <c r="O341" s="21"/>
    </row>
    <row r="342" spans="1:20" s="26" customFormat="1" hidden="1" x14ac:dyDescent="0.25">
      <c r="B342" s="230"/>
      <c r="C342" s="66"/>
      <c r="D342" s="66"/>
      <c r="E342" s="66"/>
      <c r="O342" s="21"/>
    </row>
    <row r="343" spans="1:20" s="26" customFormat="1" hidden="1" x14ac:dyDescent="0.25">
      <c r="B343" s="230"/>
      <c r="C343" s="66"/>
      <c r="D343" s="66"/>
      <c r="E343" s="66"/>
      <c r="O343" s="21"/>
    </row>
    <row r="344" spans="1:20" s="26" customFormat="1" ht="33.950000000000003" hidden="1" customHeight="1" thickBot="1" x14ac:dyDescent="0.3">
      <c r="A344" s="165" t="s">
        <v>193</v>
      </c>
      <c r="B344" s="230"/>
      <c r="C344" s="66"/>
      <c r="D344" s="66"/>
      <c r="E344" s="66"/>
      <c r="K344" s="408" t="s">
        <v>197</v>
      </c>
      <c r="L344" s="408"/>
      <c r="M344" s="408"/>
      <c r="N344" s="408"/>
      <c r="O344" s="408"/>
      <c r="P344" s="195"/>
      <c r="Q344" s="195"/>
      <c r="R344" s="195"/>
      <c r="S344" s="195"/>
      <c r="T344" s="195"/>
    </row>
    <row r="345" spans="1:20" s="26" customFormat="1" ht="17.100000000000001" hidden="1" customHeight="1" thickBot="1" x14ac:dyDescent="0.3">
      <c r="A345" s="14" t="s">
        <v>194</v>
      </c>
      <c r="B345" s="230"/>
      <c r="C345" s="66"/>
      <c r="D345" s="66"/>
      <c r="E345" s="66"/>
      <c r="G345" s="293" t="s">
        <v>101</v>
      </c>
      <c r="H345" s="293" t="s">
        <v>136</v>
      </c>
      <c r="K345" s="408" t="str">
        <f>IF(F308="HT","For High tech, if a treatment cycle =28 days the corresponding pharmacy fee is =62.03*12/365.25*28.  The pharmacy fee remains the same regardless of the number of products dispensed that month.",IF(F308="CDS","For CDS, if 2 packets of the same pack presentation are required per treatment cycle, one dispensing fee applies (€5.48). If multiple pack presentations are required, multiple dispensing fees apply",""))</f>
        <v/>
      </c>
      <c r="L345" s="408"/>
      <c r="M345" s="408"/>
      <c r="N345" s="408"/>
      <c r="O345" s="408"/>
      <c r="P345" s="195"/>
      <c r="Q345" s="195"/>
      <c r="R345" s="195"/>
      <c r="S345" s="195"/>
      <c r="T345" s="195"/>
    </row>
    <row r="346" spans="1:20" s="26" customFormat="1" ht="16.5" hidden="1" customHeight="1" x14ac:dyDescent="0.25">
      <c r="A346" s="170" t="s">
        <v>139</v>
      </c>
      <c r="B346" s="504" t="s">
        <v>140</v>
      </c>
      <c r="C346" s="504"/>
      <c r="D346" s="504"/>
      <c r="E346" s="504"/>
      <c r="F346" s="504"/>
      <c r="G346" s="251"/>
      <c r="H346" s="252"/>
      <c r="K346" s="408"/>
      <c r="L346" s="408"/>
      <c r="M346" s="408"/>
      <c r="N346" s="408"/>
      <c r="O346" s="408"/>
      <c r="P346" s="195"/>
      <c r="Q346" s="195"/>
      <c r="R346" s="195"/>
      <c r="S346" s="195"/>
      <c r="T346" s="195"/>
    </row>
    <row r="347" spans="1:20" s="26" customFormat="1" hidden="1" x14ac:dyDescent="0.25">
      <c r="A347" s="173" t="s">
        <v>141</v>
      </c>
      <c r="B347" s="505" t="s">
        <v>142</v>
      </c>
      <c r="C347" s="505"/>
      <c r="D347" s="505"/>
      <c r="E347" s="505"/>
      <c r="F347" s="505"/>
      <c r="G347" s="253"/>
      <c r="H347" s="254"/>
      <c r="K347" s="14" t="s">
        <v>188</v>
      </c>
      <c r="O347" s="21"/>
    </row>
    <row r="348" spans="1:20" s="26" customFormat="1" hidden="1" x14ac:dyDescent="0.25">
      <c r="A348" s="173" t="s">
        <v>143</v>
      </c>
      <c r="B348" s="505" t="s">
        <v>144</v>
      </c>
      <c r="C348" s="505"/>
      <c r="D348" s="505"/>
      <c r="E348" s="505"/>
      <c r="F348" s="505"/>
      <c r="G348" s="253"/>
      <c r="H348" s="254"/>
      <c r="K348" s="14" t="s">
        <v>189</v>
      </c>
      <c r="O348" s="21"/>
    </row>
    <row r="349" spans="1:20" s="26" customFormat="1" hidden="1" x14ac:dyDescent="0.25">
      <c r="A349" s="173" t="s">
        <v>145</v>
      </c>
      <c r="B349" s="505" t="s">
        <v>146</v>
      </c>
      <c r="C349" s="505"/>
      <c r="D349" s="505"/>
      <c r="E349" s="505"/>
      <c r="F349" s="505"/>
      <c r="G349" s="255"/>
      <c r="H349" s="256" t="str">
        <f>IF(ISBLANK(H346),"",SUM(H346:H348))</f>
        <v/>
      </c>
      <c r="O349" s="21"/>
    </row>
    <row r="350" spans="1:20" s="26" customFormat="1" ht="15.75" hidden="1" thickBot="1" x14ac:dyDescent="0.3">
      <c r="A350" s="178" t="s">
        <v>147</v>
      </c>
      <c r="B350" s="515" t="s">
        <v>196</v>
      </c>
      <c r="C350" s="515"/>
      <c r="D350" s="515"/>
      <c r="E350" s="515"/>
      <c r="F350" s="515"/>
      <c r="G350" s="257"/>
      <c r="H350" s="250" t="str">
        <f>IF(ISBLANK(H346),"",SUM(H346:H347))</f>
        <v/>
      </c>
      <c r="O350" s="21"/>
    </row>
    <row r="351" spans="1:20" s="26" customFormat="1" hidden="1" x14ac:dyDescent="0.25">
      <c r="B351" s="66"/>
      <c r="C351" s="66"/>
      <c r="D351" s="66"/>
      <c r="E351" s="66"/>
      <c r="O351" s="21"/>
    </row>
    <row r="352" spans="1:20" s="26" customFormat="1" hidden="1" x14ac:dyDescent="0.25">
      <c r="B352" s="66"/>
      <c r="C352" s="66"/>
      <c r="D352" s="66"/>
      <c r="E352" s="66"/>
      <c r="O352" s="21"/>
    </row>
    <row r="353" spans="1:15" s="26" customFormat="1" hidden="1" x14ac:dyDescent="0.25">
      <c r="A353" s="155" t="s">
        <v>148</v>
      </c>
      <c r="B353" s="66"/>
      <c r="C353" s="66"/>
      <c r="D353" s="66"/>
      <c r="E353" s="66"/>
      <c r="O353" s="21"/>
    </row>
    <row r="354" spans="1:15" s="26" customFormat="1" ht="15.75" hidden="1" thickBot="1" x14ac:dyDescent="0.3">
      <c r="B354" s="66"/>
      <c r="C354" s="66"/>
      <c r="D354" s="66"/>
      <c r="E354" s="66"/>
      <c r="O354" s="21"/>
    </row>
    <row r="355" spans="1:15" s="26" customFormat="1" ht="29.1" hidden="1" customHeight="1" x14ac:dyDescent="0.25">
      <c r="A355" s="65"/>
      <c r="B355" s="303"/>
      <c r="C355" s="303"/>
      <c r="D355" s="303"/>
      <c r="E355" s="303"/>
      <c r="F355" s="506" t="s">
        <v>149</v>
      </c>
      <c r="G355" s="180" t="s">
        <v>150</v>
      </c>
      <c r="H355" s="508" t="s">
        <v>151</v>
      </c>
      <c r="I355" s="180" t="s">
        <v>152</v>
      </c>
      <c r="J355" s="66"/>
      <c r="K355" s="408" t="s">
        <v>190</v>
      </c>
      <c r="L355" s="408"/>
      <c r="M355" s="408"/>
      <c r="N355" s="408"/>
      <c r="O355" s="408"/>
    </row>
    <row r="356" spans="1:15" s="26" customFormat="1" hidden="1" x14ac:dyDescent="0.25">
      <c r="A356" s="65"/>
      <c r="B356" s="303"/>
      <c r="C356" s="303"/>
      <c r="D356" s="303"/>
      <c r="E356" s="303"/>
      <c r="F356" s="507"/>
      <c r="G356" s="253"/>
      <c r="H356" s="509"/>
      <c r="I356" s="182"/>
      <c r="J356" s="66"/>
      <c r="K356" s="408"/>
      <c r="L356" s="408"/>
      <c r="M356" s="408"/>
      <c r="N356" s="408"/>
      <c r="O356" s="408"/>
    </row>
    <row r="357" spans="1:15" s="26" customFormat="1" ht="15.75" hidden="1" thickBot="1" x14ac:dyDescent="0.3">
      <c r="A357" s="65"/>
      <c r="B357" s="303"/>
      <c r="C357" s="303"/>
      <c r="D357" s="303"/>
      <c r="E357" s="303"/>
      <c r="F357" s="507"/>
      <c r="G357" s="183" t="s">
        <v>153</v>
      </c>
      <c r="H357" s="510"/>
      <c r="I357" s="184"/>
      <c r="J357" s="66"/>
      <c r="K357" s="408"/>
      <c r="L357" s="408"/>
      <c r="M357" s="408"/>
      <c r="N357" s="408"/>
      <c r="O357" s="408"/>
    </row>
    <row r="358" spans="1:15" s="26" customFormat="1" hidden="1" x14ac:dyDescent="0.25">
      <c r="A358" s="247" t="s">
        <v>77</v>
      </c>
      <c r="B358" s="463" t="str">
        <f>B327</f>
        <v>Price to Wholesaler</v>
      </c>
      <c r="C358" s="463"/>
      <c r="D358" s="463"/>
      <c r="E358" s="463"/>
      <c r="F358" s="256">
        <f>SUMPRODUCT(F327:I327,F319:I319)</f>
        <v>0</v>
      </c>
      <c r="G358" s="256">
        <f>F358*G356</f>
        <v>0</v>
      </c>
      <c r="H358" s="256" t="str">
        <f>IF(H317="Days",F358/F317*365.25,IF(H317="Months",F358/F317*12,""))</f>
        <v/>
      </c>
      <c r="I358" s="256" t="str">
        <f>IF(AND(H317="Days",I357="Days"),F358/F317*I356,IF(AND(H317="Months",I357="Months"),F358/F317*I356,IF(AND(H317="Days",I357="Months"),F358/F317*30.4375*I356,IF(AND(H317="Months",I357="Days"),F358/F317/30.4375*I356,""))))</f>
        <v/>
      </c>
      <c r="O358" s="21"/>
    </row>
    <row r="359" spans="1:15" s="26" customFormat="1" hidden="1" x14ac:dyDescent="0.25">
      <c r="A359" s="255" t="s">
        <v>78</v>
      </c>
      <c r="B359" s="464" t="str">
        <f>B328</f>
        <v>Wholesale Mark-up</v>
      </c>
      <c r="C359" s="464"/>
      <c r="D359" s="464"/>
      <c r="E359" s="464"/>
      <c r="F359" s="256">
        <f>SUMPRODUCT(F328:I328,F319:I319)</f>
        <v>0</v>
      </c>
      <c r="G359" s="256">
        <f>F359*G356</f>
        <v>0</v>
      </c>
      <c r="H359" s="256" t="str">
        <f>IF(H317="Days",F359/F317*365.25,IF(H317="Months",F359/F317*12,""))</f>
        <v/>
      </c>
      <c r="I359" s="256" t="str">
        <f>IF(AND(H317="Days",I357="Days"),F359/F317*I356,IF(AND(H317="Months",I357="Months"),F359/F317*I356,IF(AND(H317="Days",I357="Months"),F359/F317*30.4375*I356,IF(AND(H317="Months",I357="Days"),F359/F317/30.4375*I356,""))))</f>
        <v/>
      </c>
      <c r="O359" s="21"/>
    </row>
    <row r="360" spans="1:15" s="26" customFormat="1" hidden="1" x14ac:dyDescent="0.25">
      <c r="A360" s="255" t="s">
        <v>79</v>
      </c>
      <c r="B360" s="294" t="str">
        <f>B329</f>
        <v>Reimbursement Price</v>
      </c>
      <c r="C360" s="300"/>
      <c r="D360" s="301"/>
      <c r="E360" s="302"/>
      <c r="F360" s="256">
        <f>SUMPRODUCT(F329:I329,F319:I319)</f>
        <v>0</v>
      </c>
      <c r="G360" s="256">
        <f>F360*G356</f>
        <v>0</v>
      </c>
      <c r="H360" s="256" t="str">
        <f>IF(H317="Days",F360/F317*365.25,IF(H317="Months",F360/F317*12,""))</f>
        <v/>
      </c>
      <c r="I360" s="256" t="str">
        <f>IF(AND(H317="Days",I357="Days"),F360/F317*I356,IF(AND(H317="Months",I357="Months"),F360/F317*I356,IF(AND(H317="Days",I357="Months"),F360/F317*30.4375*I356,IF(AND(H317="Months",I357="Days"),F360/F317/30.4375*I356,""))))</f>
        <v/>
      </c>
      <c r="O360" s="21"/>
    </row>
    <row r="361" spans="1:15" s="26" customFormat="1" hidden="1" x14ac:dyDescent="0.25">
      <c r="A361" s="255" t="s">
        <v>80</v>
      </c>
      <c r="B361" s="495" t="str">
        <f>B330</f>
        <v>Framework Agreement Rebate</v>
      </c>
      <c r="C361" s="496"/>
      <c r="D361" s="496"/>
      <c r="E361" s="497"/>
      <c r="F361" s="256">
        <f>SUMPRODUCT(F330:I330,F319:I319)</f>
        <v>0</v>
      </c>
      <c r="G361" s="256">
        <f>F361*G356</f>
        <v>0</v>
      </c>
      <c r="H361" s="256" t="str">
        <f>IF(H317="Days",F361/F317*365.25,IF(H317="Months",F361/F317*12,""))</f>
        <v/>
      </c>
      <c r="I361" s="256" t="str">
        <f>IF(AND(H317="Days",I357="Days"),F361/F317*I356,IF(AND(H317="Months",I357="Months"),F361/F317*I356,IF(AND(H317="Days",I357="Months"),F361/F317*30.4375*I356,IF(AND(H317="Months",I357="Days"),F361/F317/30.4375*I356,""))))</f>
        <v/>
      </c>
      <c r="O361" s="21"/>
    </row>
    <row r="362" spans="1:15" s="26" customFormat="1" hidden="1" x14ac:dyDescent="0.25">
      <c r="A362" s="255" t="s">
        <v>81</v>
      </c>
      <c r="B362" s="495" t="str">
        <f>B331</f>
        <v xml:space="preserve">VAT on Drug Cost </v>
      </c>
      <c r="C362" s="496"/>
      <c r="D362" s="496"/>
      <c r="E362" s="497"/>
      <c r="F362" s="256">
        <f>SUMPRODUCT(F331:I331,F319:I319)</f>
        <v>0</v>
      </c>
      <c r="G362" s="256">
        <f>F362*G356</f>
        <v>0</v>
      </c>
      <c r="H362" s="256" t="str">
        <f>IF(H317="Days",F362/F317*365.25,IF(H317="Months",F362/F317*12,""))</f>
        <v/>
      </c>
      <c r="I362" s="256" t="str">
        <f>IF(AND(H317="Days",I357="Days"),F362/F317*I356,IF(AND(H317="Months",I357="Months"),F362/F317*I356,IF(AND(H317="Days",I357="Months"),F362/F317*30.4375*I356,IF(AND(H317="Months",I357="Days"),F362/F317/30.4375*I356,""))))</f>
        <v/>
      </c>
      <c r="O362" s="21"/>
    </row>
    <row r="363" spans="1:15" s="26" customFormat="1" hidden="1" x14ac:dyDescent="0.25">
      <c r="A363" s="255" t="s">
        <v>154</v>
      </c>
      <c r="B363" s="495" t="s">
        <v>155</v>
      </c>
      <c r="C363" s="496"/>
      <c r="D363" s="496"/>
      <c r="E363" s="497"/>
      <c r="F363" s="256" t="str">
        <f>IF(H349="","",H349)</f>
        <v/>
      </c>
      <c r="G363" s="256" t="str">
        <f>IF(F363="","",F363*G356)</f>
        <v/>
      </c>
      <c r="H363" s="256" t="str">
        <f>IF(F363="","",IF(H317="Days",F363/F317*365.25,IF(H317="Months",F363/F317*12,"")))</f>
        <v/>
      </c>
      <c r="I363" s="256" t="str">
        <f>IF(F363="","",IF(AND(H317="Days",I357="Days"),F363/F317*I356,IF(AND(H317="Months",I357="Months"),F363/F317*I356,IF(AND(H317="Days",I357="Months"),F363/F317*30.4375*I356,IF(AND(H317="Months",I357="Days"),F363/F317/30.4375*I356,"")))))</f>
        <v/>
      </c>
      <c r="O363" s="21"/>
    </row>
    <row r="364" spans="1:15" s="26" customFormat="1" hidden="1" x14ac:dyDescent="0.25">
      <c r="A364" s="255" t="s">
        <v>156</v>
      </c>
      <c r="B364" s="495" t="s">
        <v>157</v>
      </c>
      <c r="C364" s="496"/>
      <c r="D364" s="496"/>
      <c r="E364" s="497"/>
      <c r="F364" s="256" t="str">
        <f>IF(H350="","",H350)</f>
        <v/>
      </c>
      <c r="G364" s="256" t="str">
        <f>IF(F364="","",F364*G356)</f>
        <v/>
      </c>
      <c r="H364" s="256" t="str">
        <f>IF(F364="","",IF(H317="Days",F364/F317*365.25,IF(H317="Months",F364/F317*12,"")))</f>
        <v/>
      </c>
      <c r="I364" s="256" t="str">
        <f>IF(F364="","",IF(AND(H317="Days",I357="Days"),F364/F317*I356,IF(AND(H317="Months",I357="Months"),F364/F317*I356,IF(AND(H317="Days",I357="Months"),F364/F317*30.4375*I356,IF(AND(H317="Months",I357="Days"),F364/F317/30.4375*I356,"")))))</f>
        <v/>
      </c>
      <c r="O364" s="21"/>
    </row>
    <row r="365" spans="1:15" s="155" customFormat="1" hidden="1" x14ac:dyDescent="0.25">
      <c r="A365" s="186" t="s">
        <v>158</v>
      </c>
      <c r="B365" s="498" t="s">
        <v>159</v>
      </c>
      <c r="C365" s="499"/>
      <c r="D365" s="499"/>
      <c r="E365" s="500"/>
      <c r="F365" s="187">
        <f>SUM(F360:F363)</f>
        <v>0</v>
      </c>
      <c r="G365" s="187">
        <f t="shared" ref="G365:I365" si="21">SUM(G360:G363)</f>
        <v>0</v>
      </c>
      <c r="H365" s="187">
        <f t="shared" si="21"/>
        <v>0</v>
      </c>
      <c r="I365" s="187">
        <f t="shared" si="21"/>
        <v>0</v>
      </c>
      <c r="K365" s="98" t="s">
        <v>191</v>
      </c>
      <c r="O365" s="189"/>
    </row>
    <row r="366" spans="1:15" s="26" customFormat="1" ht="15.75" hidden="1" thickBot="1" x14ac:dyDescent="0.3">
      <c r="A366" s="257" t="s">
        <v>160</v>
      </c>
      <c r="B366" s="501" t="s">
        <v>161</v>
      </c>
      <c r="C366" s="502"/>
      <c r="D366" s="502"/>
      <c r="E366" s="503"/>
      <c r="F366" s="250">
        <f>IF(F364="",SUM(F360+F361),F360+F361+F364)</f>
        <v>0</v>
      </c>
      <c r="G366" s="250">
        <f t="shared" ref="G366" si="22">IF(G364="",SUM(G360+G361),G360+G361+G364)</f>
        <v>0</v>
      </c>
      <c r="H366" s="250" t="e">
        <f>IF(H364="",SUM(H360+H361),H360+H361+H364)</f>
        <v>#VALUE!</v>
      </c>
      <c r="I366" s="250" t="e">
        <f t="shared" ref="I366" si="23">IF(I364="",SUM(I360+I361),I360+I361+I364)</f>
        <v>#VALUE!</v>
      </c>
      <c r="K366" s="14" t="s">
        <v>192</v>
      </c>
      <c r="O366" s="21"/>
    </row>
    <row r="367" spans="1:15" s="26" customFormat="1" hidden="1" x14ac:dyDescent="0.25">
      <c r="B367" s="229"/>
      <c r="C367" s="66"/>
      <c r="D367" s="66"/>
      <c r="E367" s="66"/>
      <c r="O367" s="21"/>
    </row>
    <row r="368" spans="1:15" s="26" customFormat="1" hidden="1" x14ac:dyDescent="0.25"/>
    <row r="369" spans="2:19" s="26" customFormat="1" hidden="1" x14ac:dyDescent="0.25">
      <c r="B369" s="308" t="s">
        <v>101</v>
      </c>
      <c r="C369" s="308"/>
      <c r="D369" s="308"/>
      <c r="E369" s="308"/>
    </row>
    <row r="370" spans="2:19" s="26" customFormat="1" ht="15.75" hidden="1" customHeight="1" x14ac:dyDescent="0.25"/>
    <row r="371" spans="2:19" s="26" customFormat="1" hidden="1" x14ac:dyDescent="0.25">
      <c r="B371" s="234"/>
      <c r="C371" s="234"/>
      <c r="D371" s="234"/>
      <c r="E371" s="234"/>
      <c r="F371" s="234"/>
      <c r="G371" s="234"/>
      <c r="H371" s="234"/>
      <c r="I371" s="234"/>
      <c r="J371" s="234"/>
      <c r="K371" s="234"/>
      <c r="L371" s="234"/>
      <c r="M371" s="234"/>
      <c r="N371" s="234"/>
      <c r="O371" s="234"/>
      <c r="P371" s="234"/>
      <c r="Q371" s="234"/>
      <c r="R371" s="234"/>
      <c r="S371" s="234"/>
    </row>
    <row r="372" spans="2:19" s="26" customFormat="1" hidden="1" x14ac:dyDescent="0.25">
      <c r="B372" s="234"/>
      <c r="C372" s="234"/>
      <c r="D372" s="234"/>
      <c r="E372" s="234"/>
      <c r="F372" s="234"/>
      <c r="G372" s="234"/>
      <c r="H372" s="234"/>
      <c r="I372" s="234"/>
      <c r="J372" s="234"/>
      <c r="K372" s="234"/>
      <c r="L372" s="234"/>
      <c r="M372" s="234"/>
      <c r="N372" s="234"/>
      <c r="O372" s="234"/>
      <c r="P372" s="234"/>
      <c r="Q372" s="234"/>
      <c r="R372" s="234"/>
      <c r="S372" s="234"/>
    </row>
    <row r="373" spans="2:19" s="26" customFormat="1" hidden="1" x14ac:dyDescent="0.25">
      <c r="B373" s="234"/>
      <c r="C373" s="234"/>
      <c r="D373" s="234"/>
      <c r="E373" s="234"/>
      <c r="F373" s="234"/>
      <c r="G373" s="234"/>
      <c r="H373" s="234"/>
      <c r="I373" s="234"/>
      <c r="J373" s="234"/>
      <c r="K373" s="234"/>
      <c r="L373" s="234"/>
      <c r="M373" s="234"/>
      <c r="N373" s="234"/>
      <c r="O373" s="234"/>
      <c r="P373" s="234"/>
      <c r="Q373" s="234"/>
      <c r="R373" s="234"/>
      <c r="S373" s="234"/>
    </row>
    <row r="374" spans="2:19" s="26" customFormat="1" hidden="1" x14ac:dyDescent="0.25">
      <c r="B374" s="234"/>
      <c r="C374" s="234"/>
      <c r="D374" s="234"/>
      <c r="E374" s="234"/>
      <c r="F374" s="234"/>
      <c r="G374" s="234"/>
      <c r="H374" s="234"/>
      <c r="I374" s="234"/>
      <c r="J374" s="234"/>
      <c r="K374" s="234"/>
      <c r="L374" s="234"/>
      <c r="M374" s="234"/>
      <c r="N374" s="234"/>
      <c r="O374" s="234"/>
      <c r="P374" s="234"/>
      <c r="Q374" s="234"/>
      <c r="R374" s="234"/>
      <c r="S374" s="234"/>
    </row>
    <row r="375" spans="2:19" s="26" customFormat="1" hidden="1" x14ac:dyDescent="0.25">
      <c r="B375" s="234"/>
      <c r="C375" s="234"/>
      <c r="D375" s="234"/>
      <c r="E375" s="234"/>
      <c r="F375" s="234"/>
      <c r="G375" s="234"/>
      <c r="H375" s="234"/>
      <c r="I375" s="234"/>
      <c r="J375" s="234"/>
      <c r="K375" s="234"/>
      <c r="L375" s="234"/>
      <c r="M375" s="234"/>
      <c r="N375" s="234"/>
      <c r="O375" s="234"/>
      <c r="P375" s="234"/>
      <c r="Q375" s="234"/>
      <c r="R375" s="234"/>
      <c r="S375" s="234"/>
    </row>
    <row r="376" spans="2:19" s="26" customFormat="1" hidden="1" x14ac:dyDescent="0.25">
      <c r="B376" s="234"/>
      <c r="C376" s="234"/>
      <c r="D376" s="234"/>
      <c r="E376" s="234"/>
      <c r="F376" s="234"/>
      <c r="G376" s="234"/>
      <c r="H376" s="234"/>
      <c r="I376" s="234"/>
      <c r="J376" s="234"/>
      <c r="K376" s="234"/>
      <c r="L376" s="234"/>
      <c r="M376" s="234"/>
      <c r="N376" s="234"/>
      <c r="O376" s="234"/>
      <c r="P376" s="234"/>
      <c r="Q376" s="234"/>
      <c r="R376" s="234"/>
      <c r="S376" s="234"/>
    </row>
    <row r="377" spans="2:19" s="26" customFormat="1" hidden="1" x14ac:dyDescent="0.25">
      <c r="B377" s="234"/>
      <c r="C377" s="234"/>
      <c r="D377" s="234"/>
      <c r="E377" s="234"/>
      <c r="F377" s="234"/>
      <c r="G377" s="234"/>
      <c r="H377" s="234"/>
      <c r="I377" s="234"/>
      <c r="J377" s="234"/>
      <c r="K377" s="234"/>
      <c r="L377" s="234"/>
      <c r="M377" s="234"/>
      <c r="N377" s="234"/>
      <c r="O377" s="234"/>
      <c r="P377" s="234"/>
      <c r="Q377" s="234"/>
      <c r="R377" s="234"/>
      <c r="S377" s="234"/>
    </row>
    <row r="378" spans="2:19" s="26" customFormat="1" hidden="1" x14ac:dyDescent="0.25">
      <c r="B378" s="234"/>
      <c r="C378" s="234"/>
      <c r="D378" s="234"/>
      <c r="E378" s="234"/>
      <c r="F378" s="234"/>
      <c r="G378" s="234"/>
      <c r="H378" s="234"/>
      <c r="I378" s="234"/>
      <c r="J378" s="234"/>
      <c r="K378" s="234"/>
      <c r="L378" s="234"/>
      <c r="M378" s="234"/>
      <c r="N378" s="234"/>
      <c r="O378" s="234"/>
      <c r="P378" s="234"/>
      <c r="Q378" s="234"/>
      <c r="R378" s="234"/>
      <c r="S378" s="234"/>
    </row>
    <row r="379" spans="2:19" s="26" customFormat="1" hidden="1" x14ac:dyDescent="0.25">
      <c r="B379" s="234"/>
      <c r="C379" s="234"/>
      <c r="D379" s="234"/>
      <c r="E379" s="234"/>
      <c r="F379" s="234"/>
      <c r="G379" s="234"/>
      <c r="H379" s="234"/>
      <c r="I379" s="234"/>
      <c r="J379" s="234"/>
      <c r="K379" s="234"/>
      <c r="L379" s="234"/>
      <c r="M379" s="234"/>
      <c r="N379" s="234"/>
      <c r="O379" s="234"/>
      <c r="P379" s="234"/>
      <c r="Q379" s="234"/>
      <c r="R379" s="234"/>
      <c r="S379" s="234"/>
    </row>
    <row r="380" spans="2:19" s="26" customFormat="1" hidden="1" x14ac:dyDescent="0.25">
      <c r="B380" s="234"/>
      <c r="C380" s="234"/>
      <c r="D380" s="234"/>
      <c r="E380" s="234"/>
      <c r="F380" s="234"/>
      <c r="G380" s="234"/>
      <c r="H380" s="234"/>
      <c r="I380" s="234"/>
      <c r="J380" s="234"/>
      <c r="K380" s="234"/>
      <c r="L380" s="234"/>
      <c r="M380" s="234"/>
      <c r="N380" s="234"/>
      <c r="O380" s="234"/>
      <c r="P380" s="234"/>
      <c r="Q380" s="234"/>
      <c r="R380" s="234"/>
      <c r="S380" s="234"/>
    </row>
    <row r="381" spans="2:19" s="26" customFormat="1" hidden="1" x14ac:dyDescent="0.25"/>
    <row r="382" spans="2:19" s="26" customFormat="1" hidden="1" x14ac:dyDescent="0.25"/>
    <row r="383" spans="2:19" s="26" customFormat="1" ht="15.75" hidden="1" thickBot="1" x14ac:dyDescent="0.3"/>
    <row r="384" spans="2:19" s="26" customFormat="1" ht="15.75" hidden="1" thickBot="1" x14ac:dyDescent="0.3">
      <c r="B384" s="410" t="str">
        <f>CONCATENATE("Comparator 4: ",NameComparator4)</f>
        <v xml:space="preserve">Comparator 4: </v>
      </c>
      <c r="C384" s="411"/>
      <c r="D384" s="411"/>
      <c r="E384" s="411"/>
      <c r="F384" s="411"/>
      <c r="G384" s="412"/>
    </row>
    <row r="385" spans="1:22" s="26" customFormat="1" hidden="1" x14ac:dyDescent="0.25">
      <c r="B385" s="227"/>
      <c r="C385" s="227"/>
      <c r="D385" s="227"/>
      <c r="F385" s="303"/>
      <c r="G385" s="303"/>
      <c r="H385" s="303"/>
      <c r="I385" s="303"/>
      <c r="J385" s="303"/>
    </row>
    <row r="386" spans="1:22" s="26" customFormat="1" hidden="1" x14ac:dyDescent="0.25"/>
    <row r="387" spans="1:22" s="26" customFormat="1" ht="28.5" hidden="1" customHeight="1" thickBot="1" x14ac:dyDescent="0.3">
      <c r="B387" s="334" t="s">
        <v>118</v>
      </c>
      <c r="C387" s="334"/>
      <c r="D387" s="334"/>
      <c r="E387" s="334"/>
      <c r="K387" s="408" t="s">
        <v>209</v>
      </c>
      <c r="L387" s="408"/>
      <c r="M387" s="408"/>
      <c r="N387" s="408"/>
      <c r="O387" s="408"/>
      <c r="P387" s="225"/>
      <c r="Q387" s="225"/>
      <c r="R387" s="225"/>
      <c r="S387" s="225"/>
      <c r="T387" s="225"/>
      <c r="U387" s="225"/>
      <c r="V387" s="225"/>
    </row>
    <row r="388" spans="1:22" s="26" customFormat="1" ht="18.95" hidden="1" customHeight="1" thickBot="1" x14ac:dyDescent="0.3">
      <c r="B388" s="465" t="s">
        <v>119</v>
      </c>
      <c r="C388" s="466"/>
      <c r="D388" s="466"/>
      <c r="E388" s="466"/>
      <c r="F388" s="466"/>
      <c r="G388" s="466"/>
      <c r="H388" s="466"/>
      <c r="I388" s="467"/>
      <c r="K388" s="408"/>
      <c r="L388" s="408"/>
      <c r="M388" s="408"/>
      <c r="N388" s="408"/>
      <c r="O388" s="408"/>
      <c r="P388" s="225"/>
      <c r="Q388" s="225"/>
      <c r="R388" s="225"/>
      <c r="S388" s="225"/>
      <c r="T388" s="225"/>
      <c r="U388" s="225"/>
      <c r="V388" s="225"/>
    </row>
    <row r="389" spans="1:22" s="26" customFormat="1" ht="15.75" hidden="1" thickBot="1" x14ac:dyDescent="0.3">
      <c r="B389" s="295"/>
      <c r="C389" s="296"/>
      <c r="D389" s="296"/>
      <c r="E389" s="296"/>
      <c r="F389" s="466" t="s">
        <v>120</v>
      </c>
      <c r="G389" s="466"/>
      <c r="H389" s="466"/>
      <c r="I389" s="467"/>
      <c r="K389" s="14"/>
    </row>
    <row r="390" spans="1:22" s="26" customFormat="1" ht="15.75" hidden="1" thickBot="1" x14ac:dyDescent="0.3">
      <c r="B390" s="472" t="s">
        <v>174</v>
      </c>
      <c r="C390" s="473"/>
      <c r="D390" s="473"/>
      <c r="E390" s="474"/>
      <c r="F390" s="149"/>
      <c r="G390" s="149"/>
      <c r="H390" s="149"/>
      <c r="I390" s="149"/>
      <c r="K390" s="14" t="s">
        <v>180</v>
      </c>
    </row>
    <row r="391" spans="1:22" s="26" customFormat="1" ht="30" hidden="1" customHeight="1" thickBot="1" x14ac:dyDescent="0.3">
      <c r="B391" s="472" t="s">
        <v>106</v>
      </c>
      <c r="C391" s="473"/>
      <c r="D391" s="473"/>
      <c r="E391" s="474"/>
      <c r="F391" s="235"/>
      <c r="G391" s="235"/>
      <c r="H391" s="235"/>
      <c r="I391" s="235"/>
      <c r="J391" s="26" t="s">
        <v>104</v>
      </c>
      <c r="K391" s="408" t="s">
        <v>181</v>
      </c>
      <c r="L391" s="408"/>
      <c r="M391" s="408"/>
      <c r="N391" s="408"/>
      <c r="O391" s="408"/>
      <c r="P391" s="21"/>
      <c r="Q391" s="21"/>
      <c r="R391" s="21"/>
      <c r="S391" s="21"/>
      <c r="T391" s="21"/>
    </row>
    <row r="392" spans="1:22" s="26" customFormat="1" ht="15.75" hidden="1" thickBot="1" x14ac:dyDescent="0.3">
      <c r="A392" s="14"/>
      <c r="B392" s="472" t="s">
        <v>107</v>
      </c>
      <c r="C392" s="473"/>
      <c r="D392" s="473"/>
      <c r="E392" s="474"/>
      <c r="F392" s="151"/>
      <c r="G392" s="151"/>
      <c r="H392" s="151"/>
      <c r="I392" s="151"/>
      <c r="J392" s="236"/>
      <c r="K392" s="110" t="s">
        <v>182</v>
      </c>
      <c r="N392" s="21"/>
      <c r="O392" s="21"/>
      <c r="P392" s="21"/>
      <c r="Q392" s="21"/>
      <c r="R392" s="21"/>
      <c r="S392" s="21"/>
      <c r="T392" s="21"/>
    </row>
    <row r="393" spans="1:22" s="26" customFormat="1" ht="15.75" hidden="1" thickBot="1" x14ac:dyDescent="0.3">
      <c r="A393" s="15"/>
      <c r="B393" s="472" t="s">
        <v>108</v>
      </c>
      <c r="C393" s="473"/>
      <c r="D393" s="473"/>
      <c r="E393" s="474"/>
      <c r="F393" s="489"/>
      <c r="G393" s="490"/>
      <c r="H393" s="490"/>
      <c r="I393" s="491"/>
      <c r="J393" s="237" t="s">
        <v>104</v>
      </c>
      <c r="K393" s="110" t="s">
        <v>210</v>
      </c>
    </row>
    <row r="394" spans="1:22" s="26" customFormat="1" ht="15.75" hidden="1" thickBot="1" x14ac:dyDescent="0.3">
      <c r="A394" s="15"/>
      <c r="B394" s="472" t="s">
        <v>74</v>
      </c>
      <c r="C394" s="473"/>
      <c r="D394" s="473"/>
      <c r="E394" s="474"/>
      <c r="F394" s="492"/>
      <c r="G394" s="493"/>
      <c r="H394" s="493"/>
      <c r="I394" s="494"/>
      <c r="J394" s="237" t="s">
        <v>104</v>
      </c>
      <c r="K394" s="110" t="s">
        <v>184</v>
      </c>
    </row>
    <row r="395" spans="1:22" s="26" customFormat="1" ht="15.75" hidden="1" thickBot="1" x14ac:dyDescent="0.3">
      <c r="B395" s="472" t="s">
        <v>75</v>
      </c>
      <c r="C395" s="473"/>
      <c r="D395" s="473"/>
      <c r="E395" s="474"/>
      <c r="F395" s="492"/>
      <c r="G395" s="493"/>
      <c r="H395" s="493"/>
      <c r="I395" s="494"/>
      <c r="J395" s="26" t="s">
        <v>104</v>
      </c>
      <c r="K395" s="110" t="s">
        <v>185</v>
      </c>
    </row>
    <row r="396" spans="1:22" s="26" customFormat="1" ht="15.75" hidden="1" thickBot="1" x14ac:dyDescent="0.3">
      <c r="B396" s="472" t="s">
        <v>76</v>
      </c>
      <c r="C396" s="473"/>
      <c r="D396" s="473"/>
      <c r="E396" s="474"/>
      <c r="F396" s="492"/>
      <c r="G396" s="493"/>
      <c r="H396" s="493"/>
      <c r="I396" s="494"/>
      <c r="J396" s="237" t="s">
        <v>104</v>
      </c>
      <c r="K396" s="110" t="s">
        <v>216</v>
      </c>
    </row>
    <row r="397" spans="1:22" s="26" customFormat="1" ht="15.75" hidden="1" thickBot="1" x14ac:dyDescent="0.3">
      <c r="B397" s="472" t="s">
        <v>172</v>
      </c>
      <c r="C397" s="473"/>
      <c r="D397" s="473"/>
      <c r="E397" s="474"/>
      <c r="F397" s="492"/>
      <c r="G397" s="493"/>
      <c r="H397" s="493"/>
      <c r="I397" s="494"/>
      <c r="J397" s="237" t="s">
        <v>104</v>
      </c>
      <c r="K397" s="110" t="s">
        <v>217</v>
      </c>
    </row>
    <row r="398" spans="1:22" s="26" customFormat="1" ht="15.75" hidden="1" thickBot="1" x14ac:dyDescent="0.3">
      <c r="B398" s="472" t="s">
        <v>173</v>
      </c>
      <c r="C398" s="473"/>
      <c r="D398" s="473"/>
      <c r="E398" s="474"/>
      <c r="F398" s="492"/>
      <c r="G398" s="493"/>
      <c r="H398" s="493"/>
      <c r="I398" s="494"/>
      <c r="J398" s="237" t="s">
        <v>104</v>
      </c>
      <c r="K398" s="110" t="s">
        <v>218</v>
      </c>
    </row>
    <row r="399" spans="1:22" s="26" customFormat="1" ht="30" hidden="1" customHeight="1" x14ac:dyDescent="0.25">
      <c r="B399" s="112"/>
      <c r="C399" s="112"/>
      <c r="D399" s="112"/>
      <c r="E399" s="303"/>
      <c r="F399" s="303"/>
      <c r="G399" s="238"/>
      <c r="H399" s="303"/>
      <c r="I399" s="303"/>
      <c r="J399" s="239"/>
      <c r="K399" s="110"/>
    </row>
    <row r="400" spans="1:22" s="26" customFormat="1" ht="15.75" hidden="1" thickBot="1" x14ac:dyDescent="0.3">
      <c r="B400" s="334" t="s">
        <v>171</v>
      </c>
      <c r="C400" s="334"/>
      <c r="D400" s="334"/>
      <c r="E400" s="334"/>
      <c r="F400" s="303"/>
      <c r="G400" s="303"/>
      <c r="H400" s="303"/>
      <c r="I400" s="303"/>
      <c r="J400" s="239"/>
      <c r="K400" s="404" t="s">
        <v>195</v>
      </c>
      <c r="L400" s="404"/>
      <c r="M400" s="404"/>
      <c r="N400" s="404"/>
      <c r="O400" s="404"/>
      <c r="P400" s="292"/>
      <c r="Q400" s="292"/>
      <c r="R400" s="292"/>
      <c r="S400" s="292"/>
      <c r="T400" s="292"/>
      <c r="U400" s="292"/>
      <c r="V400" s="292"/>
    </row>
    <row r="401" spans="1:22" s="26" customFormat="1" ht="29.1" hidden="1" customHeight="1" thickBot="1" x14ac:dyDescent="0.3">
      <c r="B401" s="465" t="s">
        <v>121</v>
      </c>
      <c r="C401" s="466"/>
      <c r="D401" s="466"/>
      <c r="E401" s="466"/>
      <c r="F401" s="466"/>
      <c r="G401" s="466"/>
      <c r="H401" s="466"/>
      <c r="I401" s="467"/>
      <c r="J401" s="239"/>
      <c r="K401" s="404"/>
      <c r="L401" s="404"/>
      <c r="M401" s="404"/>
      <c r="N401" s="404"/>
      <c r="O401" s="404"/>
      <c r="P401" s="292"/>
      <c r="Q401" s="292"/>
      <c r="R401" s="292"/>
      <c r="S401" s="292"/>
      <c r="T401" s="292"/>
      <c r="U401" s="292"/>
      <c r="V401" s="292"/>
    </row>
    <row r="402" spans="1:22" s="26" customFormat="1" ht="30" hidden="1" customHeight="1" thickBot="1" x14ac:dyDescent="0.3">
      <c r="B402" s="472" t="s">
        <v>122</v>
      </c>
      <c r="C402" s="473"/>
      <c r="D402" s="473"/>
      <c r="E402" s="474"/>
      <c r="F402" s="468"/>
      <c r="G402" s="469"/>
      <c r="H402" s="470"/>
      <c r="I402" s="471"/>
      <c r="J402" s="239"/>
      <c r="K402" s="408" t="s">
        <v>186</v>
      </c>
      <c r="L402" s="408"/>
      <c r="M402" s="408"/>
      <c r="N402" s="408"/>
      <c r="O402" s="408"/>
    </row>
    <row r="403" spans="1:22" s="26" customFormat="1" ht="23.1" hidden="1" customHeight="1" thickBot="1" x14ac:dyDescent="0.3">
      <c r="B403" s="472" t="str">
        <f>B390</f>
        <v>Pack Identification</v>
      </c>
      <c r="C403" s="473"/>
      <c r="D403" s="473"/>
      <c r="E403" s="474"/>
      <c r="F403" s="192" t="str">
        <f>IF(ISBLANK(F390),"",F390)</f>
        <v/>
      </c>
      <c r="G403" s="192" t="str">
        <f t="shared" ref="G403:I403" si="24">IF(ISBLANK(G390),"",G390)</f>
        <v/>
      </c>
      <c r="H403" s="192" t="str">
        <f t="shared" si="24"/>
        <v/>
      </c>
      <c r="I403" s="192" t="str">
        <f t="shared" si="24"/>
        <v/>
      </c>
      <c r="J403" s="239"/>
      <c r="K403" s="408"/>
      <c r="L403" s="408"/>
      <c r="M403" s="408"/>
      <c r="N403" s="408"/>
      <c r="O403" s="408"/>
    </row>
    <row r="404" spans="1:22" s="26" customFormat="1" ht="15.75" hidden="1" thickBot="1" x14ac:dyDescent="0.3">
      <c r="B404" s="512" t="s">
        <v>123</v>
      </c>
      <c r="C404" s="513"/>
      <c r="D404" s="513"/>
      <c r="E404" s="514"/>
      <c r="F404" s="145"/>
      <c r="G404" s="154"/>
      <c r="H404" s="154"/>
      <c r="I404" s="154"/>
      <c r="J404" s="239"/>
      <c r="K404" s="408" t="s">
        <v>187</v>
      </c>
      <c r="L404" s="408"/>
      <c r="M404" s="408"/>
      <c r="N404" s="408"/>
      <c r="O404" s="408"/>
    </row>
    <row r="405" spans="1:22" s="26" customFormat="1" ht="75.75" hidden="1" customHeight="1" x14ac:dyDescent="0.25">
      <c r="B405" s="304"/>
      <c r="C405" s="304"/>
      <c r="D405" s="304"/>
      <c r="E405" s="304"/>
      <c r="F405" s="303"/>
      <c r="G405" s="303"/>
      <c r="H405" s="303"/>
      <c r="I405" s="303"/>
      <c r="J405" s="239"/>
      <c r="K405" s="408"/>
      <c r="L405" s="408"/>
      <c r="M405" s="408"/>
      <c r="N405" s="408"/>
      <c r="O405" s="408"/>
    </row>
    <row r="406" spans="1:22" s="26" customFormat="1" hidden="1" x14ac:dyDescent="0.25">
      <c r="B406" s="511"/>
      <c r="C406" s="511"/>
      <c r="D406" s="511"/>
      <c r="E406" s="511"/>
      <c r="K406" s="408"/>
      <c r="L406" s="408"/>
      <c r="M406" s="408"/>
      <c r="N406" s="408"/>
      <c r="O406" s="408"/>
    </row>
    <row r="407" spans="1:22" s="26" customFormat="1" hidden="1" x14ac:dyDescent="0.25">
      <c r="B407" s="303"/>
      <c r="C407" s="303"/>
      <c r="D407" s="303"/>
      <c r="E407" s="303"/>
      <c r="O407" s="21"/>
    </row>
    <row r="408" spans="1:22" s="26" customFormat="1" hidden="1" x14ac:dyDescent="0.25">
      <c r="A408" s="155"/>
      <c r="B408" s="308" t="s">
        <v>124</v>
      </c>
      <c r="C408" s="290"/>
      <c r="D408" s="66"/>
      <c r="E408" s="66"/>
      <c r="F408" s="390"/>
      <c r="G408" s="390"/>
      <c r="H408" s="390"/>
      <c r="I408" s="390"/>
      <c r="O408" s="21"/>
    </row>
    <row r="409" spans="1:22" s="26" customFormat="1" hidden="1" x14ac:dyDescent="0.25">
      <c r="A409" s="14" t="s">
        <v>125</v>
      </c>
      <c r="B409" s="290"/>
      <c r="C409" s="290"/>
      <c r="D409" s="66"/>
      <c r="E409" s="66"/>
      <c r="F409" s="290"/>
      <c r="G409" s="290"/>
      <c r="H409" s="290"/>
      <c r="I409" s="290"/>
      <c r="O409" s="21"/>
    </row>
    <row r="410" spans="1:22" s="26" customFormat="1" ht="15.75" hidden="1" thickBot="1" x14ac:dyDescent="0.3">
      <c r="B410" s="66"/>
      <c r="C410" s="66"/>
      <c r="D410" s="66"/>
      <c r="E410" s="66"/>
      <c r="F410" s="390" t="s">
        <v>126</v>
      </c>
      <c r="G410" s="390"/>
      <c r="H410" s="390"/>
      <c r="I410" s="390"/>
      <c r="O410" s="21"/>
    </row>
    <row r="411" spans="1:22" s="26" customFormat="1" ht="15.75" hidden="1" thickBot="1" x14ac:dyDescent="0.3">
      <c r="B411" s="66"/>
      <c r="C411" s="66"/>
      <c r="D411" s="66"/>
      <c r="E411" s="66"/>
      <c r="F411" s="156" t="str">
        <f>IF(F390="","",F390)</f>
        <v/>
      </c>
      <c r="G411" s="156" t="str">
        <f>IF(G390="","",G390)</f>
        <v/>
      </c>
      <c r="H411" s="156" t="str">
        <f>IF(H390="","",H390)</f>
        <v/>
      </c>
      <c r="I411" s="156" t="str">
        <f>IF(I390="","",I390)</f>
        <v/>
      </c>
      <c r="O411" s="21"/>
    </row>
    <row r="412" spans="1:22" s="26" customFormat="1" hidden="1" x14ac:dyDescent="0.25">
      <c r="A412" s="91" t="s">
        <v>77</v>
      </c>
      <c r="B412" s="475" t="s">
        <v>82</v>
      </c>
      <c r="C412" s="476"/>
      <c r="D412" s="476"/>
      <c r="E412" s="240"/>
      <c r="F412" s="241" t="str">
        <f>IF(OR(F391="",F392="",F393=""),"",IF(F391="Price to Wholesaler",F392,IF(F391="Reimbursement Price",(F414/(1+E413)*1),"Error")))</f>
        <v/>
      </c>
      <c r="G412" s="241" t="str">
        <f>IF(OR(G391="",G392="",F393=""),"",IF(G391="Price to Wholesaler",G392,IF(G391="Reimbursement Price",(G414/(1+E413)*1),"Error")))</f>
        <v/>
      </c>
      <c r="H412" s="241" t="str">
        <f>IF(OR(H391="",H392="",F393=""),"",IF(H391="Price to Wholesaler",H392,IF(H391="Reimbursement Price",(H414/(1+E413)*1),"Error")))</f>
        <v/>
      </c>
      <c r="I412" s="241" t="str">
        <f>IF(OR(I391="",I392="",F393=""),"",IF(I391="Price to Wholesaler",I392,IF(I391="Reimbursement Price",(I414/(1+E413)*1),"Error")))</f>
        <v/>
      </c>
      <c r="O412" s="21"/>
    </row>
    <row r="413" spans="1:22" s="26" customFormat="1" hidden="1" x14ac:dyDescent="0.25">
      <c r="A413" s="297" t="s">
        <v>78</v>
      </c>
      <c r="B413" s="477" t="s">
        <v>83</v>
      </c>
      <c r="C413" s="478"/>
      <c r="D413" s="478"/>
      <c r="E413" s="93" t="str">
        <f>IF(OR(F393=""),"",IF(AND(F393="CDS",F394="Yes"),CYF,IF(AND(F393="CDS",F394="No"),CNF,IF(F393="HT",CHT,IF(F393="Hosp",CHO,"Error")))))</f>
        <v/>
      </c>
      <c r="F413" s="242" t="str">
        <f>IF(OR(F393="",F392="",F391=""),"",F412*E413)</f>
        <v/>
      </c>
      <c r="G413" s="242" t="str">
        <f>IF(OR(F393="",G392="",G391=""),"",G412*E413)</f>
        <v/>
      </c>
      <c r="H413" s="242" t="str">
        <f>IF(OR(F393="",H392="",H391=""),"",H412*E413)</f>
        <v/>
      </c>
      <c r="I413" s="242" t="str">
        <f>IF(OR(F393="",I392="",I391=""),"",I412*E413)</f>
        <v/>
      </c>
      <c r="O413" s="21"/>
    </row>
    <row r="414" spans="1:22" s="26" customFormat="1" hidden="1" x14ac:dyDescent="0.25">
      <c r="A414" s="297" t="s">
        <v>79</v>
      </c>
      <c r="B414" s="477" t="str">
        <f>IF(F393="Hosp","Hospital Price", "Reimbursement Price")</f>
        <v>Reimbursement Price</v>
      </c>
      <c r="C414" s="478"/>
      <c r="D414" s="478"/>
      <c r="E414" s="243" t="str">
        <f>IF(F391="Price to Wholesaler","A+B","")</f>
        <v/>
      </c>
      <c r="F414" s="242" t="str">
        <f>IF(F391="Reimbursement Price",F392,IF(ISBLANK(E413),"",IF(F391="Price to Wholesaler",(F412+F413),IF(F391="","","Error"))))</f>
        <v/>
      </c>
      <c r="G414" s="242" t="str">
        <f>IF(G391="Reimbursement Price",G392,IF(ISBLANK(E413),"",IF(G391="Price to Wholesaler",(G412+G413),IF(G391="","","Error"))))</f>
        <v/>
      </c>
      <c r="H414" s="242" t="str">
        <f>IF(H391="Reimbursement Price",H392,IF(ISBLANK(E413),"",IF(H391="Price to Wholesaler",(H412+H413),IF(H391="","","Error"))))</f>
        <v/>
      </c>
      <c r="I414" s="242" t="str">
        <f>IF(I391="Reimbursement Price",I392,IF(ISBLANK(E413),"",IF(I391="Price to Wholesaler",(I412+I413),IF(I391="","","Error"))))</f>
        <v/>
      </c>
      <c r="O414" s="21"/>
    </row>
    <row r="415" spans="1:22" s="26" customFormat="1" hidden="1" x14ac:dyDescent="0.25">
      <c r="A415" s="297" t="s">
        <v>80</v>
      </c>
      <c r="B415" s="477" t="s">
        <v>214</v>
      </c>
      <c r="C415" s="478"/>
      <c r="D415" s="478"/>
      <c r="E415" s="268" t="str">
        <f>IF(OR(F396="",AND(F396="Yes",F397=""),AND(F396="No",F398="")),"",IF(AND(F396="No",F398="Patented Exclusive or Off Patent Exclusive and subject to clause 10 of Framework Agreement"),MR,IF(AND(F396="No",F398="Off Patent Non-Exclusive or Generic"),"None",IF(AND(F396="Yes",F397="Biosimilar"),"None",IF(AND(F396="Yes",F397="Patented or Off Patent Exclusive"),MR,IF(AND(F396="Yes",F397="Off Patent Non-Exclusive 12.5% Rebate incorporated into Price to Wholesaler"),"None",IF(AND(F396="Yes",F397="Off Patent Non-Exclusive 12.5% Rebate"),MRB,"Error")))))))</f>
        <v/>
      </c>
      <c r="F415" s="242" t="str">
        <f>IF(OR(F396="",AND(F396="Yes",F397=""),AND(F396="No",F398=""),F391="",ISBLANK(F392)),"",IF(E415="None",0,(E415*F412)))</f>
        <v/>
      </c>
      <c r="G415" s="242" t="str">
        <f>IF(OR(F396="",AND(F396="Yes",F397=""),AND(F396="No",F398=""),G391="",ISBLANK(G392)),"",IF(E415="None",0,(E415*G412)))</f>
        <v/>
      </c>
      <c r="H415" s="242" t="str">
        <f>IF(OR(F396="",AND(F396="Yes",F397=""),AND(F396="No",F398=""),H391="",ISBLANK(H392)),"",IF(E415="None",0,(E415*H412)))</f>
        <v/>
      </c>
      <c r="I415" s="242" t="str">
        <f>IF(OR(F396="",AND(F396="Yes",F397=""),AND(F396="No",F398=""),I391="",ISBLANK(I392)),"",IF(E415="None",0,(E415*I412)))</f>
        <v/>
      </c>
      <c r="O415" s="21"/>
    </row>
    <row r="416" spans="1:22" s="26" customFormat="1" ht="15.75" hidden="1" thickBot="1" x14ac:dyDescent="0.3">
      <c r="A416" s="298" t="s">
        <v>81</v>
      </c>
      <c r="B416" s="479" t="s">
        <v>94</v>
      </c>
      <c r="C416" s="480"/>
      <c r="D416" s="480"/>
      <c r="E416" s="160" t="str">
        <f>IF(F395="","",IF(F395="Yes",0,VT))</f>
        <v/>
      </c>
      <c r="F416" s="244" t="str">
        <f>IF(OR($B395="",F392="",ISBLANK(F392)),"",($E416*F414))</f>
        <v/>
      </c>
      <c r="G416" s="244" t="str">
        <f t="shared" ref="G416:I416" si="25">IF(OR($B395="",G392="",ISBLANK(G392)),"",($E416*G414))</f>
        <v/>
      </c>
      <c r="H416" s="244" t="str">
        <f t="shared" si="25"/>
        <v/>
      </c>
      <c r="I416" s="244" t="str">
        <f t="shared" si="25"/>
        <v/>
      </c>
      <c r="O416" s="21"/>
    </row>
    <row r="417" spans="1:20" s="26" customFormat="1" ht="15.75" hidden="1" thickBot="1" x14ac:dyDescent="0.3">
      <c r="A417" s="299" t="s">
        <v>127</v>
      </c>
      <c r="B417" s="481" t="s">
        <v>128</v>
      </c>
      <c r="C417" s="481"/>
      <c r="D417" s="481"/>
      <c r="E417" s="299"/>
      <c r="F417" s="245" t="str">
        <f>IF(OR(F391="",$F393="",$F395="",$F396=""),"",SUM(F414:F416))</f>
        <v/>
      </c>
      <c r="G417" s="245" t="str">
        <f t="shared" ref="G417:I417" si="26">IF(OR(G391="",$F393="",$F395="",$F396=""),"",SUM(G414:G416))</f>
        <v/>
      </c>
      <c r="H417" s="245" t="str">
        <f t="shared" si="26"/>
        <v/>
      </c>
      <c r="I417" s="245" t="str">
        <f t="shared" si="26"/>
        <v/>
      </c>
      <c r="O417" s="21"/>
    </row>
    <row r="418" spans="1:20" s="26" customFormat="1" ht="15.75" hidden="1" thickBot="1" x14ac:dyDescent="0.3">
      <c r="A418" s="299" t="s">
        <v>129</v>
      </c>
      <c r="B418" s="482" t="s">
        <v>130</v>
      </c>
      <c r="C418" s="482"/>
      <c r="D418" s="482"/>
      <c r="E418" s="245"/>
      <c r="F418" s="245" t="str">
        <f>IF(OR(F391="",$F393="",$F395="",$F396=""),"",SUM(F414:F415))</f>
        <v/>
      </c>
      <c r="G418" s="245" t="str">
        <f t="shared" ref="G418:I418" si="27">IF(OR(G391="",$F393="",$F395="",$F396=""),"",SUM(G414:G415))</f>
        <v/>
      </c>
      <c r="H418" s="245" t="str">
        <f t="shared" si="27"/>
        <v/>
      </c>
      <c r="I418" s="245" t="str">
        <f t="shared" si="27"/>
        <v/>
      </c>
      <c r="O418" s="21"/>
    </row>
    <row r="419" spans="1:20" s="26" customFormat="1" hidden="1" x14ac:dyDescent="0.25">
      <c r="B419" s="66"/>
      <c r="C419" s="66"/>
      <c r="D419" s="66"/>
      <c r="E419" s="66"/>
      <c r="K419" s="26" t="s">
        <v>131</v>
      </c>
      <c r="O419" s="21"/>
    </row>
    <row r="420" spans="1:20" s="26" customFormat="1" hidden="1" x14ac:dyDescent="0.25">
      <c r="A420" s="155" t="s">
        <v>132</v>
      </c>
      <c r="B420" s="66"/>
      <c r="C420" s="66"/>
      <c r="D420" s="66"/>
      <c r="E420" s="66"/>
      <c r="F420" s="246"/>
      <c r="G420" s="246"/>
      <c r="H420" s="246"/>
      <c r="I420" s="246"/>
      <c r="O420" s="21"/>
    </row>
    <row r="421" spans="1:20" s="26" customFormat="1" hidden="1" x14ac:dyDescent="0.25">
      <c r="A421" s="125"/>
      <c r="B421" s="125" t="s">
        <v>133</v>
      </c>
      <c r="C421" s="125"/>
      <c r="D421" s="125"/>
      <c r="E421" s="125"/>
      <c r="F421" s="125"/>
      <c r="G421" s="125"/>
      <c r="H421" s="125"/>
      <c r="O421" s="21"/>
    </row>
    <row r="422" spans="1:20" s="26" customFormat="1" hidden="1" x14ac:dyDescent="0.25">
      <c r="B422" s="21" t="s">
        <v>134</v>
      </c>
      <c r="C422" s="229"/>
      <c r="D422" s="229"/>
      <c r="E422" s="66"/>
      <c r="O422" s="21"/>
    </row>
    <row r="423" spans="1:20" s="26" customFormat="1" ht="15.75" hidden="1" thickBot="1" x14ac:dyDescent="0.3">
      <c r="B423" s="165"/>
      <c r="C423" s="229"/>
      <c r="D423" s="229"/>
      <c r="E423" s="66"/>
      <c r="O423" s="21"/>
    </row>
    <row r="424" spans="1:20" s="26" customFormat="1" ht="15.75" hidden="1" thickBot="1" x14ac:dyDescent="0.3">
      <c r="B424" s="230"/>
      <c r="C424" s="66"/>
      <c r="D424" s="66"/>
      <c r="E424" s="66"/>
      <c r="G424" s="293" t="s">
        <v>135</v>
      </c>
      <c r="H424" s="293" t="s">
        <v>136</v>
      </c>
      <c r="O424" s="21"/>
    </row>
    <row r="425" spans="1:20" s="26" customFormat="1" hidden="1" x14ac:dyDescent="0.25">
      <c r="B425" s="483" t="s">
        <v>137</v>
      </c>
      <c r="C425" s="484"/>
      <c r="D425" s="484"/>
      <c r="E425" s="484"/>
      <c r="F425" s="485"/>
      <c r="G425" s="247" t="str">
        <f>IF(F393="","",IF(F393="CDS","per dispensing",IF(F393="HT","per month",IF(F393="Hosp","No Fee", ERROR))))</f>
        <v/>
      </c>
      <c r="H425" s="248" t="str">
        <f>IF(F393="","",IF(F393="CDS",DF,IF(F393="HT",PC,IF(F393="Hosp","No Fee",ERROR))))</f>
        <v/>
      </c>
      <c r="I425" s="26" t="s">
        <v>138</v>
      </c>
      <c r="O425" s="21"/>
    </row>
    <row r="426" spans="1:20" s="26" customFormat="1" ht="15.75" hidden="1" thickBot="1" x14ac:dyDescent="0.3">
      <c r="B426" s="486" t="s">
        <v>92</v>
      </c>
      <c r="C426" s="487"/>
      <c r="D426" s="487"/>
      <c r="E426" s="487"/>
      <c r="F426" s="488"/>
      <c r="G426" s="249" t="str">
        <f>IF(OR(F393="",F395=""),"",IF(F393="Hosp","No Fee",IF(F393="HT","No VAT",IF(AND(F393="CDS",F395="No"),VT,"No VAT"))))</f>
        <v/>
      </c>
      <c r="H426" s="250" t="str">
        <f>IF(OR(F395="",F393="Hosp"),"",IF(OR(F395="Yes",F393="HT"),0,H425*G426))</f>
        <v/>
      </c>
      <c r="O426" s="21"/>
    </row>
    <row r="427" spans="1:20" s="26" customFormat="1" hidden="1" x14ac:dyDescent="0.25">
      <c r="B427" s="230"/>
      <c r="C427" s="66"/>
      <c r="D427" s="66"/>
      <c r="E427" s="66"/>
      <c r="O427" s="21"/>
    </row>
    <row r="428" spans="1:20" s="26" customFormat="1" hidden="1" x14ac:dyDescent="0.25">
      <c r="B428" s="230"/>
      <c r="C428" s="66"/>
      <c r="D428" s="66"/>
      <c r="E428" s="66"/>
      <c r="O428" s="21"/>
    </row>
    <row r="429" spans="1:20" s="26" customFormat="1" ht="33.950000000000003" hidden="1" customHeight="1" thickBot="1" x14ac:dyDescent="0.3">
      <c r="A429" s="165" t="s">
        <v>193</v>
      </c>
      <c r="B429" s="230"/>
      <c r="C429" s="66"/>
      <c r="D429" s="66"/>
      <c r="E429" s="66"/>
      <c r="K429" s="408" t="s">
        <v>197</v>
      </c>
      <c r="L429" s="408"/>
      <c r="M429" s="408"/>
      <c r="N429" s="408"/>
      <c r="O429" s="408"/>
      <c r="P429" s="195"/>
      <c r="Q429" s="195"/>
      <c r="R429" s="195"/>
      <c r="S429" s="195"/>
      <c r="T429" s="195"/>
    </row>
    <row r="430" spans="1:20" s="26" customFormat="1" ht="17.100000000000001" hidden="1" customHeight="1" thickBot="1" x14ac:dyDescent="0.3">
      <c r="A430" s="14" t="s">
        <v>194</v>
      </c>
      <c r="B430" s="230"/>
      <c r="C430" s="66"/>
      <c r="D430" s="66"/>
      <c r="E430" s="66"/>
      <c r="G430" s="293" t="s">
        <v>101</v>
      </c>
      <c r="H430" s="293" t="s">
        <v>136</v>
      </c>
      <c r="K430" s="408" t="str">
        <f>IF(F393="HT","For High tech, if a treatment cycle =28 days the corresponding pharmacy fee is =62.03*12/365.25*28.  The pharmacy fee remains the same regardless of the number of products dispensed that month.",IF(F393="CDS","For CDS, if 2 packets of the same pack presentation are required per treatment cycle, one dispensing fee applies (€5.48). If multiple pack presentations are required, multiple dispensing fees apply",""))</f>
        <v/>
      </c>
      <c r="L430" s="408"/>
      <c r="M430" s="408"/>
      <c r="N430" s="408"/>
      <c r="O430" s="408"/>
      <c r="P430" s="195"/>
      <c r="Q430" s="195"/>
      <c r="R430" s="195"/>
      <c r="S430" s="195"/>
      <c r="T430" s="195"/>
    </row>
    <row r="431" spans="1:20" s="26" customFormat="1" ht="16.5" hidden="1" customHeight="1" x14ac:dyDescent="0.25">
      <c r="A431" s="170" t="s">
        <v>139</v>
      </c>
      <c r="B431" s="504" t="s">
        <v>140</v>
      </c>
      <c r="C431" s="504"/>
      <c r="D431" s="504"/>
      <c r="E431" s="504"/>
      <c r="F431" s="504"/>
      <c r="G431" s="251"/>
      <c r="H431" s="252"/>
      <c r="K431" s="408"/>
      <c r="L431" s="408"/>
      <c r="M431" s="408"/>
      <c r="N431" s="408"/>
      <c r="O431" s="408"/>
      <c r="P431" s="195"/>
      <c r="Q431" s="195"/>
      <c r="R431" s="195"/>
      <c r="S431" s="195"/>
      <c r="T431" s="195"/>
    </row>
    <row r="432" spans="1:20" s="26" customFormat="1" hidden="1" x14ac:dyDescent="0.25">
      <c r="A432" s="173" t="s">
        <v>141</v>
      </c>
      <c r="B432" s="505" t="s">
        <v>142</v>
      </c>
      <c r="C432" s="505"/>
      <c r="D432" s="505"/>
      <c r="E432" s="505"/>
      <c r="F432" s="505"/>
      <c r="G432" s="253"/>
      <c r="H432" s="254"/>
      <c r="K432" s="14" t="s">
        <v>188</v>
      </c>
      <c r="O432" s="21"/>
    </row>
    <row r="433" spans="1:15" s="26" customFormat="1" hidden="1" x14ac:dyDescent="0.25">
      <c r="A433" s="173" t="s">
        <v>143</v>
      </c>
      <c r="B433" s="505" t="s">
        <v>144</v>
      </c>
      <c r="C433" s="505"/>
      <c r="D433" s="505"/>
      <c r="E433" s="505"/>
      <c r="F433" s="505"/>
      <c r="G433" s="253"/>
      <c r="H433" s="254"/>
      <c r="K433" s="14" t="s">
        <v>189</v>
      </c>
      <c r="O433" s="21"/>
    </row>
    <row r="434" spans="1:15" s="26" customFormat="1" hidden="1" x14ac:dyDescent="0.25">
      <c r="A434" s="173" t="s">
        <v>145</v>
      </c>
      <c r="B434" s="505" t="s">
        <v>146</v>
      </c>
      <c r="C434" s="505"/>
      <c r="D434" s="505"/>
      <c r="E434" s="505"/>
      <c r="F434" s="505"/>
      <c r="G434" s="255"/>
      <c r="H434" s="256" t="str">
        <f>IF(ISBLANK(H431),"",SUM(H431:H433))</f>
        <v/>
      </c>
      <c r="O434" s="21"/>
    </row>
    <row r="435" spans="1:15" s="26" customFormat="1" ht="15.75" hidden="1" thickBot="1" x14ac:dyDescent="0.3">
      <c r="A435" s="178" t="s">
        <v>147</v>
      </c>
      <c r="B435" s="515" t="s">
        <v>196</v>
      </c>
      <c r="C435" s="515"/>
      <c r="D435" s="515"/>
      <c r="E435" s="515"/>
      <c r="F435" s="515"/>
      <c r="G435" s="257"/>
      <c r="H435" s="250" t="str">
        <f>IF(ISBLANK(H431),"",SUM(H431:H432))</f>
        <v/>
      </c>
      <c r="O435" s="21"/>
    </row>
    <row r="436" spans="1:15" s="26" customFormat="1" hidden="1" x14ac:dyDescent="0.25">
      <c r="B436" s="66"/>
      <c r="C436" s="66"/>
      <c r="D436" s="66"/>
      <c r="E436" s="66"/>
      <c r="O436" s="21"/>
    </row>
    <row r="437" spans="1:15" s="26" customFormat="1" hidden="1" x14ac:dyDescent="0.25">
      <c r="B437" s="66"/>
      <c r="C437" s="66"/>
      <c r="D437" s="66"/>
      <c r="E437" s="66"/>
      <c r="O437" s="21"/>
    </row>
    <row r="438" spans="1:15" s="26" customFormat="1" hidden="1" x14ac:dyDescent="0.25">
      <c r="A438" s="155" t="s">
        <v>148</v>
      </c>
      <c r="B438" s="66"/>
      <c r="C438" s="66"/>
      <c r="D438" s="66"/>
      <c r="E438" s="66"/>
      <c r="O438" s="21"/>
    </row>
    <row r="439" spans="1:15" s="26" customFormat="1" ht="15.75" hidden="1" thickBot="1" x14ac:dyDescent="0.3">
      <c r="B439" s="66"/>
      <c r="C439" s="66"/>
      <c r="D439" s="66"/>
      <c r="E439" s="66"/>
      <c r="O439" s="21"/>
    </row>
    <row r="440" spans="1:15" s="26" customFormat="1" ht="29.1" hidden="1" customHeight="1" x14ac:dyDescent="0.25">
      <c r="A440" s="65"/>
      <c r="B440" s="303"/>
      <c r="C440" s="303"/>
      <c r="D440" s="303"/>
      <c r="E440" s="303"/>
      <c r="F440" s="506" t="s">
        <v>149</v>
      </c>
      <c r="G440" s="180" t="s">
        <v>150</v>
      </c>
      <c r="H440" s="508" t="s">
        <v>151</v>
      </c>
      <c r="I440" s="180" t="s">
        <v>152</v>
      </c>
      <c r="J440" s="66"/>
      <c r="K440" s="408" t="s">
        <v>190</v>
      </c>
      <c r="L440" s="408"/>
      <c r="M440" s="408"/>
      <c r="N440" s="408"/>
      <c r="O440" s="408"/>
    </row>
    <row r="441" spans="1:15" s="26" customFormat="1" hidden="1" x14ac:dyDescent="0.25">
      <c r="A441" s="65"/>
      <c r="B441" s="303"/>
      <c r="C441" s="303"/>
      <c r="D441" s="303"/>
      <c r="E441" s="303"/>
      <c r="F441" s="507"/>
      <c r="G441" s="253"/>
      <c r="H441" s="509"/>
      <c r="I441" s="182"/>
      <c r="J441" s="66"/>
      <c r="K441" s="408"/>
      <c r="L441" s="408"/>
      <c r="M441" s="408"/>
      <c r="N441" s="408"/>
      <c r="O441" s="408"/>
    </row>
    <row r="442" spans="1:15" s="26" customFormat="1" ht="15.75" hidden="1" thickBot="1" x14ac:dyDescent="0.3">
      <c r="A442" s="65"/>
      <c r="B442" s="303"/>
      <c r="C442" s="303"/>
      <c r="D442" s="303"/>
      <c r="E442" s="303"/>
      <c r="F442" s="507"/>
      <c r="G442" s="183" t="s">
        <v>153</v>
      </c>
      <c r="H442" s="510"/>
      <c r="I442" s="184"/>
      <c r="J442" s="66"/>
      <c r="K442" s="408"/>
      <c r="L442" s="408"/>
      <c r="M442" s="408"/>
      <c r="N442" s="408"/>
      <c r="O442" s="408"/>
    </row>
    <row r="443" spans="1:15" s="26" customFormat="1" hidden="1" x14ac:dyDescent="0.25">
      <c r="A443" s="247" t="s">
        <v>77</v>
      </c>
      <c r="B443" s="463" t="str">
        <f>B412</f>
        <v>Price to Wholesaler</v>
      </c>
      <c r="C443" s="463"/>
      <c r="D443" s="463"/>
      <c r="E443" s="463"/>
      <c r="F443" s="256">
        <f>SUMPRODUCT(F412:I412,F404:I404)</f>
        <v>0</v>
      </c>
      <c r="G443" s="256">
        <f>F443*G441</f>
        <v>0</v>
      </c>
      <c r="H443" s="256" t="str">
        <f>IF(H402="Days",F443/F402*365.25,IF(H402="Months",F443/F402*12,""))</f>
        <v/>
      </c>
      <c r="I443" s="256" t="str">
        <f>IF(AND(H402="Days",I442="Days"),F443/F402*I441,IF(AND(H402="Months",I442="Months"),F443/F402*I441,IF(AND(H402="Days",I442="Months"),F443/F402*30.4375*I441,IF(AND(H402="Months",I442="Days"),F443/F402/30.4375*I441,""))))</f>
        <v/>
      </c>
      <c r="O443" s="21"/>
    </row>
    <row r="444" spans="1:15" s="26" customFormat="1" hidden="1" x14ac:dyDescent="0.25">
      <c r="A444" s="255" t="s">
        <v>78</v>
      </c>
      <c r="B444" s="464" t="str">
        <f>B413</f>
        <v>Wholesale Mark-up</v>
      </c>
      <c r="C444" s="464"/>
      <c r="D444" s="464"/>
      <c r="E444" s="464"/>
      <c r="F444" s="256">
        <f>SUMPRODUCT(F413:I413,F404:I404)</f>
        <v>0</v>
      </c>
      <c r="G444" s="256">
        <f>F444*G441</f>
        <v>0</v>
      </c>
      <c r="H444" s="256" t="str">
        <f>IF(H402="Days",F444/F402*365.25,IF(H402="Months",F444/F402*12,""))</f>
        <v/>
      </c>
      <c r="I444" s="256" t="str">
        <f>IF(AND(H402="Days",I442="Days"),F444/F402*I441,IF(AND(H402="Months",I442="Months"),F444/F402*I441,IF(AND(H402="Days",I442="Months"),F444/F402*30.4375*I441,IF(AND(H402="Months",I442="Days"),F444/F402/30.4375*I441,""))))</f>
        <v/>
      </c>
      <c r="O444" s="21"/>
    </row>
    <row r="445" spans="1:15" s="26" customFormat="1" hidden="1" x14ac:dyDescent="0.25">
      <c r="A445" s="255" t="s">
        <v>79</v>
      </c>
      <c r="B445" s="294" t="str">
        <f>B414</f>
        <v>Reimbursement Price</v>
      </c>
      <c r="C445" s="300"/>
      <c r="D445" s="301"/>
      <c r="E445" s="302"/>
      <c r="F445" s="256">
        <f>SUMPRODUCT(F414:I414,F404:I404)</f>
        <v>0</v>
      </c>
      <c r="G445" s="256">
        <f>F445*G441</f>
        <v>0</v>
      </c>
      <c r="H445" s="256" t="str">
        <f>IF(H402="Days",F445/F402*365.25,IF(H402="Months",F445/F402*12,""))</f>
        <v/>
      </c>
      <c r="I445" s="256" t="str">
        <f>IF(AND(H402="Days",I442="Days"),F445/F402*I441,IF(AND(H402="Months",I442="Months"),F445/F402*I441,IF(AND(H402="Days",I442="Months"),F445/F402*30.4375*I441,IF(AND(H402="Months",I442="Days"),F445/F402/30.4375*I441,""))))</f>
        <v/>
      </c>
      <c r="O445" s="21"/>
    </row>
    <row r="446" spans="1:15" s="26" customFormat="1" hidden="1" x14ac:dyDescent="0.25">
      <c r="A446" s="255" t="s">
        <v>80</v>
      </c>
      <c r="B446" s="495" t="str">
        <f>B415</f>
        <v>Framework Agreement Rebate</v>
      </c>
      <c r="C446" s="496"/>
      <c r="D446" s="496"/>
      <c r="E446" s="497"/>
      <c r="F446" s="256">
        <f>SUMPRODUCT(F415:I415,F404:I404)</f>
        <v>0</v>
      </c>
      <c r="G446" s="256">
        <f>F446*G441</f>
        <v>0</v>
      </c>
      <c r="H446" s="256" t="str">
        <f>IF(H402="Days",F446/F402*365.25,IF(H402="Months",F446/F402*12,""))</f>
        <v/>
      </c>
      <c r="I446" s="256" t="str">
        <f>IF(AND(H402="Days",I442="Days"),F446/F402*I441,IF(AND(H402="Months",I442="Months"),F446/F402*I441,IF(AND(H402="Days",I442="Months"),F446/F402*30.4375*I441,IF(AND(H402="Months",I442="Days"),F446/F402/30.4375*I441,""))))</f>
        <v/>
      </c>
      <c r="O446" s="21"/>
    </row>
    <row r="447" spans="1:15" s="26" customFormat="1" hidden="1" x14ac:dyDescent="0.25">
      <c r="A447" s="255" t="s">
        <v>81</v>
      </c>
      <c r="B447" s="495" t="str">
        <f>B416</f>
        <v xml:space="preserve">VAT on Drug Cost </v>
      </c>
      <c r="C447" s="496"/>
      <c r="D447" s="496"/>
      <c r="E447" s="497"/>
      <c r="F447" s="256">
        <f>SUMPRODUCT(F416:I416,F404:I404)</f>
        <v>0</v>
      </c>
      <c r="G447" s="256">
        <f>F447*G441</f>
        <v>0</v>
      </c>
      <c r="H447" s="256" t="str">
        <f>IF(H402="Days",F447/F402*365.25,IF(H402="Months",F447/F402*12,""))</f>
        <v/>
      </c>
      <c r="I447" s="256" t="str">
        <f>IF(AND(H402="Days",I442="Days"),F447/F402*I441,IF(AND(H402="Months",I442="Months"),F447/F402*I441,IF(AND(H402="Days",I442="Months"),F447/F402*30.4375*I441,IF(AND(H402="Months",I442="Days"),F447/F402/30.4375*I441,""))))</f>
        <v/>
      </c>
      <c r="O447" s="21"/>
    </row>
    <row r="448" spans="1:15" s="26" customFormat="1" hidden="1" x14ac:dyDescent="0.25">
      <c r="A448" s="255" t="s">
        <v>154</v>
      </c>
      <c r="B448" s="495" t="s">
        <v>155</v>
      </c>
      <c r="C448" s="496"/>
      <c r="D448" s="496"/>
      <c r="E448" s="497"/>
      <c r="F448" s="256" t="str">
        <f>IF(H434="","",H434)</f>
        <v/>
      </c>
      <c r="G448" s="256" t="str">
        <f>IF(F448="","",F448*G441)</f>
        <v/>
      </c>
      <c r="H448" s="256" t="str">
        <f>IF(F448="","",IF(H402="Days",F448/F402*365.25,IF(H402="Months",F448/F402*12,"")))</f>
        <v/>
      </c>
      <c r="I448" s="256" t="str">
        <f>IF(F448="","",IF(AND(H402="Days",I442="Days"),F448/F402*I441,IF(AND(H402="Months",I442="Months"),F448/F402*I441,IF(AND(H402="Days",I442="Months"),F448/F402*30.4375*I441,IF(AND(H402="Months",I442="Days"),F448/F402/30.4375*I441,"")))))</f>
        <v/>
      </c>
      <c r="O448" s="21"/>
    </row>
    <row r="449" spans="1:19" s="26" customFormat="1" hidden="1" x14ac:dyDescent="0.25">
      <c r="A449" s="255" t="s">
        <v>156</v>
      </c>
      <c r="B449" s="495" t="s">
        <v>157</v>
      </c>
      <c r="C449" s="496"/>
      <c r="D449" s="496"/>
      <c r="E449" s="497"/>
      <c r="F449" s="256" t="str">
        <f>IF(H435="","",H435)</f>
        <v/>
      </c>
      <c r="G449" s="256" t="str">
        <f>IF(F449="","",F449*G441)</f>
        <v/>
      </c>
      <c r="H449" s="256" t="str">
        <f>IF(F449="","",IF(H402="Days",F449/F402*365.25,IF(H402="Months",F449/F402*12,"")))</f>
        <v/>
      </c>
      <c r="I449" s="256" t="str">
        <f>IF(F449="","",IF(AND(H402="Days",I442="Days"),F449/F402*I441,IF(AND(H402="Months",I442="Months"),F449/F402*I441,IF(AND(H402="Days",I442="Months"),F449/F402*30.4375*I441,IF(AND(H402="Months",I442="Days"),F449/F402/30.4375*I441,"")))))</f>
        <v/>
      </c>
      <c r="O449" s="21"/>
    </row>
    <row r="450" spans="1:19" s="155" customFormat="1" hidden="1" x14ac:dyDescent="0.25">
      <c r="A450" s="186" t="s">
        <v>158</v>
      </c>
      <c r="B450" s="498" t="s">
        <v>159</v>
      </c>
      <c r="C450" s="499"/>
      <c r="D450" s="499"/>
      <c r="E450" s="500"/>
      <c r="F450" s="187">
        <f>SUM(F445:F448)</f>
        <v>0</v>
      </c>
      <c r="G450" s="187">
        <f t="shared" ref="G450:I450" si="28">SUM(G445:G448)</f>
        <v>0</v>
      </c>
      <c r="H450" s="187">
        <f t="shared" si="28"/>
        <v>0</v>
      </c>
      <c r="I450" s="187">
        <f t="shared" si="28"/>
        <v>0</v>
      </c>
      <c r="K450" s="98" t="s">
        <v>191</v>
      </c>
      <c r="O450" s="189"/>
    </row>
    <row r="451" spans="1:19" s="26" customFormat="1" ht="15.75" hidden="1" thickBot="1" x14ac:dyDescent="0.3">
      <c r="A451" s="257" t="s">
        <v>160</v>
      </c>
      <c r="B451" s="501" t="s">
        <v>161</v>
      </c>
      <c r="C451" s="502"/>
      <c r="D451" s="502"/>
      <c r="E451" s="503"/>
      <c r="F451" s="250">
        <f>IF(F449="",SUM(F445+F446),F445+F446+F449)</f>
        <v>0</v>
      </c>
      <c r="G451" s="250">
        <f t="shared" ref="G451" si="29">IF(G449="",SUM(G445+G446),G445+G446+G449)</f>
        <v>0</v>
      </c>
      <c r="H451" s="250" t="e">
        <f>IF(H449="",SUM(H445+H446),H445+H446+H449)</f>
        <v>#VALUE!</v>
      </c>
      <c r="I451" s="250" t="e">
        <f t="shared" ref="I451" si="30">IF(I449="",SUM(I445+I446),I445+I446+I449)</f>
        <v>#VALUE!</v>
      </c>
      <c r="K451" s="14" t="s">
        <v>192</v>
      </c>
      <c r="O451" s="21"/>
    </row>
    <row r="452" spans="1:19" s="26" customFormat="1" hidden="1" x14ac:dyDescent="0.25">
      <c r="B452" s="229"/>
      <c r="C452" s="66"/>
      <c r="D452" s="66"/>
      <c r="E452" s="66"/>
      <c r="O452" s="21"/>
    </row>
    <row r="453" spans="1:19" s="26" customFormat="1" hidden="1" x14ac:dyDescent="0.25"/>
    <row r="454" spans="1:19" s="26" customFormat="1" hidden="1" x14ac:dyDescent="0.25">
      <c r="B454" s="308" t="s">
        <v>101</v>
      </c>
      <c r="C454" s="308"/>
      <c r="D454" s="308"/>
      <c r="E454" s="308"/>
    </row>
    <row r="455" spans="1:19" s="26" customFormat="1" ht="15.75" hidden="1" customHeight="1" x14ac:dyDescent="0.25"/>
    <row r="456" spans="1:19" s="26" customFormat="1" hidden="1" x14ac:dyDescent="0.25">
      <c r="B456" s="234"/>
      <c r="C456" s="234"/>
      <c r="D456" s="234"/>
      <c r="E456" s="234"/>
      <c r="F456" s="234"/>
      <c r="G456" s="234"/>
      <c r="H456" s="234"/>
      <c r="I456" s="234"/>
      <c r="J456" s="234"/>
      <c r="K456" s="234"/>
      <c r="L456" s="234"/>
      <c r="M456" s="234"/>
      <c r="N456" s="234"/>
      <c r="O456" s="234"/>
      <c r="P456" s="234"/>
      <c r="Q456" s="234"/>
      <c r="R456" s="234"/>
      <c r="S456" s="234"/>
    </row>
    <row r="457" spans="1:19" s="26" customFormat="1" hidden="1" x14ac:dyDescent="0.25">
      <c r="B457" s="234"/>
      <c r="C457" s="234"/>
      <c r="D457" s="234"/>
      <c r="E457" s="234"/>
      <c r="F457" s="234"/>
      <c r="G457" s="234"/>
      <c r="H457" s="234"/>
      <c r="I457" s="234"/>
      <c r="J457" s="234"/>
      <c r="K457" s="234"/>
      <c r="L457" s="234"/>
      <c r="M457" s="234"/>
      <c r="N457" s="234"/>
      <c r="O457" s="234"/>
      <c r="P457" s="234"/>
      <c r="Q457" s="234"/>
      <c r="R457" s="234"/>
      <c r="S457" s="234"/>
    </row>
    <row r="458" spans="1:19" s="26" customFormat="1" hidden="1" x14ac:dyDescent="0.25">
      <c r="B458" s="234"/>
      <c r="C458" s="234"/>
      <c r="D458" s="234"/>
      <c r="E458" s="234"/>
      <c r="F458" s="234"/>
      <c r="G458" s="234"/>
      <c r="H458" s="234"/>
      <c r="I458" s="234"/>
      <c r="J458" s="234"/>
      <c r="K458" s="234"/>
      <c r="L458" s="234"/>
      <c r="M458" s="234"/>
      <c r="N458" s="234"/>
      <c r="O458" s="234"/>
      <c r="P458" s="234"/>
      <c r="Q458" s="234"/>
      <c r="R458" s="234"/>
      <c r="S458" s="234"/>
    </row>
    <row r="459" spans="1:19" s="26" customFormat="1" hidden="1" x14ac:dyDescent="0.25">
      <c r="B459" s="234"/>
      <c r="C459" s="234"/>
      <c r="D459" s="234"/>
      <c r="E459" s="234"/>
      <c r="F459" s="234"/>
      <c r="G459" s="234"/>
      <c r="H459" s="234"/>
      <c r="I459" s="234"/>
      <c r="J459" s="234"/>
      <c r="K459" s="234"/>
      <c r="L459" s="234"/>
      <c r="M459" s="234"/>
      <c r="N459" s="234"/>
      <c r="O459" s="234"/>
      <c r="P459" s="234"/>
      <c r="Q459" s="234"/>
      <c r="R459" s="234"/>
      <c r="S459" s="234"/>
    </row>
    <row r="460" spans="1:19" s="26" customFormat="1" hidden="1" x14ac:dyDescent="0.25">
      <c r="B460" s="234"/>
      <c r="C460" s="234"/>
      <c r="D460" s="234"/>
      <c r="E460" s="234"/>
      <c r="F460" s="234"/>
      <c r="G460" s="234"/>
      <c r="H460" s="234"/>
      <c r="I460" s="234"/>
      <c r="J460" s="234"/>
      <c r="K460" s="234"/>
      <c r="L460" s="234"/>
      <c r="M460" s="234"/>
      <c r="N460" s="234"/>
      <c r="O460" s="234"/>
      <c r="P460" s="234"/>
      <c r="Q460" s="234"/>
      <c r="R460" s="234"/>
      <c r="S460" s="234"/>
    </row>
    <row r="461" spans="1:19" s="26" customFormat="1" hidden="1" x14ac:dyDescent="0.25">
      <c r="B461" s="234"/>
      <c r="C461" s="234"/>
      <c r="D461" s="234"/>
      <c r="E461" s="234"/>
      <c r="F461" s="234"/>
      <c r="G461" s="234"/>
      <c r="H461" s="234"/>
      <c r="I461" s="234"/>
      <c r="J461" s="234"/>
      <c r="K461" s="234"/>
      <c r="L461" s="234"/>
      <c r="M461" s="234"/>
      <c r="N461" s="234"/>
      <c r="O461" s="234"/>
      <c r="P461" s="234"/>
      <c r="Q461" s="234"/>
      <c r="R461" s="234"/>
      <c r="S461" s="234"/>
    </row>
    <row r="462" spans="1:19" s="26" customFormat="1" hidden="1" x14ac:dyDescent="0.25">
      <c r="B462" s="234"/>
      <c r="C462" s="234"/>
      <c r="D462" s="234"/>
      <c r="E462" s="234"/>
      <c r="F462" s="234"/>
      <c r="G462" s="234"/>
      <c r="H462" s="234"/>
      <c r="I462" s="234"/>
      <c r="J462" s="234"/>
      <c r="K462" s="234"/>
      <c r="L462" s="234"/>
      <c r="M462" s="234"/>
      <c r="N462" s="234"/>
      <c r="O462" s="234"/>
      <c r="P462" s="234"/>
      <c r="Q462" s="234"/>
      <c r="R462" s="234"/>
      <c r="S462" s="234"/>
    </row>
    <row r="463" spans="1:19" s="26" customFormat="1" hidden="1" x14ac:dyDescent="0.25">
      <c r="B463" s="234"/>
      <c r="C463" s="234"/>
      <c r="D463" s="234"/>
      <c r="E463" s="234"/>
      <c r="F463" s="234"/>
      <c r="G463" s="234"/>
      <c r="H463" s="234"/>
      <c r="I463" s="234"/>
      <c r="J463" s="234"/>
      <c r="K463" s="234"/>
      <c r="L463" s="234"/>
      <c r="M463" s="234"/>
      <c r="N463" s="234"/>
      <c r="O463" s="234"/>
      <c r="P463" s="234"/>
      <c r="Q463" s="234"/>
      <c r="R463" s="234"/>
      <c r="S463" s="234"/>
    </row>
    <row r="464" spans="1:19" s="26" customFormat="1" hidden="1" x14ac:dyDescent="0.25">
      <c r="B464" s="234"/>
      <c r="C464" s="234"/>
      <c r="D464" s="234"/>
      <c r="E464" s="234"/>
      <c r="F464" s="234"/>
      <c r="G464" s="234"/>
      <c r="H464" s="234"/>
      <c r="I464" s="234"/>
      <c r="J464" s="234"/>
      <c r="K464" s="234"/>
      <c r="L464" s="234"/>
      <c r="M464" s="234"/>
      <c r="N464" s="234"/>
      <c r="O464" s="234"/>
      <c r="P464" s="234"/>
      <c r="Q464" s="234"/>
      <c r="R464" s="234"/>
      <c r="S464" s="234"/>
    </row>
    <row r="465" spans="1:22" s="26" customFormat="1" hidden="1" x14ac:dyDescent="0.25">
      <c r="B465" s="234"/>
      <c r="C465" s="234"/>
      <c r="D465" s="234"/>
      <c r="E465" s="234"/>
      <c r="F465" s="234"/>
      <c r="G465" s="234"/>
      <c r="H465" s="234"/>
      <c r="I465" s="234"/>
      <c r="J465" s="234"/>
      <c r="K465" s="234"/>
      <c r="L465" s="234"/>
      <c r="M465" s="234"/>
      <c r="N465" s="234"/>
      <c r="O465" s="234"/>
      <c r="P465" s="234"/>
      <c r="Q465" s="234"/>
      <c r="R465" s="234"/>
      <c r="S465" s="234"/>
    </row>
    <row r="466" spans="1:22" s="26" customFormat="1" hidden="1" x14ac:dyDescent="0.25"/>
    <row r="467" spans="1:22" s="26" customFormat="1" hidden="1" x14ac:dyDescent="0.25"/>
    <row r="468" spans="1:22" s="26" customFormat="1" hidden="1" x14ac:dyDescent="0.25"/>
    <row r="469" spans="1:22" s="26" customFormat="1" ht="15.75" hidden="1" thickBot="1" x14ac:dyDescent="0.3"/>
    <row r="470" spans="1:22" s="26" customFormat="1" ht="15.75" hidden="1" thickBot="1" x14ac:dyDescent="0.3">
      <c r="B470" s="410" t="str">
        <f>CONCATENATE("Comparator 5: ",NameComparator5)</f>
        <v xml:space="preserve">Comparator 5: </v>
      </c>
      <c r="C470" s="411"/>
      <c r="D470" s="411"/>
      <c r="E470" s="411"/>
      <c r="F470" s="411"/>
      <c r="G470" s="412"/>
    </row>
    <row r="471" spans="1:22" s="26" customFormat="1" hidden="1" x14ac:dyDescent="0.25">
      <c r="B471" s="227"/>
      <c r="C471" s="227"/>
      <c r="D471" s="227"/>
      <c r="F471" s="303"/>
      <c r="G471" s="303"/>
      <c r="H471" s="303"/>
      <c r="I471" s="303"/>
      <c r="J471" s="303"/>
    </row>
    <row r="472" spans="1:22" s="26" customFormat="1" hidden="1" x14ac:dyDescent="0.25"/>
    <row r="473" spans="1:22" s="26" customFormat="1" ht="28.5" hidden="1" customHeight="1" thickBot="1" x14ac:dyDescent="0.3">
      <c r="B473" s="334" t="s">
        <v>118</v>
      </c>
      <c r="C473" s="334"/>
      <c r="D473" s="334"/>
      <c r="E473" s="334"/>
      <c r="K473" s="408" t="s">
        <v>209</v>
      </c>
      <c r="L473" s="408"/>
      <c r="M473" s="408"/>
      <c r="N473" s="408"/>
      <c r="O473" s="408"/>
      <c r="P473" s="225"/>
      <c r="Q473" s="225"/>
      <c r="R473" s="225"/>
      <c r="S473" s="225"/>
      <c r="T473" s="225"/>
      <c r="U473" s="225"/>
      <c r="V473" s="225"/>
    </row>
    <row r="474" spans="1:22" s="26" customFormat="1" ht="18.95" hidden="1" customHeight="1" thickBot="1" x14ac:dyDescent="0.3">
      <c r="B474" s="465" t="s">
        <v>119</v>
      </c>
      <c r="C474" s="466"/>
      <c r="D474" s="466"/>
      <c r="E474" s="466"/>
      <c r="F474" s="466"/>
      <c r="G474" s="466"/>
      <c r="H474" s="466"/>
      <c r="I474" s="467"/>
      <c r="K474" s="408"/>
      <c r="L474" s="408"/>
      <c r="M474" s="408"/>
      <c r="N474" s="408"/>
      <c r="O474" s="408"/>
      <c r="P474" s="225"/>
      <c r="Q474" s="225"/>
      <c r="R474" s="225"/>
      <c r="S474" s="225"/>
      <c r="T474" s="225"/>
      <c r="U474" s="225"/>
      <c r="V474" s="225"/>
    </row>
    <row r="475" spans="1:22" s="26" customFormat="1" ht="15.75" hidden="1" thickBot="1" x14ac:dyDescent="0.3">
      <c r="B475" s="295"/>
      <c r="C475" s="296"/>
      <c r="D475" s="296"/>
      <c r="E475" s="296"/>
      <c r="F475" s="466" t="s">
        <v>120</v>
      </c>
      <c r="G475" s="466"/>
      <c r="H475" s="466"/>
      <c r="I475" s="467"/>
      <c r="K475" s="14"/>
    </row>
    <row r="476" spans="1:22" s="26" customFormat="1" ht="15.75" hidden="1" thickBot="1" x14ac:dyDescent="0.3">
      <c r="B476" s="472" t="s">
        <v>174</v>
      </c>
      <c r="C476" s="473"/>
      <c r="D476" s="473"/>
      <c r="E476" s="474"/>
      <c r="F476" s="149"/>
      <c r="G476" s="149"/>
      <c r="H476" s="149"/>
      <c r="I476" s="149"/>
      <c r="K476" s="14" t="s">
        <v>180</v>
      </c>
    </row>
    <row r="477" spans="1:22" s="26" customFormat="1" ht="30" hidden="1" customHeight="1" thickBot="1" x14ac:dyDescent="0.3">
      <c r="B477" s="472" t="s">
        <v>106</v>
      </c>
      <c r="C477" s="473"/>
      <c r="D477" s="473"/>
      <c r="E477" s="474"/>
      <c r="F477" s="235"/>
      <c r="G477" s="235"/>
      <c r="H477" s="235"/>
      <c r="I477" s="235"/>
      <c r="J477" s="26" t="s">
        <v>104</v>
      </c>
      <c r="K477" s="408" t="s">
        <v>181</v>
      </c>
      <c r="L477" s="408"/>
      <c r="M477" s="408"/>
      <c r="N477" s="408"/>
      <c r="O477" s="408"/>
      <c r="P477" s="21"/>
      <c r="Q477" s="21"/>
      <c r="R477" s="21"/>
      <c r="S477" s="21"/>
      <c r="T477" s="21"/>
    </row>
    <row r="478" spans="1:22" s="26" customFormat="1" ht="15.75" hidden="1" thickBot="1" x14ac:dyDescent="0.3">
      <c r="A478" s="14"/>
      <c r="B478" s="472" t="s">
        <v>107</v>
      </c>
      <c r="C478" s="473"/>
      <c r="D478" s="473"/>
      <c r="E478" s="474"/>
      <c r="F478" s="151"/>
      <c r="G478" s="151"/>
      <c r="H478" s="151"/>
      <c r="I478" s="151"/>
      <c r="J478" s="236"/>
      <c r="K478" s="110" t="s">
        <v>182</v>
      </c>
      <c r="N478" s="21"/>
      <c r="O478" s="21"/>
      <c r="P478" s="21"/>
      <c r="Q478" s="21"/>
      <c r="R478" s="21"/>
      <c r="S478" s="21"/>
      <c r="T478" s="21"/>
    </row>
    <row r="479" spans="1:22" s="26" customFormat="1" ht="15.75" hidden="1" thickBot="1" x14ac:dyDescent="0.3">
      <c r="A479" s="15"/>
      <c r="B479" s="472" t="s">
        <v>108</v>
      </c>
      <c r="C479" s="473"/>
      <c r="D479" s="473"/>
      <c r="E479" s="474"/>
      <c r="F479" s="489"/>
      <c r="G479" s="490"/>
      <c r="H479" s="490"/>
      <c r="I479" s="491"/>
      <c r="J479" s="237" t="s">
        <v>104</v>
      </c>
      <c r="K479" s="110" t="s">
        <v>210</v>
      </c>
    </row>
    <row r="480" spans="1:22" s="26" customFormat="1" ht="15.75" hidden="1" thickBot="1" x14ac:dyDescent="0.3">
      <c r="A480" s="15"/>
      <c r="B480" s="472" t="s">
        <v>74</v>
      </c>
      <c r="C480" s="473"/>
      <c r="D480" s="473"/>
      <c r="E480" s="474"/>
      <c r="F480" s="492"/>
      <c r="G480" s="493"/>
      <c r="H480" s="493"/>
      <c r="I480" s="494"/>
      <c r="J480" s="237" t="s">
        <v>104</v>
      </c>
      <c r="K480" s="110" t="s">
        <v>184</v>
      </c>
    </row>
    <row r="481" spans="1:22" s="26" customFormat="1" ht="15.75" hidden="1" thickBot="1" x14ac:dyDescent="0.3">
      <c r="B481" s="472" t="s">
        <v>75</v>
      </c>
      <c r="C481" s="473"/>
      <c r="D481" s="473"/>
      <c r="E481" s="474"/>
      <c r="F481" s="492"/>
      <c r="G481" s="493"/>
      <c r="H481" s="493"/>
      <c r="I481" s="494"/>
      <c r="J481" s="26" t="s">
        <v>104</v>
      </c>
      <c r="K481" s="110" t="s">
        <v>185</v>
      </c>
    </row>
    <row r="482" spans="1:22" s="26" customFormat="1" ht="15.75" hidden="1" thickBot="1" x14ac:dyDescent="0.3">
      <c r="B482" s="472" t="s">
        <v>76</v>
      </c>
      <c r="C482" s="473"/>
      <c r="D482" s="473"/>
      <c r="E482" s="474"/>
      <c r="F482" s="492"/>
      <c r="G482" s="493"/>
      <c r="H482" s="493"/>
      <c r="I482" s="494"/>
      <c r="J482" s="237" t="s">
        <v>104</v>
      </c>
      <c r="K482" s="110" t="s">
        <v>216</v>
      </c>
    </row>
    <row r="483" spans="1:22" s="26" customFormat="1" ht="15.75" hidden="1" thickBot="1" x14ac:dyDescent="0.3">
      <c r="B483" s="472" t="s">
        <v>172</v>
      </c>
      <c r="C483" s="473"/>
      <c r="D483" s="473"/>
      <c r="E483" s="474"/>
      <c r="F483" s="492"/>
      <c r="G483" s="493"/>
      <c r="H483" s="493"/>
      <c r="I483" s="494"/>
      <c r="J483" s="237" t="s">
        <v>104</v>
      </c>
      <c r="K483" s="110" t="s">
        <v>217</v>
      </c>
    </row>
    <row r="484" spans="1:22" s="26" customFormat="1" ht="15.75" hidden="1" thickBot="1" x14ac:dyDescent="0.3">
      <c r="B484" s="472" t="s">
        <v>173</v>
      </c>
      <c r="C484" s="473"/>
      <c r="D484" s="473"/>
      <c r="E484" s="474"/>
      <c r="F484" s="492"/>
      <c r="G484" s="493"/>
      <c r="H484" s="493"/>
      <c r="I484" s="494"/>
      <c r="J484" s="237" t="s">
        <v>104</v>
      </c>
      <c r="K484" s="110" t="s">
        <v>218</v>
      </c>
    </row>
    <row r="485" spans="1:22" s="26" customFormat="1" ht="30" hidden="1" customHeight="1" x14ac:dyDescent="0.25">
      <c r="B485" s="112"/>
      <c r="C485" s="112"/>
      <c r="D485" s="112"/>
      <c r="E485" s="303"/>
      <c r="F485" s="303"/>
      <c r="G485" s="238"/>
      <c r="H485" s="303"/>
      <c r="I485" s="303"/>
      <c r="J485" s="239"/>
      <c r="K485" s="110"/>
    </row>
    <row r="486" spans="1:22" s="26" customFormat="1" ht="15.75" hidden="1" thickBot="1" x14ac:dyDescent="0.3">
      <c r="B486" s="334" t="s">
        <v>171</v>
      </c>
      <c r="C486" s="334"/>
      <c r="D486" s="334"/>
      <c r="E486" s="334"/>
      <c r="F486" s="303"/>
      <c r="G486" s="303"/>
      <c r="H486" s="303"/>
      <c r="I486" s="303"/>
      <c r="J486" s="239"/>
      <c r="K486" s="404" t="s">
        <v>195</v>
      </c>
      <c r="L486" s="404"/>
      <c r="M486" s="404"/>
      <c r="N486" s="404"/>
      <c r="O486" s="404"/>
      <c r="P486" s="292"/>
      <c r="Q486" s="292"/>
      <c r="R486" s="292"/>
      <c r="S486" s="292"/>
      <c r="T486" s="292"/>
      <c r="U486" s="292"/>
      <c r="V486" s="292"/>
    </row>
    <row r="487" spans="1:22" s="26" customFormat="1" ht="29.1" hidden="1" customHeight="1" thickBot="1" x14ac:dyDescent="0.3">
      <c r="B487" s="465" t="s">
        <v>121</v>
      </c>
      <c r="C487" s="466"/>
      <c r="D487" s="466"/>
      <c r="E487" s="466"/>
      <c r="F487" s="466"/>
      <c r="G487" s="466"/>
      <c r="H487" s="466"/>
      <c r="I487" s="467"/>
      <c r="J487" s="239"/>
      <c r="K487" s="404"/>
      <c r="L487" s="404"/>
      <c r="M487" s="404"/>
      <c r="N487" s="404"/>
      <c r="O487" s="404"/>
      <c r="P487" s="292"/>
      <c r="Q487" s="292"/>
      <c r="R487" s="292"/>
      <c r="S487" s="292"/>
      <c r="T487" s="292"/>
      <c r="U487" s="292"/>
      <c r="V487" s="292"/>
    </row>
    <row r="488" spans="1:22" s="26" customFormat="1" ht="30" hidden="1" customHeight="1" thickBot="1" x14ac:dyDescent="0.3">
      <c r="B488" s="472" t="s">
        <v>122</v>
      </c>
      <c r="C488" s="473"/>
      <c r="D488" s="473"/>
      <c r="E488" s="474"/>
      <c r="F488" s="468"/>
      <c r="G488" s="469"/>
      <c r="H488" s="470"/>
      <c r="I488" s="471"/>
      <c r="J488" s="239"/>
      <c r="K488" s="408" t="s">
        <v>186</v>
      </c>
      <c r="L488" s="408"/>
      <c r="M488" s="408"/>
      <c r="N488" s="408"/>
      <c r="O488" s="408"/>
    </row>
    <row r="489" spans="1:22" s="26" customFormat="1" ht="23.1" hidden="1" customHeight="1" thickBot="1" x14ac:dyDescent="0.3">
      <c r="B489" s="472" t="str">
        <f>B476</f>
        <v>Pack Identification</v>
      </c>
      <c r="C489" s="473"/>
      <c r="D489" s="473"/>
      <c r="E489" s="474"/>
      <c r="F489" s="192" t="str">
        <f>IF(ISBLANK(F476),"",F476)</f>
        <v/>
      </c>
      <c r="G489" s="192" t="str">
        <f t="shared" ref="G489:I489" si="31">IF(ISBLANK(G476),"",G476)</f>
        <v/>
      </c>
      <c r="H489" s="192" t="str">
        <f t="shared" si="31"/>
        <v/>
      </c>
      <c r="I489" s="192" t="str">
        <f t="shared" si="31"/>
        <v/>
      </c>
      <c r="J489" s="239"/>
      <c r="K489" s="408"/>
      <c r="L489" s="408"/>
      <c r="M489" s="408"/>
      <c r="N489" s="408"/>
      <c r="O489" s="408"/>
    </row>
    <row r="490" spans="1:22" s="26" customFormat="1" ht="15.75" hidden="1" thickBot="1" x14ac:dyDescent="0.3">
      <c r="B490" s="512" t="s">
        <v>123</v>
      </c>
      <c r="C490" s="513"/>
      <c r="D490" s="513"/>
      <c r="E490" s="514"/>
      <c r="F490" s="145"/>
      <c r="G490" s="154"/>
      <c r="H490" s="154"/>
      <c r="I490" s="154"/>
      <c r="J490" s="239"/>
      <c r="K490" s="408" t="s">
        <v>187</v>
      </c>
      <c r="L490" s="408"/>
      <c r="M490" s="408"/>
      <c r="N490" s="408"/>
      <c r="O490" s="408"/>
    </row>
    <row r="491" spans="1:22" s="26" customFormat="1" ht="75.75" hidden="1" customHeight="1" x14ac:dyDescent="0.25">
      <c r="B491" s="304"/>
      <c r="C491" s="304"/>
      <c r="D491" s="304"/>
      <c r="E491" s="304"/>
      <c r="F491" s="303"/>
      <c r="G491" s="303"/>
      <c r="H491" s="303"/>
      <c r="I491" s="303"/>
      <c r="J491" s="239"/>
      <c r="K491" s="408"/>
      <c r="L491" s="408"/>
      <c r="M491" s="408"/>
      <c r="N491" s="408"/>
      <c r="O491" s="408"/>
    </row>
    <row r="492" spans="1:22" s="26" customFormat="1" hidden="1" x14ac:dyDescent="0.25">
      <c r="B492" s="511"/>
      <c r="C492" s="511"/>
      <c r="D492" s="511"/>
      <c r="E492" s="511"/>
      <c r="K492" s="408"/>
      <c r="L492" s="408"/>
      <c r="M492" s="408"/>
      <c r="N492" s="408"/>
      <c r="O492" s="408"/>
    </row>
    <row r="493" spans="1:22" s="26" customFormat="1" hidden="1" x14ac:dyDescent="0.25">
      <c r="B493" s="303"/>
      <c r="C493" s="303"/>
      <c r="D493" s="303"/>
      <c r="E493" s="303"/>
      <c r="O493" s="21"/>
    </row>
    <row r="494" spans="1:22" s="26" customFormat="1" hidden="1" x14ac:dyDescent="0.25">
      <c r="A494" s="155"/>
      <c r="B494" s="308" t="s">
        <v>124</v>
      </c>
      <c r="C494" s="290"/>
      <c r="D494" s="66"/>
      <c r="E494" s="66"/>
      <c r="F494" s="390"/>
      <c r="G494" s="390"/>
      <c r="H494" s="390"/>
      <c r="I494" s="390"/>
      <c r="O494" s="21"/>
    </row>
    <row r="495" spans="1:22" s="26" customFormat="1" hidden="1" x14ac:dyDescent="0.25">
      <c r="A495" s="14" t="s">
        <v>125</v>
      </c>
      <c r="B495" s="290"/>
      <c r="C495" s="290"/>
      <c r="D495" s="66"/>
      <c r="E495" s="66"/>
      <c r="F495" s="290"/>
      <c r="G495" s="290"/>
      <c r="H495" s="290"/>
      <c r="I495" s="290"/>
      <c r="O495" s="21"/>
    </row>
    <row r="496" spans="1:22" s="26" customFormat="1" ht="15.75" hidden="1" thickBot="1" x14ac:dyDescent="0.3">
      <c r="B496" s="66"/>
      <c r="C496" s="66"/>
      <c r="D496" s="66"/>
      <c r="E496" s="66"/>
      <c r="F496" s="390" t="s">
        <v>126</v>
      </c>
      <c r="G496" s="390"/>
      <c r="H496" s="390"/>
      <c r="I496" s="390"/>
      <c r="O496" s="21"/>
    </row>
    <row r="497" spans="1:15" s="26" customFormat="1" ht="15.75" hidden="1" thickBot="1" x14ac:dyDescent="0.3">
      <c r="B497" s="66"/>
      <c r="C497" s="66"/>
      <c r="D497" s="66"/>
      <c r="E497" s="66"/>
      <c r="F497" s="156" t="str">
        <f>IF(F476="","",F476)</f>
        <v/>
      </c>
      <c r="G497" s="156" t="str">
        <f>IF(G476="","",G476)</f>
        <v/>
      </c>
      <c r="H497" s="156" t="str">
        <f>IF(H476="","",H476)</f>
        <v/>
      </c>
      <c r="I497" s="156" t="str">
        <f>IF(I476="","",I476)</f>
        <v/>
      </c>
      <c r="O497" s="21"/>
    </row>
    <row r="498" spans="1:15" s="26" customFormat="1" hidden="1" x14ac:dyDescent="0.25">
      <c r="A498" s="91" t="s">
        <v>77</v>
      </c>
      <c r="B498" s="475" t="s">
        <v>82</v>
      </c>
      <c r="C498" s="476"/>
      <c r="D498" s="476"/>
      <c r="E498" s="240"/>
      <c r="F498" s="241" t="str">
        <f>IF(OR(F477="",F478="",F479=""),"",IF(F477="Price to Wholesaler",F478,IF(F477="Reimbursement Price",(F500/(1+E499)*1),"Error")))</f>
        <v/>
      </c>
      <c r="G498" s="241" t="str">
        <f>IF(OR(G477="",G478="",F479=""),"",IF(G477="Price to Wholesaler",G478,IF(G477="Reimbursement Price",(G500/(1+E499)*1),"Error")))</f>
        <v/>
      </c>
      <c r="H498" s="241" t="str">
        <f>IF(OR(H477="",H478="",F479=""),"",IF(H477="Price to Wholesaler",H478,IF(H477="Reimbursement Price",(H500/(1+E499)*1),"Error")))</f>
        <v/>
      </c>
      <c r="I498" s="241" t="str">
        <f>IF(OR(I477="",I478="",F479=""),"",IF(I477="Price to Wholesaler",I478,IF(I477="Reimbursement Price",(I500/(1+E499)*1),"Error")))</f>
        <v/>
      </c>
      <c r="O498" s="21"/>
    </row>
    <row r="499" spans="1:15" s="26" customFormat="1" hidden="1" x14ac:dyDescent="0.25">
      <c r="A499" s="297" t="s">
        <v>78</v>
      </c>
      <c r="B499" s="477" t="s">
        <v>83</v>
      </c>
      <c r="C499" s="478"/>
      <c r="D499" s="478"/>
      <c r="E499" s="93" t="str">
        <f>IF(OR(F479=""),"",IF(AND(F479="CDS",F480="Yes"),CYF,IF(AND(F479="CDS",F480="No"),CNF,IF(F479="HT",CHT,IF(F479="Hosp",CHO,"Error")))))</f>
        <v/>
      </c>
      <c r="F499" s="242" t="str">
        <f>IF(OR(F479="",F478="",F477=""),"",F498*E499)</f>
        <v/>
      </c>
      <c r="G499" s="242" t="str">
        <f>IF(OR(F479="",G478="",G477=""),"",G498*E499)</f>
        <v/>
      </c>
      <c r="H499" s="242" t="str">
        <f>IF(OR(F479="",H478="",H477=""),"",H498*E499)</f>
        <v/>
      </c>
      <c r="I499" s="242" t="str">
        <f>IF(OR(F479="",I478="",I477=""),"",I498*E499)</f>
        <v/>
      </c>
      <c r="O499" s="21"/>
    </row>
    <row r="500" spans="1:15" s="26" customFormat="1" hidden="1" x14ac:dyDescent="0.25">
      <c r="A500" s="297" t="s">
        <v>79</v>
      </c>
      <c r="B500" s="477" t="str">
        <f>IF(F479="Hosp","Hospital Price", "Reimbursement Price")</f>
        <v>Reimbursement Price</v>
      </c>
      <c r="C500" s="478"/>
      <c r="D500" s="478"/>
      <c r="E500" s="243" t="str">
        <f>IF(F477="Price to Wholesaler","A+B","")</f>
        <v/>
      </c>
      <c r="F500" s="242" t="str">
        <f>IF(F477="Reimbursement Price",F478,IF(ISBLANK(E499),"",IF(F477="Price to Wholesaler",(F498+F499),IF(F477="","","Error"))))</f>
        <v/>
      </c>
      <c r="G500" s="242" t="str">
        <f>IF(G477="Reimbursement Price",G478,IF(ISBLANK(E499),"",IF(G477="Price to Wholesaler",(G498+G499),IF(G477="","","Error"))))</f>
        <v/>
      </c>
      <c r="H500" s="242" t="str">
        <f>IF(H477="Reimbursement Price",H478,IF(ISBLANK(E499),"",IF(H477="Price to Wholesaler",(H498+H499),IF(H477="","","Error"))))</f>
        <v/>
      </c>
      <c r="I500" s="242" t="str">
        <f>IF(I477="Reimbursement Price",I478,IF(ISBLANK(E499),"",IF(I477="Price to Wholesaler",(I498+I499),IF(I477="","","Error"))))</f>
        <v/>
      </c>
      <c r="O500" s="21"/>
    </row>
    <row r="501" spans="1:15" s="26" customFormat="1" hidden="1" x14ac:dyDescent="0.25">
      <c r="A501" s="297" t="s">
        <v>80</v>
      </c>
      <c r="B501" s="477" t="s">
        <v>214</v>
      </c>
      <c r="C501" s="478"/>
      <c r="D501" s="478"/>
      <c r="E501" s="268" t="str">
        <f>IF(OR(F482="",AND(F482="Yes",F483=""),AND(F482="No",F484="")),"",IF(AND(F482="No",F484="Patented Exclusive or Off Patent Exclusive and subject to clause 10 of Framework Agreement"),MR,IF(AND(F482="No",F484="Off Patent Non-Exclusive or Generic"),"None",IF(AND(F482="Yes",F483="Biosimilar"),"None",IF(AND(F482="Yes",F483="Patented or Off Patent Exclusive"),MR,IF(AND(F482="Yes",F483="Off Patent Non-Exclusive 12.5% Rebate incorporated into Price to Wholesaler"),"None",IF(AND(F482="Yes",F483="Off Patent Non-Exclusive 12.5% Rebate"),MRB,"Error")))))))</f>
        <v/>
      </c>
      <c r="F501" s="242" t="str">
        <f>IF(OR(F482="",AND(F482="Yes",F483=""),AND(F482="No",F484=""),F477="",ISBLANK(F478)),"",IF(E501="None",0,(E501*F498)))</f>
        <v/>
      </c>
      <c r="G501" s="242" t="str">
        <f>IF(OR(F482="",AND(F482="Yes",F483=""),AND(F482="No",F484=""),G477="",ISBLANK(G478)),"",IF(E501="None",0,(E501*G498)))</f>
        <v/>
      </c>
      <c r="H501" s="242" t="str">
        <f>IF(OR(F482="",AND(F482="Yes",F483=""),AND(F482="No",F484=""),H477="",ISBLANK(H478)),"",IF(E501="None",0,(E501*H498)))</f>
        <v/>
      </c>
      <c r="I501" s="242" t="str">
        <f>IF(OR(F482="",AND(F482="Yes",F483=""),AND(F482="No",F484=""),I477="",ISBLANK(I478)),"",IF(E501="None",0,(E501*I498)))</f>
        <v/>
      </c>
      <c r="O501" s="21"/>
    </row>
    <row r="502" spans="1:15" s="26" customFormat="1" ht="15.75" hidden="1" thickBot="1" x14ac:dyDescent="0.3">
      <c r="A502" s="298" t="s">
        <v>81</v>
      </c>
      <c r="B502" s="479" t="s">
        <v>94</v>
      </c>
      <c r="C502" s="480"/>
      <c r="D502" s="480"/>
      <c r="E502" s="160" t="str">
        <f>IF(F481="","",IF(F481="Yes",0,VT))</f>
        <v/>
      </c>
      <c r="F502" s="244" t="str">
        <f>IF(OR($B481="",F478="",ISBLANK(F478)),"",($E502*F500))</f>
        <v/>
      </c>
      <c r="G502" s="244" t="str">
        <f t="shared" ref="G502:I502" si="32">IF(OR($B481="",G478="",ISBLANK(G478)),"",($E502*G500))</f>
        <v/>
      </c>
      <c r="H502" s="244" t="str">
        <f t="shared" si="32"/>
        <v/>
      </c>
      <c r="I502" s="244" t="str">
        <f t="shared" si="32"/>
        <v/>
      </c>
      <c r="O502" s="21"/>
    </row>
    <row r="503" spans="1:15" s="26" customFormat="1" ht="15.75" hidden="1" thickBot="1" x14ac:dyDescent="0.3">
      <c r="A503" s="299" t="s">
        <v>127</v>
      </c>
      <c r="B503" s="481" t="s">
        <v>128</v>
      </c>
      <c r="C503" s="481"/>
      <c r="D503" s="481"/>
      <c r="E503" s="299"/>
      <c r="F503" s="245" t="str">
        <f>IF(OR(F477="",$F479="",$F481="",$F482=""),"",SUM(F500:F502))</f>
        <v/>
      </c>
      <c r="G503" s="245" t="str">
        <f t="shared" ref="G503:I503" si="33">IF(OR(G477="",$F479="",$F481="",$F482=""),"",SUM(G500:G502))</f>
        <v/>
      </c>
      <c r="H503" s="245" t="str">
        <f t="shared" si="33"/>
        <v/>
      </c>
      <c r="I503" s="245" t="str">
        <f t="shared" si="33"/>
        <v/>
      </c>
      <c r="O503" s="21"/>
    </row>
    <row r="504" spans="1:15" s="26" customFormat="1" ht="15.75" hidden="1" thickBot="1" x14ac:dyDescent="0.3">
      <c r="A504" s="299" t="s">
        <v>129</v>
      </c>
      <c r="B504" s="482" t="s">
        <v>130</v>
      </c>
      <c r="C504" s="482"/>
      <c r="D504" s="482"/>
      <c r="E504" s="245"/>
      <c r="F504" s="245" t="str">
        <f>IF(OR(F477="",$F479="",$F481="",$F482=""),"",SUM(F500:F501))</f>
        <v/>
      </c>
      <c r="G504" s="245" t="str">
        <f t="shared" ref="G504:I504" si="34">IF(OR(G477="",$F479="",$F481="",$F482=""),"",SUM(G500:G501))</f>
        <v/>
      </c>
      <c r="H504" s="245" t="str">
        <f t="shared" si="34"/>
        <v/>
      </c>
      <c r="I504" s="245" t="str">
        <f t="shared" si="34"/>
        <v/>
      </c>
      <c r="O504" s="21"/>
    </row>
    <row r="505" spans="1:15" s="26" customFormat="1" hidden="1" x14ac:dyDescent="0.25">
      <c r="B505" s="66"/>
      <c r="C505" s="66"/>
      <c r="D505" s="66"/>
      <c r="E505" s="66"/>
      <c r="K505" s="26" t="s">
        <v>131</v>
      </c>
      <c r="O505" s="21"/>
    </row>
    <row r="506" spans="1:15" s="26" customFormat="1" hidden="1" x14ac:dyDescent="0.25">
      <c r="A506" s="155" t="s">
        <v>132</v>
      </c>
      <c r="B506" s="66"/>
      <c r="C506" s="66"/>
      <c r="D506" s="66"/>
      <c r="E506" s="66"/>
      <c r="F506" s="246"/>
      <c r="G506" s="246"/>
      <c r="H506" s="246"/>
      <c r="I506" s="246"/>
      <c r="O506" s="21"/>
    </row>
    <row r="507" spans="1:15" s="26" customFormat="1" hidden="1" x14ac:dyDescent="0.25">
      <c r="A507" s="125"/>
      <c r="B507" s="125" t="s">
        <v>133</v>
      </c>
      <c r="C507" s="125"/>
      <c r="D507" s="125"/>
      <c r="E507" s="125"/>
      <c r="F507" s="125"/>
      <c r="G507" s="125"/>
      <c r="H507" s="125"/>
      <c r="O507" s="21"/>
    </row>
    <row r="508" spans="1:15" s="26" customFormat="1" hidden="1" x14ac:dyDescent="0.25">
      <c r="B508" s="21" t="s">
        <v>134</v>
      </c>
      <c r="C508" s="229"/>
      <c r="D508" s="229"/>
      <c r="E508" s="66"/>
      <c r="O508" s="21"/>
    </row>
    <row r="509" spans="1:15" s="26" customFormat="1" ht="15.75" hidden="1" thickBot="1" x14ac:dyDescent="0.3">
      <c r="B509" s="165"/>
      <c r="C509" s="229"/>
      <c r="D509" s="229"/>
      <c r="E509" s="66"/>
      <c r="O509" s="21"/>
    </row>
    <row r="510" spans="1:15" s="26" customFormat="1" ht="15.75" hidden="1" thickBot="1" x14ac:dyDescent="0.3">
      <c r="B510" s="230"/>
      <c r="C510" s="66"/>
      <c r="D510" s="66"/>
      <c r="E510" s="66"/>
      <c r="G510" s="293" t="s">
        <v>135</v>
      </c>
      <c r="H510" s="293" t="s">
        <v>136</v>
      </c>
      <c r="O510" s="21"/>
    </row>
    <row r="511" spans="1:15" s="26" customFormat="1" hidden="1" x14ac:dyDescent="0.25">
      <c r="B511" s="483" t="s">
        <v>137</v>
      </c>
      <c r="C511" s="484"/>
      <c r="D511" s="484"/>
      <c r="E511" s="484"/>
      <c r="F511" s="485"/>
      <c r="G511" s="247" t="str">
        <f>IF(F479="","",IF(F479="CDS","per dispensing",IF(F479="HT","per month",IF(F479="Hosp","No Fee", ERROR))))</f>
        <v/>
      </c>
      <c r="H511" s="248" t="str">
        <f>IF(F479="","",IF(F479="CDS",DF,IF(F479="HT",PC,IF(F479="Hosp","No Fee",ERROR))))</f>
        <v/>
      </c>
      <c r="I511" s="26" t="s">
        <v>138</v>
      </c>
      <c r="O511" s="21"/>
    </row>
    <row r="512" spans="1:15" s="26" customFormat="1" ht="15.75" hidden="1" thickBot="1" x14ac:dyDescent="0.3">
      <c r="B512" s="486" t="s">
        <v>92</v>
      </c>
      <c r="C512" s="487"/>
      <c r="D512" s="487"/>
      <c r="E512" s="487"/>
      <c r="F512" s="488"/>
      <c r="G512" s="249" t="str">
        <f>IF(OR(F479="",F481=""),"",IF(F479="Hosp","No Fee",IF(F479="HT","No VAT",IF(AND(F479="CDS",F481="No"),VT,"No VAT"))))</f>
        <v/>
      </c>
      <c r="H512" s="250" t="str">
        <f>IF(OR(F481="",F479="Hosp"),"",IF(OR(F481="Yes",F479="HT"),0,H511*G512))</f>
        <v/>
      </c>
      <c r="O512" s="21"/>
    </row>
    <row r="513" spans="1:20" s="26" customFormat="1" hidden="1" x14ac:dyDescent="0.25">
      <c r="B513" s="230"/>
      <c r="C513" s="66"/>
      <c r="D513" s="66"/>
      <c r="E513" s="66"/>
      <c r="O513" s="21"/>
    </row>
    <row r="514" spans="1:20" s="26" customFormat="1" hidden="1" x14ac:dyDescent="0.25">
      <c r="B514" s="230"/>
      <c r="C514" s="66"/>
      <c r="D514" s="66"/>
      <c r="E514" s="66"/>
      <c r="O514" s="21"/>
    </row>
    <row r="515" spans="1:20" s="26" customFormat="1" ht="33.950000000000003" hidden="1" customHeight="1" thickBot="1" x14ac:dyDescent="0.3">
      <c r="A515" s="165" t="s">
        <v>193</v>
      </c>
      <c r="B515" s="230"/>
      <c r="C515" s="66"/>
      <c r="D515" s="66"/>
      <c r="E515" s="66"/>
      <c r="K515" s="408" t="s">
        <v>197</v>
      </c>
      <c r="L515" s="408"/>
      <c r="M515" s="408"/>
      <c r="N515" s="408"/>
      <c r="O515" s="408"/>
      <c r="P515" s="195"/>
      <c r="Q515" s="195"/>
      <c r="R515" s="195"/>
      <c r="S515" s="195"/>
      <c r="T515" s="195"/>
    </row>
    <row r="516" spans="1:20" s="26" customFormat="1" ht="17.100000000000001" hidden="1" customHeight="1" thickBot="1" x14ac:dyDescent="0.3">
      <c r="A516" s="14" t="s">
        <v>194</v>
      </c>
      <c r="B516" s="230"/>
      <c r="C516" s="66"/>
      <c r="D516" s="66"/>
      <c r="E516" s="66"/>
      <c r="G516" s="293" t="s">
        <v>101</v>
      </c>
      <c r="H516" s="293" t="s">
        <v>136</v>
      </c>
      <c r="K516" s="408" t="str">
        <f>IF(F479="HT","For High tech, if a treatment cycle =28 days the corresponding pharmacy fee is =62.03*12/365.25*28.  The pharmacy fee remains the same regardless of the number of products dispensed that month.",IF(F479="CDS","For CDS, if 2 packets of the same pack presentation are required per treatment cycle, one dispensing fee applies (€5.48). If multiple pack presentations are required, multiple dispensing fees apply",""))</f>
        <v/>
      </c>
      <c r="L516" s="408"/>
      <c r="M516" s="408"/>
      <c r="N516" s="408"/>
      <c r="O516" s="408"/>
      <c r="P516" s="195"/>
      <c r="Q516" s="195"/>
      <c r="R516" s="195"/>
      <c r="S516" s="195"/>
      <c r="T516" s="195"/>
    </row>
    <row r="517" spans="1:20" s="26" customFormat="1" ht="16.5" hidden="1" customHeight="1" x14ac:dyDescent="0.25">
      <c r="A517" s="170" t="s">
        <v>139</v>
      </c>
      <c r="B517" s="504" t="s">
        <v>140</v>
      </c>
      <c r="C517" s="504"/>
      <c r="D517" s="504"/>
      <c r="E517" s="504"/>
      <c r="F517" s="504"/>
      <c r="G517" s="251"/>
      <c r="H517" s="252"/>
      <c r="K517" s="408"/>
      <c r="L517" s="408"/>
      <c r="M517" s="408"/>
      <c r="N517" s="408"/>
      <c r="O517" s="408"/>
      <c r="P517" s="195"/>
      <c r="Q517" s="195"/>
      <c r="R517" s="195"/>
      <c r="S517" s="195"/>
      <c r="T517" s="195"/>
    </row>
    <row r="518" spans="1:20" s="26" customFormat="1" hidden="1" x14ac:dyDescent="0.25">
      <c r="A518" s="173" t="s">
        <v>141</v>
      </c>
      <c r="B518" s="505" t="s">
        <v>142</v>
      </c>
      <c r="C518" s="505"/>
      <c r="D518" s="505"/>
      <c r="E518" s="505"/>
      <c r="F518" s="505"/>
      <c r="G518" s="253"/>
      <c r="H518" s="254"/>
      <c r="K518" s="14" t="s">
        <v>188</v>
      </c>
      <c r="O518" s="21"/>
    </row>
    <row r="519" spans="1:20" s="26" customFormat="1" hidden="1" x14ac:dyDescent="0.25">
      <c r="A519" s="173" t="s">
        <v>143</v>
      </c>
      <c r="B519" s="505" t="s">
        <v>144</v>
      </c>
      <c r="C519" s="505"/>
      <c r="D519" s="505"/>
      <c r="E519" s="505"/>
      <c r="F519" s="505"/>
      <c r="G519" s="253"/>
      <c r="H519" s="254"/>
      <c r="K519" s="14" t="s">
        <v>189</v>
      </c>
      <c r="O519" s="21"/>
    </row>
    <row r="520" spans="1:20" s="26" customFormat="1" hidden="1" x14ac:dyDescent="0.25">
      <c r="A520" s="173" t="s">
        <v>145</v>
      </c>
      <c r="B520" s="505" t="s">
        <v>146</v>
      </c>
      <c r="C520" s="505"/>
      <c r="D520" s="505"/>
      <c r="E520" s="505"/>
      <c r="F520" s="505"/>
      <c r="G520" s="255"/>
      <c r="H520" s="256" t="str">
        <f>IF(ISBLANK(H517),"",SUM(H517:H519))</f>
        <v/>
      </c>
      <c r="O520" s="21"/>
    </row>
    <row r="521" spans="1:20" s="26" customFormat="1" ht="15.75" hidden="1" thickBot="1" x14ac:dyDescent="0.3">
      <c r="A521" s="178" t="s">
        <v>147</v>
      </c>
      <c r="B521" s="515" t="s">
        <v>196</v>
      </c>
      <c r="C521" s="515"/>
      <c r="D521" s="515"/>
      <c r="E521" s="515"/>
      <c r="F521" s="515"/>
      <c r="G521" s="257"/>
      <c r="H521" s="250" t="str">
        <f>IF(ISBLANK(H517),"",SUM(H517:H518))</f>
        <v/>
      </c>
      <c r="O521" s="21"/>
    </row>
    <row r="522" spans="1:20" s="26" customFormat="1" hidden="1" x14ac:dyDescent="0.25">
      <c r="B522" s="66"/>
      <c r="C522" s="66"/>
      <c r="D522" s="66"/>
      <c r="E522" s="66"/>
      <c r="O522" s="21"/>
    </row>
    <row r="523" spans="1:20" s="26" customFormat="1" hidden="1" x14ac:dyDescent="0.25">
      <c r="B523" s="66"/>
      <c r="C523" s="66"/>
      <c r="D523" s="66"/>
      <c r="E523" s="66"/>
      <c r="O523" s="21"/>
    </row>
    <row r="524" spans="1:20" s="26" customFormat="1" hidden="1" x14ac:dyDescent="0.25">
      <c r="A524" s="155" t="s">
        <v>148</v>
      </c>
      <c r="B524" s="66"/>
      <c r="C524" s="66"/>
      <c r="D524" s="66"/>
      <c r="E524" s="66"/>
      <c r="O524" s="21"/>
    </row>
    <row r="525" spans="1:20" s="26" customFormat="1" ht="15.75" hidden="1" thickBot="1" x14ac:dyDescent="0.3">
      <c r="B525" s="66"/>
      <c r="C525" s="66"/>
      <c r="D525" s="66"/>
      <c r="E525" s="66"/>
      <c r="O525" s="21"/>
    </row>
    <row r="526" spans="1:20" s="26" customFormat="1" ht="29.1" hidden="1" customHeight="1" x14ac:dyDescent="0.25">
      <c r="A526" s="65"/>
      <c r="B526" s="303"/>
      <c r="C526" s="303"/>
      <c r="D526" s="303"/>
      <c r="E526" s="303"/>
      <c r="F526" s="506" t="s">
        <v>149</v>
      </c>
      <c r="G526" s="180" t="s">
        <v>150</v>
      </c>
      <c r="H526" s="508" t="s">
        <v>151</v>
      </c>
      <c r="I526" s="180" t="s">
        <v>152</v>
      </c>
      <c r="J526" s="66"/>
      <c r="K526" s="408" t="s">
        <v>190</v>
      </c>
      <c r="L526" s="408"/>
      <c r="M526" s="408"/>
      <c r="N526" s="408"/>
      <c r="O526" s="408"/>
    </row>
    <row r="527" spans="1:20" s="26" customFormat="1" hidden="1" x14ac:dyDescent="0.25">
      <c r="A527" s="65"/>
      <c r="B527" s="303"/>
      <c r="C527" s="303"/>
      <c r="D527" s="303"/>
      <c r="E527" s="303"/>
      <c r="F527" s="507"/>
      <c r="G527" s="253"/>
      <c r="H527" s="509"/>
      <c r="I527" s="182"/>
      <c r="J527" s="66"/>
      <c r="K527" s="408"/>
      <c r="L527" s="408"/>
      <c r="M527" s="408"/>
      <c r="N527" s="408"/>
      <c r="O527" s="408"/>
    </row>
    <row r="528" spans="1:20" s="26" customFormat="1" ht="15.75" hidden="1" thickBot="1" x14ac:dyDescent="0.3">
      <c r="A528" s="65"/>
      <c r="B528" s="303"/>
      <c r="C528" s="303"/>
      <c r="D528" s="303"/>
      <c r="E528" s="303"/>
      <c r="F528" s="507"/>
      <c r="G528" s="183" t="s">
        <v>153</v>
      </c>
      <c r="H528" s="510"/>
      <c r="I528" s="184"/>
      <c r="J528" s="66"/>
      <c r="K528" s="408"/>
      <c r="L528" s="408"/>
      <c r="M528" s="408"/>
      <c r="N528" s="408"/>
      <c r="O528" s="408"/>
    </row>
    <row r="529" spans="1:19" s="26" customFormat="1" hidden="1" x14ac:dyDescent="0.25">
      <c r="A529" s="247" t="s">
        <v>77</v>
      </c>
      <c r="B529" s="463" t="str">
        <f>B498</f>
        <v>Price to Wholesaler</v>
      </c>
      <c r="C529" s="463"/>
      <c r="D529" s="463"/>
      <c r="E529" s="463"/>
      <c r="F529" s="256">
        <f>SUMPRODUCT(F498:I498,F490:I490)</f>
        <v>0</v>
      </c>
      <c r="G529" s="256">
        <f>F529*G527</f>
        <v>0</v>
      </c>
      <c r="H529" s="256" t="str">
        <f>IF(H488="Days",F529/F488*365.25,IF(H488="Months",F529/F488*12,""))</f>
        <v/>
      </c>
      <c r="I529" s="256" t="str">
        <f>IF(AND(H488="Days",I528="Days"),F529/F488*I527,IF(AND(H488="Months",I528="Months"),F529/F488*I527,IF(AND(H488="Days",I528="Months"),F529/F488*30.4375*I527,IF(AND(H488="Months",I528="Days"),F529/F488/30.4375*I527,""))))</f>
        <v/>
      </c>
      <c r="O529" s="21"/>
    </row>
    <row r="530" spans="1:19" s="26" customFormat="1" hidden="1" x14ac:dyDescent="0.25">
      <c r="A530" s="255" t="s">
        <v>78</v>
      </c>
      <c r="B530" s="464" t="str">
        <f>B499</f>
        <v>Wholesale Mark-up</v>
      </c>
      <c r="C530" s="464"/>
      <c r="D530" s="464"/>
      <c r="E530" s="464"/>
      <c r="F530" s="256">
        <f>SUMPRODUCT(F499:I499,F490:I490)</f>
        <v>0</v>
      </c>
      <c r="G530" s="256">
        <f>F530*G527</f>
        <v>0</v>
      </c>
      <c r="H530" s="256" t="str">
        <f>IF(H488="Days",F530/F488*365.25,IF(H488="Months",F530/F488*12,""))</f>
        <v/>
      </c>
      <c r="I530" s="256" t="str">
        <f>IF(AND(H488="Days",I528="Days"),F530/F488*I527,IF(AND(H488="Months",I528="Months"),F530/F488*I527,IF(AND(H488="Days",I528="Months"),F530/F488*30.4375*I527,IF(AND(H488="Months",I528="Days"),F530/F488/30.4375*I527,""))))</f>
        <v/>
      </c>
      <c r="O530" s="21"/>
    </row>
    <row r="531" spans="1:19" s="26" customFormat="1" hidden="1" x14ac:dyDescent="0.25">
      <c r="A531" s="255" t="s">
        <v>79</v>
      </c>
      <c r="B531" s="294" t="str">
        <f>B500</f>
        <v>Reimbursement Price</v>
      </c>
      <c r="C531" s="300"/>
      <c r="D531" s="301"/>
      <c r="E531" s="302"/>
      <c r="F531" s="256">
        <f>SUMPRODUCT(F500:I500,F490:I490)</f>
        <v>0</v>
      </c>
      <c r="G531" s="256">
        <f>F531*G527</f>
        <v>0</v>
      </c>
      <c r="H531" s="256" t="str">
        <f>IF(H488="Days",F531/F488*365.25,IF(H488="Months",F531/F488*12,""))</f>
        <v/>
      </c>
      <c r="I531" s="256" t="str">
        <f>IF(AND(H488="Days",I528="Days"),F531/F488*I527,IF(AND(H488="Months",I528="Months"),F531/F488*I527,IF(AND(H488="Days",I528="Months"),F531/F488*30.4375*I527,IF(AND(H488="Months",I528="Days"),F531/F488/30.4375*I527,""))))</f>
        <v/>
      </c>
      <c r="O531" s="21"/>
    </row>
    <row r="532" spans="1:19" s="26" customFormat="1" hidden="1" x14ac:dyDescent="0.25">
      <c r="A532" s="255" t="s">
        <v>80</v>
      </c>
      <c r="B532" s="495" t="str">
        <f>B501</f>
        <v>Framework Agreement Rebate</v>
      </c>
      <c r="C532" s="496"/>
      <c r="D532" s="496"/>
      <c r="E532" s="497"/>
      <c r="F532" s="256">
        <f>SUMPRODUCT(F501:I501,F490:I490)</f>
        <v>0</v>
      </c>
      <c r="G532" s="256">
        <f>F532*G527</f>
        <v>0</v>
      </c>
      <c r="H532" s="256" t="str">
        <f>IF(H488="Days",F532/F488*365.25,IF(H488="Months",F532/F488*12,""))</f>
        <v/>
      </c>
      <c r="I532" s="256" t="str">
        <f>IF(AND(H488="Days",I528="Days"),F532/F488*I527,IF(AND(H488="Months",I528="Months"),F532/F488*I527,IF(AND(H488="Days",I528="Months"),F532/F488*30.4375*I527,IF(AND(H488="Months",I528="Days"),F532/F488/30.4375*I527,""))))</f>
        <v/>
      </c>
      <c r="O532" s="21"/>
    </row>
    <row r="533" spans="1:19" s="26" customFormat="1" hidden="1" x14ac:dyDescent="0.25">
      <c r="A533" s="255" t="s">
        <v>81</v>
      </c>
      <c r="B533" s="495" t="str">
        <f>B502</f>
        <v xml:space="preserve">VAT on Drug Cost </v>
      </c>
      <c r="C533" s="496"/>
      <c r="D533" s="496"/>
      <c r="E533" s="497"/>
      <c r="F533" s="256">
        <f>SUMPRODUCT(F502:I502,F490:I490)</f>
        <v>0</v>
      </c>
      <c r="G533" s="256">
        <f>F533*G527</f>
        <v>0</v>
      </c>
      <c r="H533" s="256" t="str">
        <f>IF(H488="Days",F533/F488*365.25,IF(H488="Months",F533/F488*12,""))</f>
        <v/>
      </c>
      <c r="I533" s="256" t="str">
        <f>IF(AND(H488="Days",I528="Days"),F533/F488*I527,IF(AND(H488="Months",I528="Months"),F533/F488*I527,IF(AND(H488="Days",I528="Months"),F533/F488*30.4375*I527,IF(AND(H488="Months",I528="Days"),F533/F488/30.4375*I527,""))))</f>
        <v/>
      </c>
      <c r="O533" s="21"/>
    </row>
    <row r="534" spans="1:19" s="26" customFormat="1" hidden="1" x14ac:dyDescent="0.25">
      <c r="A534" s="255" t="s">
        <v>154</v>
      </c>
      <c r="B534" s="495" t="s">
        <v>155</v>
      </c>
      <c r="C534" s="496"/>
      <c r="D534" s="496"/>
      <c r="E534" s="497"/>
      <c r="F534" s="256" t="str">
        <f>IF(H520="","",H520)</f>
        <v/>
      </c>
      <c r="G534" s="256" t="str">
        <f>IF(F534="","",F534*G527)</f>
        <v/>
      </c>
      <c r="H534" s="256" t="str">
        <f>IF(F534="","",IF(H488="Days",F534/F488*365.25,IF(H488="Months",F534/F488*12,"")))</f>
        <v/>
      </c>
      <c r="I534" s="256" t="str">
        <f>IF(F534="","",IF(AND(H488="Days",I528="Days"),F534/F488*I527,IF(AND(H488="Months",I528="Months"),F534/F488*I527,IF(AND(H488="Days",I528="Months"),F534/F488*30.4375*I527,IF(AND(H488="Months",I528="Days"),F534/F488/30.4375*I527,"")))))</f>
        <v/>
      </c>
      <c r="O534" s="21"/>
    </row>
    <row r="535" spans="1:19" s="26" customFormat="1" hidden="1" x14ac:dyDescent="0.25">
      <c r="A535" s="255" t="s">
        <v>156</v>
      </c>
      <c r="B535" s="495" t="s">
        <v>157</v>
      </c>
      <c r="C535" s="496"/>
      <c r="D535" s="496"/>
      <c r="E535" s="497"/>
      <c r="F535" s="256" t="str">
        <f>IF(H521="","",H521)</f>
        <v/>
      </c>
      <c r="G535" s="256" t="str">
        <f>IF(F535="","",F535*G527)</f>
        <v/>
      </c>
      <c r="H535" s="256" t="str">
        <f>IF(F535="","",IF(H488="Days",F535/F488*365.25,IF(H488="Months",F535/F488*12,"")))</f>
        <v/>
      </c>
      <c r="I535" s="256" t="str">
        <f>IF(F535="","",IF(AND(H488="Days",I528="Days"),F535/F488*I527,IF(AND(H488="Months",I528="Months"),F535/F488*I527,IF(AND(H488="Days",I528="Months"),F535/F488*30.4375*I527,IF(AND(H488="Months",I528="Days"),F535/F488/30.4375*I527,"")))))</f>
        <v/>
      </c>
      <c r="O535" s="21"/>
    </row>
    <row r="536" spans="1:19" s="155" customFormat="1" hidden="1" x14ac:dyDescent="0.25">
      <c r="A536" s="186" t="s">
        <v>158</v>
      </c>
      <c r="B536" s="498" t="s">
        <v>159</v>
      </c>
      <c r="C536" s="499"/>
      <c r="D536" s="499"/>
      <c r="E536" s="500"/>
      <c r="F536" s="187">
        <f>SUM(F531:F534)</f>
        <v>0</v>
      </c>
      <c r="G536" s="187">
        <f t="shared" ref="G536:I536" si="35">SUM(G531:G534)</f>
        <v>0</v>
      </c>
      <c r="H536" s="187">
        <f t="shared" si="35"/>
        <v>0</v>
      </c>
      <c r="I536" s="187">
        <f t="shared" si="35"/>
        <v>0</v>
      </c>
      <c r="K536" s="98" t="s">
        <v>191</v>
      </c>
      <c r="O536" s="189"/>
    </row>
    <row r="537" spans="1:19" s="26" customFormat="1" ht="15.75" hidden="1" thickBot="1" x14ac:dyDescent="0.3">
      <c r="A537" s="257" t="s">
        <v>160</v>
      </c>
      <c r="B537" s="501" t="s">
        <v>161</v>
      </c>
      <c r="C537" s="502"/>
      <c r="D537" s="502"/>
      <c r="E537" s="503"/>
      <c r="F537" s="250">
        <f>IF(F535="",SUM(F531+F532),F531+F532+F535)</f>
        <v>0</v>
      </c>
      <c r="G537" s="250">
        <f t="shared" ref="G537" si="36">IF(G535="",SUM(G531+G532),G531+G532+G535)</f>
        <v>0</v>
      </c>
      <c r="H537" s="250" t="e">
        <f>IF(H535="",SUM(H531+H532),H531+H532+H535)</f>
        <v>#VALUE!</v>
      </c>
      <c r="I537" s="250" t="e">
        <f t="shared" ref="I537" si="37">IF(I535="",SUM(I531+I532),I531+I532+I535)</f>
        <v>#VALUE!</v>
      </c>
      <c r="K537" s="14" t="s">
        <v>192</v>
      </c>
      <c r="O537" s="21"/>
    </row>
    <row r="538" spans="1:19" s="26" customFormat="1" hidden="1" x14ac:dyDescent="0.25">
      <c r="B538" s="229"/>
      <c r="C538" s="66"/>
      <c r="D538" s="66"/>
      <c r="E538" s="66"/>
      <c r="O538" s="21"/>
    </row>
    <row r="539" spans="1:19" s="26" customFormat="1" hidden="1" x14ac:dyDescent="0.25"/>
    <row r="540" spans="1:19" s="26" customFormat="1" hidden="1" x14ac:dyDescent="0.25">
      <c r="B540" s="308" t="s">
        <v>101</v>
      </c>
      <c r="C540" s="308"/>
      <c r="D540" s="308"/>
      <c r="E540" s="308"/>
    </row>
    <row r="541" spans="1:19" s="26" customFormat="1" ht="15.75" hidden="1" customHeight="1" x14ac:dyDescent="0.25"/>
    <row r="542" spans="1:19" s="26" customFormat="1" hidden="1" x14ac:dyDescent="0.25">
      <c r="B542" s="234"/>
      <c r="C542" s="234"/>
      <c r="D542" s="234"/>
      <c r="E542" s="234"/>
      <c r="F542" s="234"/>
      <c r="G542" s="234"/>
      <c r="H542" s="234"/>
      <c r="I542" s="234"/>
      <c r="J542" s="234"/>
      <c r="K542" s="234"/>
      <c r="L542" s="234"/>
      <c r="M542" s="234"/>
      <c r="N542" s="234"/>
      <c r="O542" s="234"/>
      <c r="P542" s="234"/>
      <c r="Q542" s="234"/>
      <c r="R542" s="234"/>
      <c r="S542" s="234"/>
    </row>
    <row r="543" spans="1:19" s="26" customFormat="1" hidden="1" x14ac:dyDescent="0.25">
      <c r="B543" s="234"/>
      <c r="C543" s="234"/>
      <c r="D543" s="234"/>
      <c r="E543" s="234"/>
      <c r="F543" s="234"/>
      <c r="G543" s="234"/>
      <c r="H543" s="234"/>
      <c r="I543" s="234"/>
      <c r="J543" s="234"/>
      <c r="K543" s="234"/>
      <c r="L543" s="234"/>
      <c r="M543" s="234"/>
      <c r="N543" s="234"/>
      <c r="O543" s="234"/>
      <c r="P543" s="234"/>
      <c r="Q543" s="234"/>
      <c r="R543" s="234"/>
      <c r="S543" s="234"/>
    </row>
    <row r="544" spans="1:19" s="26" customFormat="1" hidden="1" x14ac:dyDescent="0.25">
      <c r="B544" s="234"/>
      <c r="C544" s="234"/>
      <c r="D544" s="234"/>
      <c r="E544" s="234"/>
      <c r="F544" s="234"/>
      <c r="G544" s="234"/>
      <c r="H544" s="234"/>
      <c r="I544" s="234"/>
      <c r="J544" s="234"/>
      <c r="K544" s="234"/>
      <c r="L544" s="234"/>
      <c r="M544" s="234"/>
      <c r="N544" s="234"/>
      <c r="O544" s="234"/>
      <c r="P544" s="234"/>
      <c r="Q544" s="234"/>
      <c r="R544" s="234"/>
      <c r="S544" s="234"/>
    </row>
    <row r="545" spans="2:22" s="26" customFormat="1" hidden="1" x14ac:dyDescent="0.25">
      <c r="B545" s="234"/>
      <c r="C545" s="234"/>
      <c r="D545" s="234"/>
      <c r="E545" s="234"/>
      <c r="F545" s="234"/>
      <c r="G545" s="234"/>
      <c r="H545" s="234"/>
      <c r="I545" s="234"/>
      <c r="J545" s="234"/>
      <c r="K545" s="234"/>
      <c r="L545" s="234"/>
      <c r="M545" s="234"/>
      <c r="N545" s="234"/>
      <c r="O545" s="234"/>
      <c r="P545" s="234"/>
      <c r="Q545" s="234"/>
      <c r="R545" s="234"/>
      <c r="S545" s="234"/>
    </row>
    <row r="546" spans="2:22" s="26" customFormat="1" hidden="1" x14ac:dyDescent="0.25">
      <c r="B546" s="234"/>
      <c r="C546" s="234"/>
      <c r="D546" s="234"/>
      <c r="E546" s="234"/>
      <c r="F546" s="234"/>
      <c r="G546" s="234"/>
      <c r="H546" s="234"/>
      <c r="I546" s="234"/>
      <c r="J546" s="234"/>
      <c r="K546" s="234"/>
      <c r="L546" s="234"/>
      <c r="M546" s="234"/>
      <c r="N546" s="234"/>
      <c r="O546" s="234"/>
      <c r="P546" s="234"/>
      <c r="Q546" s="234"/>
      <c r="R546" s="234"/>
      <c r="S546" s="234"/>
    </row>
    <row r="547" spans="2:22" s="26" customFormat="1" hidden="1" x14ac:dyDescent="0.25">
      <c r="B547" s="234"/>
      <c r="C547" s="234"/>
      <c r="D547" s="234"/>
      <c r="E547" s="234"/>
      <c r="F547" s="234"/>
      <c r="G547" s="234"/>
      <c r="H547" s="234"/>
      <c r="I547" s="234"/>
      <c r="J547" s="234"/>
      <c r="K547" s="234"/>
      <c r="L547" s="234"/>
      <c r="M547" s="234"/>
      <c r="N547" s="234"/>
      <c r="O547" s="234"/>
      <c r="P547" s="234"/>
      <c r="Q547" s="234"/>
      <c r="R547" s="234"/>
      <c r="S547" s="234"/>
    </row>
    <row r="548" spans="2:22" s="26" customFormat="1" hidden="1" x14ac:dyDescent="0.25">
      <c r="B548" s="234"/>
      <c r="C548" s="234"/>
      <c r="D548" s="234"/>
      <c r="E548" s="234"/>
      <c r="F548" s="234"/>
      <c r="G548" s="234"/>
      <c r="H548" s="234"/>
      <c r="I548" s="234"/>
      <c r="J548" s="234"/>
      <c r="K548" s="234"/>
      <c r="L548" s="234"/>
      <c r="M548" s="234"/>
      <c r="N548" s="234"/>
      <c r="O548" s="234"/>
      <c r="P548" s="234"/>
      <c r="Q548" s="234"/>
      <c r="R548" s="234"/>
      <c r="S548" s="234"/>
    </row>
    <row r="549" spans="2:22" s="26" customFormat="1" hidden="1" x14ac:dyDescent="0.25">
      <c r="B549" s="234"/>
      <c r="C549" s="234"/>
      <c r="D549" s="234"/>
      <c r="E549" s="234"/>
      <c r="F549" s="234"/>
      <c r="G549" s="234"/>
      <c r="H549" s="234"/>
      <c r="I549" s="234"/>
      <c r="J549" s="234"/>
      <c r="K549" s="234"/>
      <c r="L549" s="234"/>
      <c r="M549" s="234"/>
      <c r="N549" s="234"/>
      <c r="O549" s="234"/>
      <c r="P549" s="234"/>
      <c r="Q549" s="234"/>
      <c r="R549" s="234"/>
      <c r="S549" s="234"/>
    </row>
    <row r="550" spans="2:22" s="26" customFormat="1" hidden="1" x14ac:dyDescent="0.25">
      <c r="B550" s="234"/>
      <c r="C550" s="234"/>
      <c r="D550" s="234"/>
      <c r="E550" s="234"/>
      <c r="F550" s="234"/>
      <c r="G550" s="234"/>
      <c r="H550" s="234"/>
      <c r="I550" s="234"/>
      <c r="J550" s="234"/>
      <c r="K550" s="234"/>
      <c r="L550" s="234"/>
      <c r="M550" s="234"/>
      <c r="N550" s="234"/>
      <c r="O550" s="234"/>
      <c r="P550" s="234"/>
      <c r="Q550" s="234"/>
      <c r="R550" s="234"/>
      <c r="S550" s="234"/>
    </row>
    <row r="551" spans="2:22" s="26" customFormat="1" hidden="1" x14ac:dyDescent="0.25">
      <c r="B551" s="234"/>
      <c r="C551" s="234"/>
      <c r="D551" s="234"/>
      <c r="E551" s="234"/>
      <c r="F551" s="234"/>
      <c r="G551" s="234"/>
      <c r="H551" s="234"/>
      <c r="I551" s="234"/>
      <c r="J551" s="234"/>
      <c r="K551" s="234"/>
      <c r="L551" s="234"/>
      <c r="M551" s="234"/>
      <c r="N551" s="234"/>
      <c r="O551" s="234"/>
      <c r="P551" s="234"/>
      <c r="Q551" s="234"/>
      <c r="R551" s="234"/>
      <c r="S551" s="234"/>
    </row>
    <row r="552" spans="2:22" s="26" customFormat="1" hidden="1" x14ac:dyDescent="0.25"/>
    <row r="553" spans="2:22" s="26" customFormat="1" hidden="1" x14ac:dyDescent="0.25"/>
    <row r="554" spans="2:22" s="26" customFormat="1" ht="15.75" hidden="1" thickBot="1" x14ac:dyDescent="0.3"/>
    <row r="555" spans="2:22" s="26" customFormat="1" ht="15.75" hidden="1" thickBot="1" x14ac:dyDescent="0.3">
      <c r="B555" s="410" t="str">
        <f>CONCATENATE("Comparator 6: ",NameComparator6)</f>
        <v xml:space="preserve">Comparator 6: </v>
      </c>
      <c r="C555" s="411"/>
      <c r="D555" s="411"/>
      <c r="E555" s="411"/>
      <c r="F555" s="411"/>
      <c r="G555" s="412"/>
    </row>
    <row r="556" spans="2:22" s="26" customFormat="1" hidden="1" x14ac:dyDescent="0.25">
      <c r="B556" s="227"/>
      <c r="C556" s="227"/>
      <c r="D556" s="227"/>
      <c r="F556" s="303"/>
      <c r="G556" s="303"/>
      <c r="H556" s="303"/>
      <c r="I556" s="303"/>
      <c r="J556" s="303"/>
    </row>
    <row r="557" spans="2:22" s="26" customFormat="1" hidden="1" x14ac:dyDescent="0.25"/>
    <row r="558" spans="2:22" s="26" customFormat="1" ht="28.5" hidden="1" customHeight="1" thickBot="1" x14ac:dyDescent="0.3">
      <c r="B558" s="334" t="s">
        <v>118</v>
      </c>
      <c r="C558" s="334"/>
      <c r="D558" s="334"/>
      <c r="E558" s="334"/>
      <c r="K558" s="408" t="s">
        <v>209</v>
      </c>
      <c r="L558" s="408"/>
      <c r="M558" s="408"/>
      <c r="N558" s="408"/>
      <c r="O558" s="408"/>
      <c r="P558" s="225"/>
      <c r="Q558" s="225"/>
      <c r="R558" s="225"/>
      <c r="S558" s="225"/>
      <c r="T558" s="225"/>
      <c r="U558" s="225"/>
      <c r="V558" s="225"/>
    </row>
    <row r="559" spans="2:22" s="26" customFormat="1" ht="18.95" hidden="1" customHeight="1" thickBot="1" x14ac:dyDescent="0.3">
      <c r="B559" s="465" t="s">
        <v>119</v>
      </c>
      <c r="C559" s="466"/>
      <c r="D559" s="466"/>
      <c r="E559" s="466"/>
      <c r="F559" s="466"/>
      <c r="G559" s="466"/>
      <c r="H559" s="466"/>
      <c r="I559" s="467"/>
      <c r="K559" s="408"/>
      <c r="L559" s="408"/>
      <c r="M559" s="408"/>
      <c r="N559" s="408"/>
      <c r="O559" s="408"/>
      <c r="P559" s="225"/>
      <c r="Q559" s="225"/>
      <c r="R559" s="225"/>
      <c r="S559" s="225"/>
      <c r="T559" s="225"/>
      <c r="U559" s="225"/>
      <c r="V559" s="225"/>
    </row>
    <row r="560" spans="2:22" s="26" customFormat="1" ht="15.75" hidden="1" thickBot="1" x14ac:dyDescent="0.3">
      <c r="B560" s="295"/>
      <c r="C560" s="296"/>
      <c r="D560" s="296"/>
      <c r="E560" s="296"/>
      <c r="F560" s="466" t="s">
        <v>120</v>
      </c>
      <c r="G560" s="466"/>
      <c r="H560" s="466"/>
      <c r="I560" s="467"/>
      <c r="K560" s="14"/>
    </row>
    <row r="561" spans="1:22" s="26" customFormat="1" ht="15.75" hidden="1" thickBot="1" x14ac:dyDescent="0.3">
      <c r="B561" s="472" t="s">
        <v>174</v>
      </c>
      <c r="C561" s="473"/>
      <c r="D561" s="473"/>
      <c r="E561" s="474"/>
      <c r="F561" s="149"/>
      <c r="G561" s="149"/>
      <c r="H561" s="149"/>
      <c r="I561" s="149"/>
      <c r="K561" s="14" t="s">
        <v>180</v>
      </c>
    </row>
    <row r="562" spans="1:22" s="26" customFormat="1" ht="30" hidden="1" customHeight="1" thickBot="1" x14ac:dyDescent="0.3">
      <c r="B562" s="472" t="s">
        <v>106</v>
      </c>
      <c r="C562" s="473"/>
      <c r="D562" s="473"/>
      <c r="E562" s="474"/>
      <c r="F562" s="235"/>
      <c r="G562" s="235"/>
      <c r="H562" s="235"/>
      <c r="I562" s="235"/>
      <c r="J562" s="26" t="s">
        <v>104</v>
      </c>
      <c r="K562" s="408" t="s">
        <v>181</v>
      </c>
      <c r="L562" s="408"/>
      <c r="M562" s="408"/>
      <c r="N562" s="408"/>
      <c r="O562" s="408"/>
      <c r="P562" s="21"/>
      <c r="Q562" s="21"/>
      <c r="R562" s="21"/>
      <c r="S562" s="21"/>
      <c r="T562" s="21"/>
    </row>
    <row r="563" spans="1:22" s="26" customFormat="1" ht="15.75" hidden="1" thickBot="1" x14ac:dyDescent="0.3">
      <c r="A563" s="14"/>
      <c r="B563" s="472" t="s">
        <v>107</v>
      </c>
      <c r="C563" s="473"/>
      <c r="D563" s="473"/>
      <c r="E563" s="474"/>
      <c r="F563" s="151"/>
      <c r="G563" s="151"/>
      <c r="H563" s="151"/>
      <c r="I563" s="151"/>
      <c r="J563" s="236"/>
      <c r="K563" s="110" t="s">
        <v>182</v>
      </c>
      <c r="N563" s="21"/>
      <c r="O563" s="21"/>
      <c r="P563" s="21"/>
      <c r="Q563" s="21"/>
      <c r="R563" s="21"/>
      <c r="S563" s="21"/>
      <c r="T563" s="21"/>
    </row>
    <row r="564" spans="1:22" s="26" customFormat="1" ht="15.75" hidden="1" thickBot="1" x14ac:dyDescent="0.3">
      <c r="A564" s="15"/>
      <c r="B564" s="472" t="s">
        <v>108</v>
      </c>
      <c r="C564" s="473"/>
      <c r="D564" s="473"/>
      <c r="E564" s="474"/>
      <c r="F564" s="489"/>
      <c r="G564" s="490"/>
      <c r="H564" s="490"/>
      <c r="I564" s="491"/>
      <c r="J564" s="237" t="s">
        <v>104</v>
      </c>
      <c r="K564" s="110" t="s">
        <v>210</v>
      </c>
    </row>
    <row r="565" spans="1:22" s="26" customFormat="1" ht="15.75" hidden="1" thickBot="1" x14ac:dyDescent="0.3">
      <c r="A565" s="15"/>
      <c r="B565" s="472" t="s">
        <v>74</v>
      </c>
      <c r="C565" s="473"/>
      <c r="D565" s="473"/>
      <c r="E565" s="474"/>
      <c r="F565" s="492"/>
      <c r="G565" s="493"/>
      <c r="H565" s="493"/>
      <c r="I565" s="494"/>
      <c r="J565" s="237" t="s">
        <v>104</v>
      </c>
      <c r="K565" s="110" t="s">
        <v>184</v>
      </c>
    </row>
    <row r="566" spans="1:22" s="26" customFormat="1" ht="15.75" hidden="1" thickBot="1" x14ac:dyDescent="0.3">
      <c r="B566" s="472" t="s">
        <v>75</v>
      </c>
      <c r="C566" s="473"/>
      <c r="D566" s="473"/>
      <c r="E566" s="474"/>
      <c r="F566" s="492"/>
      <c r="G566" s="493"/>
      <c r="H566" s="493"/>
      <c r="I566" s="494"/>
      <c r="J566" s="26" t="s">
        <v>104</v>
      </c>
      <c r="K566" s="110" t="s">
        <v>185</v>
      </c>
    </row>
    <row r="567" spans="1:22" s="26" customFormat="1" ht="15.75" hidden="1" thickBot="1" x14ac:dyDescent="0.3">
      <c r="B567" s="472" t="s">
        <v>76</v>
      </c>
      <c r="C567" s="473"/>
      <c r="D567" s="473"/>
      <c r="E567" s="474"/>
      <c r="F567" s="492"/>
      <c r="G567" s="493"/>
      <c r="H567" s="493"/>
      <c r="I567" s="494"/>
      <c r="J567" s="237" t="s">
        <v>104</v>
      </c>
      <c r="K567" s="110" t="s">
        <v>216</v>
      </c>
    </row>
    <row r="568" spans="1:22" s="26" customFormat="1" ht="15.75" hidden="1" thickBot="1" x14ac:dyDescent="0.3">
      <c r="B568" s="472" t="s">
        <v>172</v>
      </c>
      <c r="C568" s="473"/>
      <c r="D568" s="473"/>
      <c r="E568" s="474"/>
      <c r="F568" s="492"/>
      <c r="G568" s="493"/>
      <c r="H568" s="493"/>
      <c r="I568" s="494"/>
      <c r="J568" s="237" t="s">
        <v>104</v>
      </c>
      <c r="K568" s="110" t="s">
        <v>217</v>
      </c>
    </row>
    <row r="569" spans="1:22" s="26" customFormat="1" ht="15.75" hidden="1" thickBot="1" x14ac:dyDescent="0.3">
      <c r="B569" s="472" t="s">
        <v>173</v>
      </c>
      <c r="C569" s="473"/>
      <c r="D569" s="473"/>
      <c r="E569" s="474"/>
      <c r="F569" s="492"/>
      <c r="G569" s="493"/>
      <c r="H569" s="493"/>
      <c r="I569" s="494"/>
      <c r="J569" s="237" t="s">
        <v>104</v>
      </c>
      <c r="K569" s="110" t="s">
        <v>218</v>
      </c>
    </row>
    <row r="570" spans="1:22" s="26" customFormat="1" ht="30" hidden="1" customHeight="1" x14ac:dyDescent="0.25">
      <c r="B570" s="112"/>
      <c r="C570" s="112"/>
      <c r="D570" s="112"/>
      <c r="E570" s="303"/>
      <c r="F570" s="303"/>
      <c r="G570" s="238"/>
      <c r="H570" s="303"/>
      <c r="I570" s="303"/>
      <c r="J570" s="239"/>
      <c r="K570" s="110"/>
    </row>
    <row r="571" spans="1:22" s="26" customFormat="1" ht="15.75" hidden="1" thickBot="1" x14ac:dyDescent="0.3">
      <c r="B571" s="334" t="s">
        <v>171</v>
      </c>
      <c r="C571" s="334"/>
      <c r="D571" s="334"/>
      <c r="E571" s="334"/>
      <c r="F571" s="303"/>
      <c r="G571" s="303"/>
      <c r="H571" s="303"/>
      <c r="I571" s="303"/>
      <c r="J571" s="239"/>
      <c r="K571" s="404" t="s">
        <v>195</v>
      </c>
      <c r="L571" s="404"/>
      <c r="M571" s="404"/>
      <c r="N571" s="404"/>
      <c r="O571" s="404"/>
      <c r="P571" s="292"/>
      <c r="Q571" s="292"/>
      <c r="R571" s="292"/>
      <c r="S571" s="292"/>
      <c r="T571" s="292"/>
      <c r="U571" s="292"/>
      <c r="V571" s="292"/>
    </row>
    <row r="572" spans="1:22" s="26" customFormat="1" ht="29.1" hidden="1" customHeight="1" thickBot="1" x14ac:dyDescent="0.3">
      <c r="B572" s="465" t="s">
        <v>121</v>
      </c>
      <c r="C572" s="466"/>
      <c r="D572" s="466"/>
      <c r="E572" s="466"/>
      <c r="F572" s="466"/>
      <c r="G572" s="466"/>
      <c r="H572" s="466"/>
      <c r="I572" s="467"/>
      <c r="J572" s="239"/>
      <c r="K572" s="404"/>
      <c r="L572" s="404"/>
      <c r="M572" s="404"/>
      <c r="N572" s="404"/>
      <c r="O572" s="404"/>
      <c r="P572" s="292"/>
      <c r="Q572" s="292"/>
      <c r="R572" s="292"/>
      <c r="S572" s="292"/>
      <c r="T572" s="292"/>
      <c r="U572" s="292"/>
      <c r="V572" s="292"/>
    </row>
    <row r="573" spans="1:22" s="26" customFormat="1" ht="30" hidden="1" customHeight="1" thickBot="1" x14ac:dyDescent="0.3">
      <c r="B573" s="472" t="s">
        <v>122</v>
      </c>
      <c r="C573" s="473"/>
      <c r="D573" s="473"/>
      <c r="E573" s="474"/>
      <c r="F573" s="468"/>
      <c r="G573" s="469"/>
      <c r="H573" s="470"/>
      <c r="I573" s="471"/>
      <c r="J573" s="239"/>
      <c r="K573" s="408" t="s">
        <v>186</v>
      </c>
      <c r="L573" s="408"/>
      <c r="M573" s="408"/>
      <c r="N573" s="408"/>
      <c r="O573" s="408"/>
    </row>
    <row r="574" spans="1:22" s="26" customFormat="1" ht="23.1" hidden="1" customHeight="1" thickBot="1" x14ac:dyDescent="0.3">
      <c r="B574" s="472" t="str">
        <f>B561</f>
        <v>Pack Identification</v>
      </c>
      <c r="C574" s="473"/>
      <c r="D574" s="473"/>
      <c r="E574" s="474"/>
      <c r="F574" s="192" t="str">
        <f>IF(ISBLANK(F561),"",F561)</f>
        <v/>
      </c>
      <c r="G574" s="192" t="str">
        <f t="shared" ref="G574:I574" si="38">IF(ISBLANK(G561),"",G561)</f>
        <v/>
      </c>
      <c r="H574" s="192" t="str">
        <f t="shared" si="38"/>
        <v/>
      </c>
      <c r="I574" s="192" t="str">
        <f t="shared" si="38"/>
        <v/>
      </c>
      <c r="J574" s="239"/>
      <c r="K574" s="408"/>
      <c r="L574" s="408"/>
      <c r="M574" s="408"/>
      <c r="N574" s="408"/>
      <c r="O574" s="408"/>
    </row>
    <row r="575" spans="1:22" s="26" customFormat="1" ht="15.75" hidden="1" thickBot="1" x14ac:dyDescent="0.3">
      <c r="B575" s="512" t="s">
        <v>123</v>
      </c>
      <c r="C575" s="513"/>
      <c r="D575" s="513"/>
      <c r="E575" s="514"/>
      <c r="F575" s="145"/>
      <c r="G575" s="154"/>
      <c r="H575" s="154"/>
      <c r="I575" s="154"/>
      <c r="J575" s="239"/>
      <c r="K575" s="408" t="s">
        <v>187</v>
      </c>
      <c r="L575" s="408"/>
      <c r="M575" s="408"/>
      <c r="N575" s="408"/>
      <c r="O575" s="408"/>
    </row>
    <row r="576" spans="1:22" s="26" customFormat="1" ht="75.75" hidden="1" customHeight="1" x14ac:dyDescent="0.25">
      <c r="B576" s="304"/>
      <c r="C576" s="304"/>
      <c r="D576" s="304"/>
      <c r="E576" s="304"/>
      <c r="F576" s="303"/>
      <c r="G576" s="303"/>
      <c r="H576" s="303"/>
      <c r="I576" s="303"/>
      <c r="J576" s="239"/>
      <c r="K576" s="408"/>
      <c r="L576" s="408"/>
      <c r="M576" s="408"/>
      <c r="N576" s="408"/>
      <c r="O576" s="408"/>
    </row>
    <row r="577" spans="1:15" s="26" customFormat="1" hidden="1" x14ac:dyDescent="0.25">
      <c r="B577" s="511"/>
      <c r="C577" s="511"/>
      <c r="D577" s="511"/>
      <c r="E577" s="511"/>
      <c r="K577" s="408"/>
      <c r="L577" s="408"/>
      <c r="M577" s="408"/>
      <c r="N577" s="408"/>
      <c r="O577" s="408"/>
    </row>
    <row r="578" spans="1:15" s="26" customFormat="1" hidden="1" x14ac:dyDescent="0.25">
      <c r="B578" s="303"/>
      <c r="C578" s="303"/>
      <c r="D578" s="303"/>
      <c r="E578" s="303"/>
      <c r="O578" s="21"/>
    </row>
    <row r="579" spans="1:15" s="26" customFormat="1" hidden="1" x14ac:dyDescent="0.25">
      <c r="A579" s="155"/>
      <c r="B579" s="308" t="s">
        <v>124</v>
      </c>
      <c r="C579" s="290"/>
      <c r="D579" s="66"/>
      <c r="E579" s="66"/>
      <c r="F579" s="390"/>
      <c r="G579" s="390"/>
      <c r="H579" s="390"/>
      <c r="I579" s="390"/>
      <c r="O579" s="21"/>
    </row>
    <row r="580" spans="1:15" s="26" customFormat="1" hidden="1" x14ac:dyDescent="0.25">
      <c r="A580" s="14" t="s">
        <v>125</v>
      </c>
      <c r="B580" s="290"/>
      <c r="C580" s="290"/>
      <c r="D580" s="66"/>
      <c r="E580" s="66"/>
      <c r="F580" s="290"/>
      <c r="G580" s="290"/>
      <c r="H580" s="290"/>
      <c r="I580" s="290"/>
      <c r="O580" s="21"/>
    </row>
    <row r="581" spans="1:15" s="26" customFormat="1" ht="15.75" hidden="1" thickBot="1" x14ac:dyDescent="0.3">
      <c r="B581" s="66"/>
      <c r="C581" s="66"/>
      <c r="D581" s="66"/>
      <c r="E581" s="66"/>
      <c r="F581" s="390" t="s">
        <v>126</v>
      </c>
      <c r="G581" s="390"/>
      <c r="H581" s="390"/>
      <c r="I581" s="390"/>
      <c r="O581" s="21"/>
    </row>
    <row r="582" spans="1:15" s="26" customFormat="1" ht="15.75" hidden="1" thickBot="1" x14ac:dyDescent="0.3">
      <c r="B582" s="66"/>
      <c r="C582" s="66"/>
      <c r="D582" s="66"/>
      <c r="E582" s="66"/>
      <c r="F582" s="156" t="str">
        <f>IF(F561="","",F561)</f>
        <v/>
      </c>
      <c r="G582" s="156" t="str">
        <f>IF(G561="","",G561)</f>
        <v/>
      </c>
      <c r="H582" s="156" t="str">
        <f>IF(H561="","",H561)</f>
        <v/>
      </c>
      <c r="I582" s="156" t="str">
        <f>IF(I561="","",I561)</f>
        <v/>
      </c>
      <c r="O582" s="21"/>
    </row>
    <row r="583" spans="1:15" s="26" customFormat="1" hidden="1" x14ac:dyDescent="0.25">
      <c r="A583" s="91" t="s">
        <v>77</v>
      </c>
      <c r="B583" s="475" t="s">
        <v>82</v>
      </c>
      <c r="C583" s="476"/>
      <c r="D583" s="476"/>
      <c r="E583" s="240"/>
      <c r="F583" s="241" t="str">
        <f>IF(OR(F562="",F563="",F564=""),"",IF(F562="Price to Wholesaler",F563,IF(F562="Reimbursement Price",(F585/(1+E584)*1),"Error")))</f>
        <v/>
      </c>
      <c r="G583" s="241" t="str">
        <f>IF(OR(G562="",G563="",F564=""),"",IF(G562="Price to Wholesaler",G563,IF(G562="Reimbursement Price",(G585/(1+E584)*1),"Error")))</f>
        <v/>
      </c>
      <c r="H583" s="241" t="str">
        <f>IF(OR(H562="",H563="",F564=""),"",IF(H562="Price to Wholesaler",H563,IF(H562="Reimbursement Price",(H585/(1+E584)*1),"Error")))</f>
        <v/>
      </c>
      <c r="I583" s="241" t="str">
        <f>IF(OR(I562="",I563="",F564=""),"",IF(I562="Price to Wholesaler",I563,IF(I562="Reimbursement Price",(I585/(1+E584)*1),"Error")))</f>
        <v/>
      </c>
      <c r="O583" s="21"/>
    </row>
    <row r="584" spans="1:15" s="26" customFormat="1" hidden="1" x14ac:dyDescent="0.25">
      <c r="A584" s="297" t="s">
        <v>78</v>
      </c>
      <c r="B584" s="477" t="s">
        <v>83</v>
      </c>
      <c r="C584" s="478"/>
      <c r="D584" s="478"/>
      <c r="E584" s="93" t="str">
        <f>IF(OR(F564=""),"",IF(AND(F564="CDS",F565="Yes"),CYF,IF(AND(F564="CDS",F565="No"),CNF,IF(F564="HT",CHT,IF(F564="Hosp",CHO,"Error")))))</f>
        <v/>
      </c>
      <c r="F584" s="242" t="str">
        <f>IF(OR(F564="",F563="",F562=""),"",F583*E584)</f>
        <v/>
      </c>
      <c r="G584" s="242" t="str">
        <f>IF(OR(F564="",G563="",G562=""),"",G583*E584)</f>
        <v/>
      </c>
      <c r="H584" s="242" t="str">
        <f>IF(OR(F564="",H563="",H562=""),"",H583*E584)</f>
        <v/>
      </c>
      <c r="I584" s="242" t="str">
        <f>IF(OR(F564="",I563="",I562=""),"",I583*E584)</f>
        <v/>
      </c>
      <c r="O584" s="21"/>
    </row>
    <row r="585" spans="1:15" s="26" customFormat="1" hidden="1" x14ac:dyDescent="0.25">
      <c r="A585" s="297" t="s">
        <v>79</v>
      </c>
      <c r="B585" s="477" t="str">
        <f>IF(F564="Hosp","Hospital Price", "Reimbursement Price")</f>
        <v>Reimbursement Price</v>
      </c>
      <c r="C585" s="478"/>
      <c r="D585" s="478"/>
      <c r="E585" s="243" t="str">
        <f>IF(F562="Price to Wholesaler","A+B","")</f>
        <v/>
      </c>
      <c r="F585" s="242" t="str">
        <f>IF(F562="Reimbursement Price",F563,IF(ISBLANK(E584),"",IF(F562="Price to Wholesaler",(F583+F584),IF(F562="","","Error"))))</f>
        <v/>
      </c>
      <c r="G585" s="242" t="str">
        <f>IF(G562="Reimbursement Price",G563,IF(ISBLANK(E584),"",IF(G562="Price to Wholesaler",(G583+G584),IF(G562="","","Error"))))</f>
        <v/>
      </c>
      <c r="H585" s="242" t="str">
        <f>IF(H562="Reimbursement Price",H563,IF(ISBLANK(E584),"",IF(H562="Price to Wholesaler",(H583+H584),IF(H562="","","Error"))))</f>
        <v/>
      </c>
      <c r="I585" s="242" t="str">
        <f>IF(I562="Reimbursement Price",I563,IF(ISBLANK(E584),"",IF(I562="Price to Wholesaler",(I583+I584),IF(I562="","","Error"))))</f>
        <v/>
      </c>
      <c r="O585" s="21"/>
    </row>
    <row r="586" spans="1:15" s="26" customFormat="1" hidden="1" x14ac:dyDescent="0.25">
      <c r="A586" s="297" t="s">
        <v>80</v>
      </c>
      <c r="B586" s="477" t="s">
        <v>214</v>
      </c>
      <c r="C586" s="478"/>
      <c r="D586" s="478"/>
      <c r="E586" s="268" t="str">
        <f>IF(OR(F567="",AND(F567="Yes",F568=""),AND(F567="No",F569="")),"",IF(AND(F567="No",F569="Patented Exclusive or Off Patent Exclusive and subject to clause 10 of Framework Agreement"),MR,IF(AND(F567="No",F569="Off Patent Non-Exclusive or Generic"),"None",IF(AND(F567="Yes",F568="Biosimilar"),"None",IF(AND(F567="Yes",F568="Patented or Off Patent Exclusive"),MR,IF(AND(F567="Yes",F568="Off Patent Non-Exclusive 12.5% Rebate incorporated into Price to Wholesaler"),"None",IF(AND(F567="Yes",F568="Off Patent Non-Exclusive 12.5% Rebate"),MRB,"Error")))))))</f>
        <v/>
      </c>
      <c r="F586" s="242" t="str">
        <f>IF(OR(F567="",AND(F567="Yes",F568=""),AND(F567="No",F569=""),F562="",ISBLANK(F563)),"",IF(E586="None",0,(E586*F583)))</f>
        <v/>
      </c>
      <c r="G586" s="242" t="str">
        <f>IF(OR(F567="",AND(F567="Yes",F568=""),AND(F567="No",F569=""),G562="",ISBLANK(G563)),"",IF(E586="None",0,(E586*G583)))</f>
        <v/>
      </c>
      <c r="H586" s="242" t="str">
        <f>IF(OR(F567="",AND(F567="Yes",F568=""),AND(F567="No",F569=""),H562="",ISBLANK(H563)),"",IF(E586="None",0,(E586*H583)))</f>
        <v/>
      </c>
      <c r="I586" s="242" t="str">
        <f>IF(OR(F567="",AND(F567="Yes",F568=""),AND(F567="No",F569=""),I562="",ISBLANK(I563)),"",IF(E586="None",0,(E586*I583)))</f>
        <v/>
      </c>
      <c r="O586" s="21"/>
    </row>
    <row r="587" spans="1:15" s="26" customFormat="1" ht="15.75" hidden="1" thickBot="1" x14ac:dyDescent="0.3">
      <c r="A587" s="298" t="s">
        <v>81</v>
      </c>
      <c r="B587" s="479" t="s">
        <v>94</v>
      </c>
      <c r="C587" s="480"/>
      <c r="D587" s="480"/>
      <c r="E587" s="160" t="str">
        <f>IF(F566="","",IF(F566="Yes",0,VT))</f>
        <v/>
      </c>
      <c r="F587" s="244" t="str">
        <f>IF(OR($B566="",F563="",ISBLANK(F563)),"",($E587*F585))</f>
        <v/>
      </c>
      <c r="G587" s="244" t="str">
        <f t="shared" ref="G587:I587" si="39">IF(OR($B566="",G563="",ISBLANK(G563)),"",($E587*G585))</f>
        <v/>
      </c>
      <c r="H587" s="244" t="str">
        <f t="shared" si="39"/>
        <v/>
      </c>
      <c r="I587" s="244" t="str">
        <f t="shared" si="39"/>
        <v/>
      </c>
      <c r="O587" s="21"/>
    </row>
    <row r="588" spans="1:15" s="26" customFormat="1" ht="15.75" hidden="1" thickBot="1" x14ac:dyDescent="0.3">
      <c r="A588" s="299" t="s">
        <v>127</v>
      </c>
      <c r="B588" s="481" t="s">
        <v>128</v>
      </c>
      <c r="C588" s="481"/>
      <c r="D588" s="481"/>
      <c r="E588" s="299"/>
      <c r="F588" s="245" t="str">
        <f>IF(OR(F562="",$F564="",$F566="",$F567=""),"",SUM(F585:F587))</f>
        <v/>
      </c>
      <c r="G588" s="245" t="str">
        <f t="shared" ref="G588:I588" si="40">IF(OR(G562="",$F564="",$F566="",$F567=""),"",SUM(G585:G587))</f>
        <v/>
      </c>
      <c r="H588" s="245" t="str">
        <f t="shared" si="40"/>
        <v/>
      </c>
      <c r="I588" s="245" t="str">
        <f t="shared" si="40"/>
        <v/>
      </c>
      <c r="O588" s="21"/>
    </row>
    <row r="589" spans="1:15" s="26" customFormat="1" ht="15.75" hidden="1" thickBot="1" x14ac:dyDescent="0.3">
      <c r="A589" s="299" t="s">
        <v>129</v>
      </c>
      <c r="B589" s="482" t="s">
        <v>130</v>
      </c>
      <c r="C589" s="482"/>
      <c r="D589" s="482"/>
      <c r="E589" s="245"/>
      <c r="F589" s="245" t="str">
        <f>IF(OR(F562="",$F564="",$F566="",$F567=""),"",SUM(F585:F586))</f>
        <v/>
      </c>
      <c r="G589" s="245" t="str">
        <f t="shared" ref="G589:I589" si="41">IF(OR(G562="",$F564="",$F566="",$F567=""),"",SUM(G585:G586))</f>
        <v/>
      </c>
      <c r="H589" s="245" t="str">
        <f t="shared" si="41"/>
        <v/>
      </c>
      <c r="I589" s="245" t="str">
        <f t="shared" si="41"/>
        <v/>
      </c>
      <c r="O589" s="21"/>
    </row>
    <row r="590" spans="1:15" s="26" customFormat="1" hidden="1" x14ac:dyDescent="0.25">
      <c r="B590" s="66"/>
      <c r="C590" s="66"/>
      <c r="D590" s="66"/>
      <c r="E590" s="66"/>
      <c r="K590" s="26" t="s">
        <v>131</v>
      </c>
      <c r="O590" s="21"/>
    </row>
    <row r="591" spans="1:15" s="26" customFormat="1" hidden="1" x14ac:dyDescent="0.25">
      <c r="A591" s="155" t="s">
        <v>132</v>
      </c>
      <c r="B591" s="66"/>
      <c r="C591" s="66"/>
      <c r="D591" s="66"/>
      <c r="E591" s="66"/>
      <c r="F591" s="246"/>
      <c r="G591" s="246"/>
      <c r="H591" s="246"/>
      <c r="I591" s="246"/>
      <c r="O591" s="21"/>
    </row>
    <row r="592" spans="1:15" s="26" customFormat="1" hidden="1" x14ac:dyDescent="0.25">
      <c r="A592" s="125"/>
      <c r="B592" s="125" t="s">
        <v>133</v>
      </c>
      <c r="C592" s="125"/>
      <c r="D592" s="125"/>
      <c r="E592" s="125"/>
      <c r="F592" s="125"/>
      <c r="G592" s="125"/>
      <c r="H592" s="125"/>
      <c r="O592" s="21"/>
    </row>
    <row r="593" spans="1:20" s="26" customFormat="1" hidden="1" x14ac:dyDescent="0.25">
      <c r="B593" s="21" t="s">
        <v>134</v>
      </c>
      <c r="C593" s="229"/>
      <c r="D593" s="229"/>
      <c r="E593" s="66"/>
      <c r="O593" s="21"/>
    </row>
    <row r="594" spans="1:20" s="26" customFormat="1" ht="15.75" hidden="1" thickBot="1" x14ac:dyDescent="0.3">
      <c r="B594" s="165"/>
      <c r="C594" s="229"/>
      <c r="D594" s="229"/>
      <c r="E594" s="66"/>
      <c r="O594" s="21"/>
    </row>
    <row r="595" spans="1:20" s="26" customFormat="1" ht="15.75" hidden="1" thickBot="1" x14ac:dyDescent="0.3">
      <c r="B595" s="230"/>
      <c r="C595" s="66"/>
      <c r="D595" s="66"/>
      <c r="E595" s="66"/>
      <c r="G595" s="293" t="s">
        <v>135</v>
      </c>
      <c r="H595" s="293" t="s">
        <v>136</v>
      </c>
      <c r="O595" s="21"/>
    </row>
    <row r="596" spans="1:20" s="26" customFormat="1" hidden="1" x14ac:dyDescent="0.25">
      <c r="B596" s="483" t="s">
        <v>137</v>
      </c>
      <c r="C596" s="484"/>
      <c r="D596" s="484"/>
      <c r="E596" s="484"/>
      <c r="F596" s="485"/>
      <c r="G596" s="247" t="str">
        <f>IF(F564="","",IF(F564="CDS","per dispensing",IF(F564="HT","per month",IF(F564="Hosp","No Fee", ERROR))))</f>
        <v/>
      </c>
      <c r="H596" s="248" t="str">
        <f>IF(F564="","",IF(F564="CDS",DF,IF(F564="HT",PC,IF(F564="Hosp","No Fee",ERROR))))</f>
        <v/>
      </c>
      <c r="I596" s="26" t="s">
        <v>138</v>
      </c>
      <c r="O596" s="21"/>
    </row>
    <row r="597" spans="1:20" s="26" customFormat="1" ht="15.75" hidden="1" thickBot="1" x14ac:dyDescent="0.3">
      <c r="B597" s="486" t="s">
        <v>92</v>
      </c>
      <c r="C597" s="487"/>
      <c r="D597" s="487"/>
      <c r="E597" s="487"/>
      <c r="F597" s="488"/>
      <c r="G597" s="249" t="str">
        <f>IF(OR(F564="",F566=""),"",IF(F564="Hosp","No Fee",IF(F564="HT","No VAT",IF(AND(F564="CDS",F566="No"),VT,"No VAT"))))</f>
        <v/>
      </c>
      <c r="H597" s="250" t="str">
        <f>IF(OR(F566="",F564="Hosp"),"",IF(OR(F566="Yes",F564="HT"),0,H596*G597))</f>
        <v/>
      </c>
      <c r="O597" s="21"/>
    </row>
    <row r="598" spans="1:20" s="26" customFormat="1" hidden="1" x14ac:dyDescent="0.25">
      <c r="B598" s="230"/>
      <c r="C598" s="66"/>
      <c r="D598" s="66"/>
      <c r="E598" s="66"/>
      <c r="O598" s="21"/>
    </row>
    <row r="599" spans="1:20" s="26" customFormat="1" hidden="1" x14ac:dyDescent="0.25">
      <c r="B599" s="230"/>
      <c r="C599" s="66"/>
      <c r="D599" s="66"/>
      <c r="E599" s="66"/>
      <c r="O599" s="21"/>
    </row>
    <row r="600" spans="1:20" s="26" customFormat="1" ht="33.950000000000003" hidden="1" customHeight="1" thickBot="1" x14ac:dyDescent="0.3">
      <c r="A600" s="165" t="s">
        <v>193</v>
      </c>
      <c r="B600" s="230"/>
      <c r="C600" s="66"/>
      <c r="D600" s="66"/>
      <c r="E600" s="66"/>
      <c r="K600" s="408" t="s">
        <v>197</v>
      </c>
      <c r="L600" s="408"/>
      <c r="M600" s="408"/>
      <c r="N600" s="408"/>
      <c r="O600" s="408"/>
      <c r="P600" s="195"/>
      <c r="Q600" s="195"/>
      <c r="R600" s="195"/>
      <c r="S600" s="195"/>
      <c r="T600" s="195"/>
    </row>
    <row r="601" spans="1:20" s="26" customFormat="1" ht="17.100000000000001" hidden="1" customHeight="1" thickBot="1" x14ac:dyDescent="0.3">
      <c r="A601" s="14" t="s">
        <v>194</v>
      </c>
      <c r="B601" s="230"/>
      <c r="C601" s="66"/>
      <c r="D601" s="66"/>
      <c r="E601" s="66"/>
      <c r="G601" s="293" t="s">
        <v>101</v>
      </c>
      <c r="H601" s="293" t="s">
        <v>136</v>
      </c>
      <c r="K601" s="408" t="str">
        <f>IF(F564="HT","For High tech, if a treatment cycle =28 days the corresponding pharmacy fee is =62.03*12/365.25*28.  The pharmacy fee remains the same regardless of the number of products dispensed that month.",IF(F564="CDS","For CDS, if 2 packets of the same pack presentation are required per treatment cycle, one dispensing fee applies (€5.48). If multiple pack presentations are required, multiple dispensing fees apply",""))</f>
        <v/>
      </c>
      <c r="L601" s="408"/>
      <c r="M601" s="408"/>
      <c r="N601" s="408"/>
      <c r="O601" s="408"/>
      <c r="P601" s="195"/>
      <c r="Q601" s="195"/>
      <c r="R601" s="195"/>
      <c r="S601" s="195"/>
      <c r="T601" s="195"/>
    </row>
    <row r="602" spans="1:20" s="26" customFormat="1" ht="16.5" hidden="1" customHeight="1" x14ac:dyDescent="0.25">
      <c r="A602" s="170" t="s">
        <v>139</v>
      </c>
      <c r="B602" s="504" t="s">
        <v>140</v>
      </c>
      <c r="C602" s="504"/>
      <c r="D602" s="504"/>
      <c r="E602" s="504"/>
      <c r="F602" s="504"/>
      <c r="G602" s="251"/>
      <c r="H602" s="252"/>
      <c r="K602" s="408"/>
      <c r="L602" s="408"/>
      <c r="M602" s="408"/>
      <c r="N602" s="408"/>
      <c r="O602" s="408"/>
      <c r="P602" s="195"/>
      <c r="Q602" s="195"/>
      <c r="R602" s="195"/>
      <c r="S602" s="195"/>
      <c r="T602" s="195"/>
    </row>
    <row r="603" spans="1:20" s="26" customFormat="1" hidden="1" x14ac:dyDescent="0.25">
      <c r="A603" s="173" t="s">
        <v>141</v>
      </c>
      <c r="B603" s="505" t="s">
        <v>142</v>
      </c>
      <c r="C603" s="505"/>
      <c r="D603" s="505"/>
      <c r="E603" s="505"/>
      <c r="F603" s="505"/>
      <c r="G603" s="253"/>
      <c r="H603" s="254"/>
      <c r="K603" s="14" t="s">
        <v>188</v>
      </c>
      <c r="O603" s="21"/>
    </row>
    <row r="604" spans="1:20" s="26" customFormat="1" hidden="1" x14ac:dyDescent="0.25">
      <c r="A604" s="173" t="s">
        <v>143</v>
      </c>
      <c r="B604" s="505" t="s">
        <v>144</v>
      </c>
      <c r="C604" s="505"/>
      <c r="D604" s="505"/>
      <c r="E604" s="505"/>
      <c r="F604" s="505"/>
      <c r="G604" s="253"/>
      <c r="H604" s="254"/>
      <c r="K604" s="14" t="s">
        <v>189</v>
      </c>
      <c r="O604" s="21"/>
    </row>
    <row r="605" spans="1:20" s="26" customFormat="1" hidden="1" x14ac:dyDescent="0.25">
      <c r="A605" s="173" t="s">
        <v>145</v>
      </c>
      <c r="B605" s="505" t="s">
        <v>146</v>
      </c>
      <c r="C605" s="505"/>
      <c r="D605" s="505"/>
      <c r="E605" s="505"/>
      <c r="F605" s="505"/>
      <c r="G605" s="255"/>
      <c r="H605" s="256" t="str">
        <f>IF(ISBLANK(H602),"",SUM(H602:H604))</f>
        <v/>
      </c>
      <c r="O605" s="21"/>
    </row>
    <row r="606" spans="1:20" s="26" customFormat="1" ht="15.75" hidden="1" thickBot="1" x14ac:dyDescent="0.3">
      <c r="A606" s="178" t="s">
        <v>147</v>
      </c>
      <c r="B606" s="515" t="s">
        <v>196</v>
      </c>
      <c r="C606" s="515"/>
      <c r="D606" s="515"/>
      <c r="E606" s="515"/>
      <c r="F606" s="515"/>
      <c r="G606" s="257"/>
      <c r="H606" s="250" t="str">
        <f>IF(ISBLANK(H602),"",SUM(H602:H603))</f>
        <v/>
      </c>
      <c r="O606" s="21"/>
    </row>
    <row r="607" spans="1:20" s="26" customFormat="1" hidden="1" x14ac:dyDescent="0.25">
      <c r="B607" s="66"/>
      <c r="C607" s="66"/>
      <c r="D607" s="66"/>
      <c r="E607" s="66"/>
      <c r="O607" s="21"/>
    </row>
    <row r="608" spans="1:20" s="26" customFormat="1" hidden="1" x14ac:dyDescent="0.25">
      <c r="B608" s="66"/>
      <c r="C608" s="66"/>
      <c r="D608" s="66"/>
      <c r="E608" s="66"/>
      <c r="O608" s="21"/>
    </row>
    <row r="609" spans="1:15" s="26" customFormat="1" hidden="1" x14ac:dyDescent="0.25">
      <c r="A609" s="155" t="s">
        <v>148</v>
      </c>
      <c r="B609" s="66"/>
      <c r="C609" s="66"/>
      <c r="D609" s="66"/>
      <c r="E609" s="66"/>
      <c r="O609" s="21"/>
    </row>
    <row r="610" spans="1:15" s="26" customFormat="1" ht="15.75" hidden="1" thickBot="1" x14ac:dyDescent="0.3">
      <c r="B610" s="66"/>
      <c r="C610" s="66"/>
      <c r="D610" s="66"/>
      <c r="E610" s="66"/>
      <c r="O610" s="21"/>
    </row>
    <row r="611" spans="1:15" s="26" customFormat="1" ht="29.1" hidden="1" customHeight="1" x14ac:dyDescent="0.25">
      <c r="A611" s="65"/>
      <c r="B611" s="303"/>
      <c r="C611" s="303"/>
      <c r="D611" s="303"/>
      <c r="E611" s="303"/>
      <c r="F611" s="506" t="s">
        <v>149</v>
      </c>
      <c r="G611" s="180" t="s">
        <v>150</v>
      </c>
      <c r="H611" s="508" t="s">
        <v>151</v>
      </c>
      <c r="I611" s="180" t="s">
        <v>152</v>
      </c>
      <c r="J611" s="66"/>
      <c r="K611" s="408" t="s">
        <v>190</v>
      </c>
      <c r="L611" s="408"/>
      <c r="M611" s="408"/>
      <c r="N611" s="408"/>
      <c r="O611" s="408"/>
    </row>
    <row r="612" spans="1:15" s="26" customFormat="1" hidden="1" x14ac:dyDescent="0.25">
      <c r="A612" s="65"/>
      <c r="B612" s="303"/>
      <c r="C612" s="303"/>
      <c r="D612" s="303"/>
      <c r="E612" s="303"/>
      <c r="F612" s="507"/>
      <c r="G612" s="253"/>
      <c r="H612" s="509"/>
      <c r="I612" s="182"/>
      <c r="J612" s="66"/>
      <c r="K612" s="408"/>
      <c r="L612" s="408"/>
      <c r="M612" s="408"/>
      <c r="N612" s="408"/>
      <c r="O612" s="408"/>
    </row>
    <row r="613" spans="1:15" s="26" customFormat="1" ht="15.75" hidden="1" thickBot="1" x14ac:dyDescent="0.3">
      <c r="A613" s="65"/>
      <c r="B613" s="303"/>
      <c r="C613" s="303"/>
      <c r="D613" s="303"/>
      <c r="E613" s="303"/>
      <c r="F613" s="507"/>
      <c r="G613" s="183" t="s">
        <v>153</v>
      </c>
      <c r="H613" s="510"/>
      <c r="I613" s="184"/>
      <c r="J613" s="66"/>
      <c r="K613" s="408"/>
      <c r="L613" s="408"/>
      <c r="M613" s="408"/>
      <c r="N613" s="408"/>
      <c r="O613" s="408"/>
    </row>
    <row r="614" spans="1:15" s="26" customFormat="1" hidden="1" x14ac:dyDescent="0.25">
      <c r="A614" s="247" t="s">
        <v>77</v>
      </c>
      <c r="B614" s="463" t="str">
        <f>B583</f>
        <v>Price to Wholesaler</v>
      </c>
      <c r="C614" s="463"/>
      <c r="D614" s="463"/>
      <c r="E614" s="463"/>
      <c r="F614" s="256">
        <f>SUMPRODUCT(F583:I583,F575:I575)</f>
        <v>0</v>
      </c>
      <c r="G614" s="256">
        <f>F614*G612</f>
        <v>0</v>
      </c>
      <c r="H614" s="256" t="str">
        <f>IF(H573="Days",F614/F573*365.25,IF(H573="Months",F614/F573*12,""))</f>
        <v/>
      </c>
      <c r="I614" s="256" t="str">
        <f>IF(AND(H573="Days",I613="Days"),F614/F573*I612,IF(AND(H573="Months",I613="Months"),F614/F573*I612,IF(AND(H573="Days",I613="Months"),F614/F573*30.4375*I612,IF(AND(H573="Months",I613="Days"),F614/F573/30.4375*I612,""))))</f>
        <v/>
      </c>
      <c r="O614" s="21"/>
    </row>
    <row r="615" spans="1:15" s="26" customFormat="1" hidden="1" x14ac:dyDescent="0.25">
      <c r="A615" s="255" t="s">
        <v>78</v>
      </c>
      <c r="B615" s="464" t="str">
        <f>B584</f>
        <v>Wholesale Mark-up</v>
      </c>
      <c r="C615" s="464"/>
      <c r="D615" s="464"/>
      <c r="E615" s="464"/>
      <c r="F615" s="256">
        <f>SUMPRODUCT(F584:I584,F575:I575)</f>
        <v>0</v>
      </c>
      <c r="G615" s="256">
        <f>F615*G612</f>
        <v>0</v>
      </c>
      <c r="H615" s="256" t="str">
        <f>IF(H573="Days",F615/F573*365.25,IF(H573="Months",F615/F573*12,""))</f>
        <v/>
      </c>
      <c r="I615" s="256" t="str">
        <f>IF(AND(H573="Days",I613="Days"),F615/F573*I612,IF(AND(H573="Months",I613="Months"),F615/F573*I612,IF(AND(H573="Days",I613="Months"),F615/F573*30.4375*I612,IF(AND(H573="Months",I613="Days"),F615/F573/30.4375*I612,""))))</f>
        <v/>
      </c>
      <c r="O615" s="21"/>
    </row>
    <row r="616" spans="1:15" s="26" customFormat="1" hidden="1" x14ac:dyDescent="0.25">
      <c r="A616" s="255" t="s">
        <v>79</v>
      </c>
      <c r="B616" s="294" t="str">
        <f>B585</f>
        <v>Reimbursement Price</v>
      </c>
      <c r="C616" s="300"/>
      <c r="D616" s="301"/>
      <c r="E616" s="302"/>
      <c r="F616" s="256">
        <f>SUMPRODUCT(F585:I585,F575:I575)</f>
        <v>0</v>
      </c>
      <c r="G616" s="256">
        <f>F616*G612</f>
        <v>0</v>
      </c>
      <c r="H616" s="256" t="str">
        <f>IF(H573="Days",F616/F573*365.25,IF(H573="Months",F616/F573*12,""))</f>
        <v/>
      </c>
      <c r="I616" s="256" t="str">
        <f>IF(AND(H573="Days",I613="Days"),F616/F573*I612,IF(AND(H573="Months",I613="Months"),F616/F573*I612,IF(AND(H573="Days",I613="Months"),F616/F573*30.4375*I612,IF(AND(H573="Months",I613="Days"),F616/F573/30.4375*I612,""))))</f>
        <v/>
      </c>
      <c r="O616" s="21"/>
    </row>
    <row r="617" spans="1:15" s="26" customFormat="1" hidden="1" x14ac:dyDescent="0.25">
      <c r="A617" s="255" t="s">
        <v>80</v>
      </c>
      <c r="B617" s="495" t="str">
        <f>B586</f>
        <v>Framework Agreement Rebate</v>
      </c>
      <c r="C617" s="496"/>
      <c r="D617" s="496"/>
      <c r="E617" s="497"/>
      <c r="F617" s="256">
        <f>SUMPRODUCT(F586:I586,F575:I575)</f>
        <v>0</v>
      </c>
      <c r="G617" s="256">
        <f>F617*G612</f>
        <v>0</v>
      </c>
      <c r="H617" s="256" t="str">
        <f>IF(H573="Days",F617/F573*365.25,IF(H573="Months",F617/F573*12,""))</f>
        <v/>
      </c>
      <c r="I617" s="256" t="str">
        <f>IF(AND(H573="Days",I613="Days"),F617/F573*I612,IF(AND(H573="Months",I613="Months"),F617/F573*I612,IF(AND(H573="Days",I613="Months"),F617/F573*30.4375*I612,IF(AND(H573="Months",I613="Days"),F617/F573/30.4375*I612,""))))</f>
        <v/>
      </c>
      <c r="O617" s="21"/>
    </row>
    <row r="618" spans="1:15" s="26" customFormat="1" hidden="1" x14ac:dyDescent="0.25">
      <c r="A618" s="255" t="s">
        <v>81</v>
      </c>
      <c r="B618" s="495" t="str">
        <f>B587</f>
        <v xml:space="preserve">VAT on Drug Cost </v>
      </c>
      <c r="C618" s="496"/>
      <c r="D618" s="496"/>
      <c r="E618" s="497"/>
      <c r="F618" s="256">
        <f>SUMPRODUCT(F587:I587,F575:I575)</f>
        <v>0</v>
      </c>
      <c r="G618" s="256">
        <f>F618*G612</f>
        <v>0</v>
      </c>
      <c r="H618" s="256" t="str">
        <f>IF(H573="Days",F618/F573*365.25,IF(H573="Months",F618/F573*12,""))</f>
        <v/>
      </c>
      <c r="I618" s="256" t="str">
        <f>IF(AND(H573="Days",I613="Days"),F618/F573*I612,IF(AND(H573="Months",I613="Months"),F618/F573*I612,IF(AND(H573="Days",I613="Months"),F618/F573*30.4375*I612,IF(AND(H573="Months",I613="Days"),F618/F573/30.4375*I612,""))))</f>
        <v/>
      </c>
      <c r="O618" s="21"/>
    </row>
    <row r="619" spans="1:15" s="26" customFormat="1" hidden="1" x14ac:dyDescent="0.25">
      <c r="A619" s="255" t="s">
        <v>154</v>
      </c>
      <c r="B619" s="495" t="s">
        <v>155</v>
      </c>
      <c r="C619" s="496"/>
      <c r="D619" s="496"/>
      <c r="E619" s="497"/>
      <c r="F619" s="256" t="str">
        <f>IF(H605="","",H605)</f>
        <v/>
      </c>
      <c r="G619" s="256" t="str">
        <f>IF(F619="","",F619*G612)</f>
        <v/>
      </c>
      <c r="H619" s="256" t="str">
        <f>IF(F619="","",IF(H573="Days",F619/F573*365.25,IF(H573="Months",F619/F573*12,"")))</f>
        <v/>
      </c>
      <c r="I619" s="256" t="str">
        <f>IF(F619="","",IF(AND(H573="Days",I613="Days"),F619/F573*I612,IF(AND(H573="Months",I613="Months"),F619/F573*I612,IF(AND(H573="Days",I613="Months"),F619/F573*30.4375*I612,IF(AND(H573="Months",I613="Days"),F619/F573/30.4375*I612,"")))))</f>
        <v/>
      </c>
      <c r="O619" s="21"/>
    </row>
    <row r="620" spans="1:15" s="26" customFormat="1" hidden="1" x14ac:dyDescent="0.25">
      <c r="A620" s="255" t="s">
        <v>156</v>
      </c>
      <c r="B620" s="495" t="s">
        <v>157</v>
      </c>
      <c r="C620" s="496"/>
      <c r="D620" s="496"/>
      <c r="E620" s="497"/>
      <c r="F620" s="256" t="str">
        <f>IF(H606="","",H606)</f>
        <v/>
      </c>
      <c r="G620" s="256" t="str">
        <f>IF(F620="","",F620*G612)</f>
        <v/>
      </c>
      <c r="H620" s="256" t="str">
        <f>IF(F620="","",IF(H573="Days",F620/F573*365.25,IF(H573="Months",F620/F573*12,"")))</f>
        <v/>
      </c>
      <c r="I620" s="256" t="str">
        <f>IF(F620="","",IF(AND(H573="Days",I613="Days"),F620/F573*I612,IF(AND(H573="Months",I613="Months"),F620/F573*I612,IF(AND(H573="Days",I613="Months"),F620/F573*30.4375*I612,IF(AND(H573="Months",I613="Days"),F620/F573/30.4375*I612,"")))))</f>
        <v/>
      </c>
      <c r="O620" s="21"/>
    </row>
    <row r="621" spans="1:15" s="155" customFormat="1" hidden="1" x14ac:dyDescent="0.25">
      <c r="A621" s="186" t="s">
        <v>158</v>
      </c>
      <c r="B621" s="498" t="s">
        <v>159</v>
      </c>
      <c r="C621" s="499"/>
      <c r="D621" s="499"/>
      <c r="E621" s="500"/>
      <c r="F621" s="187">
        <f>SUM(F616:F619)</f>
        <v>0</v>
      </c>
      <c r="G621" s="187">
        <f t="shared" ref="G621:I621" si="42">SUM(G616:G619)</f>
        <v>0</v>
      </c>
      <c r="H621" s="187">
        <f t="shared" si="42"/>
        <v>0</v>
      </c>
      <c r="I621" s="187">
        <f t="shared" si="42"/>
        <v>0</v>
      </c>
      <c r="K621" s="98" t="s">
        <v>191</v>
      </c>
      <c r="O621" s="189"/>
    </row>
    <row r="622" spans="1:15" s="26" customFormat="1" ht="15.75" hidden="1" thickBot="1" x14ac:dyDescent="0.3">
      <c r="A622" s="257" t="s">
        <v>160</v>
      </c>
      <c r="B622" s="501" t="s">
        <v>161</v>
      </c>
      <c r="C622" s="502"/>
      <c r="D622" s="502"/>
      <c r="E622" s="503"/>
      <c r="F622" s="250">
        <f>IF(F620="",SUM(F616+F617),F616+F617+F620)</f>
        <v>0</v>
      </c>
      <c r="G622" s="250">
        <f t="shared" ref="G622" si="43">IF(G620="",SUM(G616+G617),G616+G617+G620)</f>
        <v>0</v>
      </c>
      <c r="H622" s="250" t="e">
        <f>IF(H620="",SUM(H616+H617),H616+H617+H620)</f>
        <v>#VALUE!</v>
      </c>
      <c r="I622" s="250" t="e">
        <f t="shared" ref="I622" si="44">IF(I620="",SUM(I616+I617),I616+I617+I620)</f>
        <v>#VALUE!</v>
      </c>
      <c r="K622" s="14" t="s">
        <v>192</v>
      </c>
      <c r="O622" s="21"/>
    </row>
    <row r="623" spans="1:15" s="26" customFormat="1" hidden="1" x14ac:dyDescent="0.25">
      <c r="B623" s="229"/>
      <c r="C623" s="66"/>
      <c r="D623" s="66"/>
      <c r="E623" s="66"/>
      <c r="O623" s="21"/>
    </row>
    <row r="624" spans="1:15" s="26" customFormat="1" hidden="1" x14ac:dyDescent="0.25"/>
    <row r="625" spans="2:19" s="26" customFormat="1" hidden="1" x14ac:dyDescent="0.25">
      <c r="B625" s="308" t="s">
        <v>101</v>
      </c>
      <c r="C625" s="308"/>
      <c r="D625" s="308"/>
      <c r="E625" s="308"/>
    </row>
    <row r="626" spans="2:19" s="26" customFormat="1" ht="15.75" hidden="1" customHeight="1" x14ac:dyDescent="0.25"/>
    <row r="627" spans="2:19" s="26" customFormat="1" hidden="1" x14ac:dyDescent="0.25">
      <c r="B627" s="234"/>
      <c r="C627" s="234"/>
      <c r="D627" s="234"/>
      <c r="E627" s="234"/>
      <c r="F627" s="234"/>
      <c r="G627" s="234"/>
      <c r="H627" s="234"/>
      <c r="I627" s="234"/>
      <c r="J627" s="234"/>
      <c r="K627" s="234"/>
      <c r="L627" s="234"/>
      <c r="M627" s="234"/>
      <c r="N627" s="234"/>
      <c r="O627" s="234"/>
      <c r="P627" s="234"/>
      <c r="Q627" s="234"/>
      <c r="R627" s="234"/>
      <c r="S627" s="234"/>
    </row>
    <row r="628" spans="2:19" s="26" customFormat="1" hidden="1" x14ac:dyDescent="0.25">
      <c r="B628" s="234"/>
      <c r="C628" s="234"/>
      <c r="D628" s="234"/>
      <c r="E628" s="234"/>
      <c r="F628" s="234"/>
      <c r="G628" s="234"/>
      <c r="H628" s="234"/>
      <c r="I628" s="234"/>
      <c r="J628" s="234"/>
      <c r="K628" s="234"/>
      <c r="L628" s="234"/>
      <c r="M628" s="234"/>
      <c r="N628" s="234"/>
      <c r="O628" s="234"/>
      <c r="P628" s="234"/>
      <c r="Q628" s="234"/>
      <c r="R628" s="234"/>
      <c r="S628" s="234"/>
    </row>
    <row r="629" spans="2:19" s="26" customFormat="1" hidden="1" x14ac:dyDescent="0.25">
      <c r="B629" s="234"/>
      <c r="C629" s="234"/>
      <c r="D629" s="234"/>
      <c r="E629" s="234"/>
      <c r="F629" s="234"/>
      <c r="G629" s="234"/>
      <c r="H629" s="234"/>
      <c r="I629" s="234"/>
      <c r="J629" s="234"/>
      <c r="K629" s="234"/>
      <c r="L629" s="234"/>
      <c r="M629" s="234"/>
      <c r="N629" s="234"/>
      <c r="O629" s="234"/>
      <c r="P629" s="234"/>
      <c r="Q629" s="234"/>
      <c r="R629" s="234"/>
      <c r="S629" s="234"/>
    </row>
    <row r="630" spans="2:19" s="26" customFormat="1" hidden="1" x14ac:dyDescent="0.25">
      <c r="B630" s="234"/>
      <c r="C630" s="234"/>
      <c r="D630" s="234"/>
      <c r="E630" s="234"/>
      <c r="F630" s="234"/>
      <c r="G630" s="234"/>
      <c r="H630" s="234"/>
      <c r="I630" s="234"/>
      <c r="J630" s="234"/>
      <c r="K630" s="234"/>
      <c r="L630" s="234"/>
      <c r="M630" s="234"/>
      <c r="N630" s="234"/>
      <c r="O630" s="234"/>
      <c r="P630" s="234"/>
      <c r="Q630" s="234"/>
      <c r="R630" s="234"/>
      <c r="S630" s="234"/>
    </row>
    <row r="631" spans="2:19" s="26" customFormat="1" hidden="1" x14ac:dyDescent="0.25">
      <c r="B631" s="234"/>
      <c r="C631" s="234"/>
      <c r="D631" s="234"/>
      <c r="E631" s="234"/>
      <c r="F631" s="234"/>
      <c r="G631" s="234"/>
      <c r="H631" s="234"/>
      <c r="I631" s="234"/>
      <c r="J631" s="234"/>
      <c r="K631" s="234"/>
      <c r="L631" s="234"/>
      <c r="M631" s="234"/>
      <c r="N631" s="234"/>
      <c r="O631" s="234"/>
      <c r="P631" s="234"/>
      <c r="Q631" s="234"/>
      <c r="R631" s="234"/>
      <c r="S631" s="234"/>
    </row>
    <row r="632" spans="2:19" s="26" customFormat="1" hidden="1" x14ac:dyDescent="0.25">
      <c r="B632" s="234"/>
      <c r="C632" s="234"/>
      <c r="D632" s="234"/>
      <c r="E632" s="234"/>
      <c r="F632" s="234"/>
      <c r="G632" s="234"/>
      <c r="H632" s="234"/>
      <c r="I632" s="234"/>
      <c r="J632" s="234"/>
      <c r="K632" s="234"/>
      <c r="L632" s="234"/>
      <c r="M632" s="234"/>
      <c r="N632" s="234"/>
      <c r="O632" s="234"/>
      <c r="P632" s="234"/>
      <c r="Q632" s="234"/>
      <c r="R632" s="234"/>
      <c r="S632" s="234"/>
    </row>
    <row r="633" spans="2:19" s="26" customFormat="1" hidden="1" x14ac:dyDescent="0.25">
      <c r="B633" s="234"/>
      <c r="C633" s="234"/>
      <c r="D633" s="234"/>
      <c r="E633" s="234"/>
      <c r="F633" s="234"/>
      <c r="G633" s="234"/>
      <c r="H633" s="234"/>
      <c r="I633" s="234"/>
      <c r="J633" s="234"/>
      <c r="K633" s="234"/>
      <c r="L633" s="234"/>
      <c r="M633" s="234"/>
      <c r="N633" s="234"/>
      <c r="O633" s="234"/>
      <c r="P633" s="234"/>
      <c r="Q633" s="234"/>
      <c r="R633" s="234"/>
      <c r="S633" s="234"/>
    </row>
    <row r="634" spans="2:19" s="26" customFormat="1" hidden="1" x14ac:dyDescent="0.25">
      <c r="B634" s="234"/>
      <c r="C634" s="234"/>
      <c r="D634" s="234"/>
      <c r="E634" s="234"/>
      <c r="F634" s="234"/>
      <c r="G634" s="234"/>
      <c r="H634" s="234"/>
      <c r="I634" s="234"/>
      <c r="J634" s="234"/>
      <c r="K634" s="234"/>
      <c r="L634" s="234"/>
      <c r="M634" s="234"/>
      <c r="N634" s="234"/>
      <c r="O634" s="234"/>
      <c r="P634" s="234"/>
      <c r="Q634" s="234"/>
      <c r="R634" s="234"/>
      <c r="S634" s="234"/>
    </row>
    <row r="635" spans="2:19" s="26" customFormat="1" hidden="1" x14ac:dyDescent="0.25">
      <c r="B635" s="234"/>
      <c r="C635" s="234"/>
      <c r="D635" s="234"/>
      <c r="E635" s="234"/>
      <c r="F635" s="234"/>
      <c r="G635" s="234"/>
      <c r="H635" s="234"/>
      <c r="I635" s="234"/>
      <c r="J635" s="234"/>
      <c r="K635" s="234"/>
      <c r="L635" s="234"/>
      <c r="M635" s="234"/>
      <c r="N635" s="234"/>
      <c r="O635" s="234"/>
      <c r="P635" s="234"/>
      <c r="Q635" s="234"/>
      <c r="R635" s="234"/>
      <c r="S635" s="234"/>
    </row>
    <row r="636" spans="2:19" s="26" customFormat="1" hidden="1" x14ac:dyDescent="0.25">
      <c r="B636" s="234"/>
      <c r="C636" s="234"/>
      <c r="D636" s="234"/>
      <c r="E636" s="234"/>
      <c r="F636" s="234"/>
      <c r="G636" s="234"/>
      <c r="H636" s="234"/>
      <c r="I636" s="234"/>
      <c r="J636" s="234"/>
      <c r="K636" s="234"/>
      <c r="L636" s="234"/>
      <c r="M636" s="234"/>
      <c r="N636" s="234"/>
      <c r="O636" s="234"/>
      <c r="P636" s="234"/>
      <c r="Q636" s="234"/>
      <c r="R636" s="234"/>
      <c r="S636" s="234"/>
    </row>
    <row r="637" spans="2:19" s="26" customFormat="1" hidden="1" x14ac:dyDescent="0.25"/>
    <row r="638" spans="2:19" s="26" customFormat="1" hidden="1" x14ac:dyDescent="0.25"/>
    <row r="639" spans="2:19" s="26" customFormat="1" ht="15.75" hidden="1" thickBot="1" x14ac:dyDescent="0.3"/>
    <row r="640" spans="2:19" s="26" customFormat="1" ht="15.75" hidden="1" thickBot="1" x14ac:dyDescent="0.3">
      <c r="B640" s="410" t="str">
        <f>CONCATENATE("Comparator 7: ",NameComparator7)</f>
        <v xml:space="preserve">Comparator 7: </v>
      </c>
      <c r="C640" s="411"/>
      <c r="D640" s="411"/>
      <c r="E640" s="411"/>
      <c r="F640" s="411"/>
      <c r="G640" s="412"/>
    </row>
    <row r="641" spans="1:22" s="26" customFormat="1" hidden="1" x14ac:dyDescent="0.25">
      <c r="B641" s="227"/>
      <c r="C641" s="227"/>
      <c r="D641" s="227"/>
      <c r="F641" s="303"/>
      <c r="G641" s="303"/>
      <c r="H641" s="303"/>
      <c r="I641" s="303"/>
      <c r="J641" s="303"/>
    </row>
    <row r="642" spans="1:22" s="26" customFormat="1" hidden="1" x14ac:dyDescent="0.25"/>
    <row r="643" spans="1:22" s="26" customFormat="1" ht="28.5" hidden="1" customHeight="1" thickBot="1" x14ac:dyDescent="0.3">
      <c r="B643" s="334" t="s">
        <v>118</v>
      </c>
      <c r="C643" s="334"/>
      <c r="D643" s="334"/>
      <c r="E643" s="334"/>
      <c r="K643" s="408" t="s">
        <v>209</v>
      </c>
      <c r="L643" s="408"/>
      <c r="M643" s="408"/>
      <c r="N643" s="408"/>
      <c r="O643" s="408"/>
      <c r="P643" s="225"/>
      <c r="Q643" s="225"/>
      <c r="R643" s="225"/>
      <c r="S643" s="225"/>
      <c r="T643" s="225"/>
      <c r="U643" s="225"/>
      <c r="V643" s="225"/>
    </row>
    <row r="644" spans="1:22" s="26" customFormat="1" ht="18.95" hidden="1" customHeight="1" thickBot="1" x14ac:dyDescent="0.3">
      <c r="B644" s="465" t="s">
        <v>119</v>
      </c>
      <c r="C644" s="466"/>
      <c r="D644" s="466"/>
      <c r="E644" s="466"/>
      <c r="F644" s="466"/>
      <c r="G644" s="466"/>
      <c r="H644" s="466"/>
      <c r="I644" s="467"/>
      <c r="K644" s="408"/>
      <c r="L644" s="408"/>
      <c r="M644" s="408"/>
      <c r="N644" s="408"/>
      <c r="O644" s="408"/>
      <c r="P644" s="225"/>
      <c r="Q644" s="225"/>
      <c r="R644" s="225"/>
      <c r="S644" s="225"/>
      <c r="T644" s="225"/>
      <c r="U644" s="225"/>
      <c r="V644" s="225"/>
    </row>
    <row r="645" spans="1:22" s="26" customFormat="1" ht="15.75" hidden="1" thickBot="1" x14ac:dyDescent="0.3">
      <c r="B645" s="295"/>
      <c r="C645" s="296"/>
      <c r="D645" s="296"/>
      <c r="E645" s="296"/>
      <c r="F645" s="466" t="s">
        <v>120</v>
      </c>
      <c r="G645" s="466"/>
      <c r="H645" s="466"/>
      <c r="I645" s="467"/>
      <c r="K645" s="14"/>
    </row>
    <row r="646" spans="1:22" s="26" customFormat="1" ht="15.75" hidden="1" thickBot="1" x14ac:dyDescent="0.3">
      <c r="B646" s="472" t="s">
        <v>174</v>
      </c>
      <c r="C646" s="473"/>
      <c r="D646" s="473"/>
      <c r="E646" s="474"/>
      <c r="F646" s="149"/>
      <c r="G646" s="149"/>
      <c r="H646" s="149"/>
      <c r="I646" s="149"/>
      <c r="K646" s="14" t="s">
        <v>180</v>
      </c>
    </row>
    <row r="647" spans="1:22" s="26" customFormat="1" ht="30" hidden="1" customHeight="1" thickBot="1" x14ac:dyDescent="0.3">
      <c r="B647" s="472" t="s">
        <v>106</v>
      </c>
      <c r="C647" s="473"/>
      <c r="D647" s="473"/>
      <c r="E647" s="474"/>
      <c r="F647" s="235"/>
      <c r="G647" s="235"/>
      <c r="H647" s="235"/>
      <c r="I647" s="235"/>
      <c r="J647" s="26" t="s">
        <v>104</v>
      </c>
      <c r="K647" s="408" t="s">
        <v>181</v>
      </c>
      <c r="L647" s="408"/>
      <c r="M647" s="408"/>
      <c r="N647" s="408"/>
      <c r="O647" s="408"/>
      <c r="P647" s="21"/>
      <c r="Q647" s="21"/>
      <c r="R647" s="21"/>
      <c r="S647" s="21"/>
      <c r="T647" s="21"/>
    </row>
    <row r="648" spans="1:22" s="26" customFormat="1" ht="15.75" hidden="1" thickBot="1" x14ac:dyDescent="0.3">
      <c r="A648" s="14"/>
      <c r="B648" s="472" t="s">
        <v>107</v>
      </c>
      <c r="C648" s="473"/>
      <c r="D648" s="473"/>
      <c r="E648" s="474"/>
      <c r="F648" s="151"/>
      <c r="G648" s="151"/>
      <c r="H648" s="151"/>
      <c r="I648" s="151"/>
      <c r="J648" s="236"/>
      <c r="K648" s="110" t="s">
        <v>182</v>
      </c>
      <c r="N648" s="21"/>
      <c r="O648" s="21"/>
      <c r="P648" s="21"/>
      <c r="Q648" s="21"/>
      <c r="R648" s="21"/>
      <c r="S648" s="21"/>
      <c r="T648" s="21"/>
    </row>
    <row r="649" spans="1:22" s="26" customFormat="1" ht="15.75" hidden="1" thickBot="1" x14ac:dyDescent="0.3">
      <c r="A649" s="15"/>
      <c r="B649" s="472" t="s">
        <v>108</v>
      </c>
      <c r="C649" s="473"/>
      <c r="D649" s="473"/>
      <c r="E649" s="474"/>
      <c r="F649" s="489"/>
      <c r="G649" s="490"/>
      <c r="H649" s="490"/>
      <c r="I649" s="491"/>
      <c r="J649" s="237" t="s">
        <v>104</v>
      </c>
      <c r="K649" s="110" t="s">
        <v>210</v>
      </c>
    </row>
    <row r="650" spans="1:22" s="26" customFormat="1" ht="15.75" hidden="1" thickBot="1" x14ac:dyDescent="0.3">
      <c r="A650" s="15"/>
      <c r="B650" s="472" t="s">
        <v>74</v>
      </c>
      <c r="C650" s="473"/>
      <c r="D650" s="473"/>
      <c r="E650" s="474"/>
      <c r="F650" s="492"/>
      <c r="G650" s="493"/>
      <c r="H650" s="493"/>
      <c r="I650" s="494"/>
      <c r="J650" s="237" t="s">
        <v>104</v>
      </c>
      <c r="K650" s="110" t="s">
        <v>184</v>
      </c>
    </row>
    <row r="651" spans="1:22" s="26" customFormat="1" ht="15.75" hidden="1" thickBot="1" x14ac:dyDescent="0.3">
      <c r="B651" s="472" t="s">
        <v>75</v>
      </c>
      <c r="C651" s="473"/>
      <c r="D651" s="473"/>
      <c r="E651" s="474"/>
      <c r="F651" s="492"/>
      <c r="G651" s="493"/>
      <c r="H651" s="493"/>
      <c r="I651" s="494"/>
      <c r="J651" s="26" t="s">
        <v>104</v>
      </c>
      <c r="K651" s="110" t="s">
        <v>185</v>
      </c>
    </row>
    <row r="652" spans="1:22" s="26" customFormat="1" ht="15.75" hidden="1" thickBot="1" x14ac:dyDescent="0.3">
      <c r="B652" s="472" t="s">
        <v>76</v>
      </c>
      <c r="C652" s="473"/>
      <c r="D652" s="473"/>
      <c r="E652" s="474"/>
      <c r="F652" s="492"/>
      <c r="G652" s="493"/>
      <c r="H652" s="493"/>
      <c r="I652" s="494"/>
      <c r="J652" s="237" t="s">
        <v>104</v>
      </c>
      <c r="K652" s="110" t="s">
        <v>219</v>
      </c>
    </row>
    <row r="653" spans="1:22" s="26" customFormat="1" ht="15.75" hidden="1" thickBot="1" x14ac:dyDescent="0.3">
      <c r="B653" s="472" t="s">
        <v>172</v>
      </c>
      <c r="C653" s="473"/>
      <c r="D653" s="473"/>
      <c r="E653" s="474"/>
      <c r="F653" s="492"/>
      <c r="G653" s="493"/>
      <c r="H653" s="493"/>
      <c r="I653" s="494"/>
      <c r="J653" s="237" t="s">
        <v>104</v>
      </c>
      <c r="K653" s="110" t="s">
        <v>217</v>
      </c>
    </row>
    <row r="654" spans="1:22" s="26" customFormat="1" ht="15.75" hidden="1" thickBot="1" x14ac:dyDescent="0.3">
      <c r="B654" s="472" t="s">
        <v>173</v>
      </c>
      <c r="C654" s="473"/>
      <c r="D654" s="473"/>
      <c r="E654" s="474"/>
      <c r="F654" s="492"/>
      <c r="G654" s="493"/>
      <c r="H654" s="493"/>
      <c r="I654" s="494"/>
      <c r="J654" s="237" t="s">
        <v>104</v>
      </c>
      <c r="K654" s="110" t="s">
        <v>218</v>
      </c>
    </row>
    <row r="655" spans="1:22" s="26" customFormat="1" ht="30" hidden="1" customHeight="1" x14ac:dyDescent="0.25">
      <c r="B655" s="112"/>
      <c r="C655" s="112"/>
      <c r="D655" s="112"/>
      <c r="E655" s="303"/>
      <c r="F655" s="303"/>
      <c r="G655" s="238"/>
      <c r="H655" s="303"/>
      <c r="I655" s="303"/>
      <c r="J655" s="239"/>
      <c r="K655" s="110"/>
    </row>
    <row r="656" spans="1:22" s="26" customFormat="1" ht="15.75" hidden="1" thickBot="1" x14ac:dyDescent="0.3">
      <c r="B656" s="334" t="s">
        <v>171</v>
      </c>
      <c r="C656" s="334"/>
      <c r="D656" s="334"/>
      <c r="E656" s="334"/>
      <c r="F656" s="303"/>
      <c r="G656" s="303"/>
      <c r="H656" s="303"/>
      <c r="I656" s="303"/>
      <c r="J656" s="239"/>
      <c r="K656" s="404" t="s">
        <v>195</v>
      </c>
      <c r="L656" s="404"/>
      <c r="M656" s="404"/>
      <c r="N656" s="404"/>
      <c r="O656" s="404"/>
      <c r="P656" s="292"/>
      <c r="Q656" s="292"/>
      <c r="R656" s="292"/>
      <c r="S656" s="292"/>
      <c r="T656" s="292"/>
      <c r="U656" s="292"/>
      <c r="V656" s="292"/>
    </row>
    <row r="657" spans="1:22" s="26" customFormat="1" ht="29.1" hidden="1" customHeight="1" thickBot="1" x14ac:dyDescent="0.3">
      <c r="B657" s="465" t="s">
        <v>121</v>
      </c>
      <c r="C657" s="466"/>
      <c r="D657" s="466"/>
      <c r="E657" s="466"/>
      <c r="F657" s="466"/>
      <c r="G657" s="466"/>
      <c r="H657" s="466"/>
      <c r="I657" s="467"/>
      <c r="J657" s="239"/>
      <c r="K657" s="404"/>
      <c r="L657" s="404"/>
      <c r="M657" s="404"/>
      <c r="N657" s="404"/>
      <c r="O657" s="404"/>
      <c r="P657" s="292"/>
      <c r="Q657" s="292"/>
      <c r="R657" s="292"/>
      <c r="S657" s="292"/>
      <c r="T657" s="292"/>
      <c r="U657" s="292"/>
      <c r="V657" s="292"/>
    </row>
    <row r="658" spans="1:22" s="26" customFormat="1" ht="30" hidden="1" customHeight="1" thickBot="1" x14ac:dyDescent="0.3">
      <c r="B658" s="472" t="s">
        <v>122</v>
      </c>
      <c r="C658" s="473"/>
      <c r="D658" s="473"/>
      <c r="E658" s="474"/>
      <c r="F658" s="468"/>
      <c r="G658" s="469"/>
      <c r="H658" s="470"/>
      <c r="I658" s="471"/>
      <c r="J658" s="239"/>
      <c r="K658" s="408" t="s">
        <v>186</v>
      </c>
      <c r="L658" s="408"/>
      <c r="M658" s="408"/>
      <c r="N658" s="408"/>
      <c r="O658" s="408"/>
    </row>
    <row r="659" spans="1:22" s="26" customFormat="1" ht="23.1" hidden="1" customHeight="1" thickBot="1" x14ac:dyDescent="0.3">
      <c r="B659" s="472" t="str">
        <f>B646</f>
        <v>Pack Identification</v>
      </c>
      <c r="C659" s="473"/>
      <c r="D659" s="473"/>
      <c r="E659" s="474"/>
      <c r="F659" s="192" t="str">
        <f>IF(ISBLANK(F646),"",F646)</f>
        <v/>
      </c>
      <c r="G659" s="192" t="str">
        <f t="shared" ref="G659:I659" si="45">IF(ISBLANK(G646),"",G646)</f>
        <v/>
      </c>
      <c r="H659" s="192" t="str">
        <f t="shared" si="45"/>
        <v/>
      </c>
      <c r="I659" s="192" t="str">
        <f t="shared" si="45"/>
        <v/>
      </c>
      <c r="J659" s="239"/>
      <c r="K659" s="408"/>
      <c r="L659" s="408"/>
      <c r="M659" s="408"/>
      <c r="N659" s="408"/>
      <c r="O659" s="408"/>
    </row>
    <row r="660" spans="1:22" s="26" customFormat="1" ht="15.75" hidden="1" thickBot="1" x14ac:dyDescent="0.3">
      <c r="B660" s="512" t="s">
        <v>123</v>
      </c>
      <c r="C660" s="513"/>
      <c r="D660" s="513"/>
      <c r="E660" s="514"/>
      <c r="F660" s="145"/>
      <c r="G660" s="154"/>
      <c r="H660" s="154"/>
      <c r="I660" s="154"/>
      <c r="J660" s="239"/>
      <c r="K660" s="408" t="s">
        <v>187</v>
      </c>
      <c r="L660" s="408"/>
      <c r="M660" s="408"/>
      <c r="N660" s="408"/>
      <c r="O660" s="408"/>
    </row>
    <row r="661" spans="1:22" s="26" customFormat="1" ht="75.75" hidden="1" customHeight="1" x14ac:dyDescent="0.25">
      <c r="B661" s="304"/>
      <c r="C661" s="304"/>
      <c r="D661" s="304"/>
      <c r="E661" s="304"/>
      <c r="F661" s="303"/>
      <c r="G661" s="303"/>
      <c r="H661" s="303"/>
      <c r="I661" s="303"/>
      <c r="J661" s="239"/>
      <c r="K661" s="408"/>
      <c r="L661" s="408"/>
      <c r="M661" s="408"/>
      <c r="N661" s="408"/>
      <c r="O661" s="408"/>
    </row>
    <row r="662" spans="1:22" s="26" customFormat="1" hidden="1" x14ac:dyDescent="0.25">
      <c r="B662" s="511"/>
      <c r="C662" s="511"/>
      <c r="D662" s="511"/>
      <c r="E662" s="511"/>
      <c r="K662" s="408"/>
      <c r="L662" s="408"/>
      <c r="M662" s="408"/>
      <c r="N662" s="408"/>
      <c r="O662" s="408"/>
    </row>
    <row r="663" spans="1:22" s="26" customFormat="1" hidden="1" x14ac:dyDescent="0.25">
      <c r="B663" s="303"/>
      <c r="C663" s="303"/>
      <c r="D663" s="303"/>
      <c r="E663" s="303"/>
      <c r="O663" s="21"/>
    </row>
    <row r="664" spans="1:22" s="26" customFormat="1" hidden="1" x14ac:dyDescent="0.25">
      <c r="A664" s="155"/>
      <c r="B664" s="308" t="s">
        <v>124</v>
      </c>
      <c r="C664" s="290"/>
      <c r="D664" s="66"/>
      <c r="E664" s="66"/>
      <c r="F664" s="390"/>
      <c r="G664" s="390"/>
      <c r="H664" s="390"/>
      <c r="I664" s="390"/>
      <c r="O664" s="21"/>
    </row>
    <row r="665" spans="1:22" s="26" customFormat="1" hidden="1" x14ac:dyDescent="0.25">
      <c r="A665" s="14" t="s">
        <v>125</v>
      </c>
      <c r="B665" s="290"/>
      <c r="C665" s="290"/>
      <c r="D665" s="66"/>
      <c r="E665" s="66"/>
      <c r="F665" s="290"/>
      <c r="G665" s="290"/>
      <c r="H665" s="290"/>
      <c r="I665" s="290"/>
      <c r="O665" s="21"/>
    </row>
    <row r="666" spans="1:22" s="26" customFormat="1" ht="15.75" hidden="1" thickBot="1" x14ac:dyDescent="0.3">
      <c r="B666" s="66"/>
      <c r="C666" s="66"/>
      <c r="D666" s="66"/>
      <c r="E666" s="66"/>
      <c r="F666" s="390" t="s">
        <v>126</v>
      </c>
      <c r="G666" s="390"/>
      <c r="H666" s="390"/>
      <c r="I666" s="390"/>
      <c r="O666" s="21"/>
    </row>
    <row r="667" spans="1:22" s="26" customFormat="1" ht="15.75" hidden="1" thickBot="1" x14ac:dyDescent="0.3">
      <c r="B667" s="66"/>
      <c r="C667" s="66"/>
      <c r="D667" s="66"/>
      <c r="E667" s="66"/>
      <c r="F667" s="156" t="str">
        <f>IF(F646="","",F646)</f>
        <v/>
      </c>
      <c r="G667" s="156" t="str">
        <f>IF(G646="","",G646)</f>
        <v/>
      </c>
      <c r="H667" s="156" t="str">
        <f>IF(H646="","",H646)</f>
        <v/>
      </c>
      <c r="I667" s="156" t="str">
        <f>IF(I646="","",I646)</f>
        <v/>
      </c>
      <c r="O667" s="21"/>
    </row>
    <row r="668" spans="1:22" s="26" customFormat="1" hidden="1" x14ac:dyDescent="0.25">
      <c r="A668" s="91" t="s">
        <v>77</v>
      </c>
      <c r="B668" s="475" t="s">
        <v>82</v>
      </c>
      <c r="C668" s="476"/>
      <c r="D668" s="476"/>
      <c r="E668" s="240"/>
      <c r="F668" s="241" t="str">
        <f>IF(OR(F647="",F648="",F649=""),"",IF(F647="Price to Wholesaler",F648,IF(F647="Reimbursement Price",(F670/(1+E669)*1),"Error")))</f>
        <v/>
      </c>
      <c r="G668" s="241" t="str">
        <f>IF(OR(G647="",G648="",F649=""),"",IF(G647="Price to Wholesaler",G648,IF(G647="Reimbursement Price",(G670/(1+E669)*1),"Error")))</f>
        <v/>
      </c>
      <c r="H668" s="241" t="str">
        <f>IF(OR(H647="",H648="",F649=""),"",IF(H647="Price to Wholesaler",H648,IF(H647="Reimbursement Price",(H670/(1+E669)*1),"Error")))</f>
        <v/>
      </c>
      <c r="I668" s="241" t="str">
        <f>IF(OR(I647="",I648="",F649=""),"",IF(I647="Price to Wholesaler",I648,IF(I647="Reimbursement Price",(I670/(1+E669)*1),"Error")))</f>
        <v/>
      </c>
      <c r="O668" s="21"/>
    </row>
    <row r="669" spans="1:22" s="26" customFormat="1" hidden="1" x14ac:dyDescent="0.25">
      <c r="A669" s="297" t="s">
        <v>78</v>
      </c>
      <c r="B669" s="477" t="s">
        <v>83</v>
      </c>
      <c r="C669" s="478"/>
      <c r="D669" s="478"/>
      <c r="E669" s="93" t="str">
        <f>IF(OR(F649=""),"",IF(AND(F649="CDS",F650="Yes"),CYF,IF(AND(F649="CDS",F650="No"),CNF,IF(F649="HT",CHT,IF(F649="Hosp",CHO,"Error")))))</f>
        <v/>
      </c>
      <c r="F669" s="242" t="str">
        <f>IF(OR(F649="",F648="",F647=""),"",F668*E669)</f>
        <v/>
      </c>
      <c r="G669" s="242" t="str">
        <f>IF(OR(F649="",G648="",G647=""),"",G668*E669)</f>
        <v/>
      </c>
      <c r="H669" s="242" t="str">
        <f>IF(OR(F649="",H648="",H647=""),"",H668*E669)</f>
        <v/>
      </c>
      <c r="I669" s="242" t="str">
        <f>IF(OR(F649="",I648="",I647=""),"",I668*E669)</f>
        <v/>
      </c>
      <c r="O669" s="21"/>
    </row>
    <row r="670" spans="1:22" s="26" customFormat="1" hidden="1" x14ac:dyDescent="0.25">
      <c r="A670" s="297" t="s">
        <v>79</v>
      </c>
      <c r="B670" s="477" t="str">
        <f>IF(F649="Hosp","Hospital Price", "Reimbursement Price")</f>
        <v>Reimbursement Price</v>
      </c>
      <c r="C670" s="478"/>
      <c r="D670" s="478"/>
      <c r="E670" s="243" t="str">
        <f>IF(F647="Price to Wholesaler","A+B","")</f>
        <v/>
      </c>
      <c r="F670" s="242" t="str">
        <f>IF(F647="Reimbursement Price",F648,IF(ISBLANK(E669),"",IF(F647="Price to Wholesaler",(F668+F669),IF(F647="","","Error"))))</f>
        <v/>
      </c>
      <c r="G670" s="242" t="str">
        <f>IF(G647="Reimbursement Price",G648,IF(ISBLANK(E669),"",IF(G647="Price to Wholesaler",(G668+G669),IF(G647="","","Error"))))</f>
        <v/>
      </c>
      <c r="H670" s="242" t="str">
        <f>IF(H647="Reimbursement Price",H648,IF(ISBLANK(E669),"",IF(H647="Price to Wholesaler",(H668+H669),IF(H647="","","Error"))))</f>
        <v/>
      </c>
      <c r="I670" s="242" t="str">
        <f>IF(I647="Reimbursement Price",I648,IF(ISBLANK(E669),"",IF(I647="Price to Wholesaler",(I668+I669),IF(I647="","","Error"))))</f>
        <v/>
      </c>
      <c r="O670" s="21"/>
    </row>
    <row r="671" spans="1:22" s="26" customFormat="1" hidden="1" x14ac:dyDescent="0.25">
      <c r="A671" s="297" t="s">
        <v>80</v>
      </c>
      <c r="B671" s="477" t="s">
        <v>214</v>
      </c>
      <c r="C671" s="478"/>
      <c r="D671" s="478"/>
      <c r="E671" s="268" t="str">
        <f>IF(OR(F652="",AND(F652="Yes",F653=""),AND(F652="No",F654="")),"",IF(AND(F652="No",F654="Patented Exclusive or Off Patent Exclusive and subject to clause 10 of Framework Agreement"),MR,IF(AND(F652="No",F654="Off Patent Non-Exclusive or Generic"),"None",IF(AND(F652="Yes",F653="Biosimilar"),"None",IF(AND(F652="Yes",F653="Patented or Off Patent Exclusive"),MR,IF(AND(F652="Yes",F653="Off Patent Non-Exclusive 12.5% Rebate incorporated into Price to Wholesaler"),"None",IF(AND(F652="Yes",F653="Off Patent Non-Exclusive 12.5% Rebate"),MRB,"Error")))))))</f>
        <v/>
      </c>
      <c r="F671" s="242" t="str">
        <f>IF(OR(F652="",AND(F652="Yes",F653=""),AND(F652="No",F654=""),F647="",ISBLANK(F648)),"",IF(E671="None",0,(E671*F668)))</f>
        <v/>
      </c>
      <c r="G671" s="242" t="str">
        <f>IF(OR(F652="",AND(F652="Yes",F653=""),AND(F652="No",F654=""),G647="",ISBLANK(G648)),"",IF(E671="None",0,(E671*G668)))</f>
        <v/>
      </c>
      <c r="H671" s="242" t="str">
        <f>IF(OR(F652="",AND(F652="Yes",F653=""),AND(F652="No",F654=""),H647="",ISBLANK(H648)),"",IF(E671="None",0,(E671*H668)))</f>
        <v/>
      </c>
      <c r="I671" s="242" t="str">
        <f>IF(OR(F652="",AND(F652="Yes",F653=""),AND(F652="No",F654=""),I647="",ISBLANK(I648)),"",IF(E671="None",0,(E671*I668)))</f>
        <v/>
      </c>
      <c r="O671" s="21"/>
    </row>
    <row r="672" spans="1:22" s="26" customFormat="1" ht="15.75" hidden="1" thickBot="1" x14ac:dyDescent="0.3">
      <c r="A672" s="298" t="s">
        <v>81</v>
      </c>
      <c r="B672" s="479" t="s">
        <v>94</v>
      </c>
      <c r="C672" s="480"/>
      <c r="D672" s="480"/>
      <c r="E672" s="160" t="str">
        <f>IF(F651="","",IF(F651="Yes",0,VT))</f>
        <v/>
      </c>
      <c r="F672" s="244" t="str">
        <f>IF(OR($B651="",F648="",ISBLANK(F648)),"",($E672*F670))</f>
        <v/>
      </c>
      <c r="G672" s="244" t="str">
        <f t="shared" ref="G672:I672" si="46">IF(OR($B651="",G648="",ISBLANK(G648)),"",($E672*G670))</f>
        <v/>
      </c>
      <c r="H672" s="244" t="str">
        <f t="shared" si="46"/>
        <v/>
      </c>
      <c r="I672" s="244" t="str">
        <f t="shared" si="46"/>
        <v/>
      </c>
      <c r="O672" s="21"/>
    </row>
    <row r="673" spans="1:20" s="26" customFormat="1" ht="15.75" hidden="1" thickBot="1" x14ac:dyDescent="0.3">
      <c r="A673" s="299" t="s">
        <v>127</v>
      </c>
      <c r="B673" s="481" t="s">
        <v>128</v>
      </c>
      <c r="C673" s="481"/>
      <c r="D673" s="481"/>
      <c r="E673" s="299"/>
      <c r="F673" s="245" t="str">
        <f>IF(OR(F647="",$F649="",$F651="",$F652=""),"",SUM(F670:F672))</f>
        <v/>
      </c>
      <c r="G673" s="245" t="str">
        <f t="shared" ref="G673:I673" si="47">IF(OR(G647="",$F649="",$F651="",$F652=""),"",SUM(G670:G672))</f>
        <v/>
      </c>
      <c r="H673" s="245" t="str">
        <f t="shared" si="47"/>
        <v/>
      </c>
      <c r="I673" s="245" t="str">
        <f t="shared" si="47"/>
        <v/>
      </c>
      <c r="O673" s="21"/>
    </row>
    <row r="674" spans="1:20" s="26" customFormat="1" ht="15.75" hidden="1" thickBot="1" x14ac:dyDescent="0.3">
      <c r="A674" s="299" t="s">
        <v>129</v>
      </c>
      <c r="B674" s="482" t="s">
        <v>130</v>
      </c>
      <c r="C674" s="482"/>
      <c r="D674" s="482"/>
      <c r="E674" s="245"/>
      <c r="F674" s="245" t="str">
        <f>IF(OR(F647="",$F649="",$F651="",$F652=""),"",SUM(F670:F671))</f>
        <v/>
      </c>
      <c r="G674" s="245" t="str">
        <f t="shared" ref="G674:I674" si="48">IF(OR(G647="",$F649="",$F651="",$F652=""),"",SUM(G670:G671))</f>
        <v/>
      </c>
      <c r="H674" s="245" t="str">
        <f t="shared" si="48"/>
        <v/>
      </c>
      <c r="I674" s="245" t="str">
        <f t="shared" si="48"/>
        <v/>
      </c>
      <c r="O674" s="21"/>
    </row>
    <row r="675" spans="1:20" s="26" customFormat="1" hidden="1" x14ac:dyDescent="0.25">
      <c r="B675" s="66"/>
      <c r="C675" s="66"/>
      <c r="D675" s="66"/>
      <c r="E675" s="66"/>
      <c r="K675" s="26" t="s">
        <v>131</v>
      </c>
      <c r="O675" s="21"/>
    </row>
    <row r="676" spans="1:20" s="26" customFormat="1" hidden="1" x14ac:dyDescent="0.25">
      <c r="A676" s="155" t="s">
        <v>132</v>
      </c>
      <c r="B676" s="66"/>
      <c r="C676" s="66"/>
      <c r="D676" s="66"/>
      <c r="E676" s="66"/>
      <c r="F676" s="246"/>
      <c r="G676" s="246"/>
      <c r="H676" s="246"/>
      <c r="I676" s="246"/>
      <c r="O676" s="21"/>
    </row>
    <row r="677" spans="1:20" s="26" customFormat="1" hidden="1" x14ac:dyDescent="0.25">
      <c r="A677" s="125"/>
      <c r="B677" s="125" t="s">
        <v>133</v>
      </c>
      <c r="C677" s="125"/>
      <c r="D677" s="125"/>
      <c r="E677" s="125"/>
      <c r="F677" s="125"/>
      <c r="G677" s="125"/>
      <c r="H677" s="125"/>
      <c r="O677" s="21"/>
    </row>
    <row r="678" spans="1:20" s="26" customFormat="1" hidden="1" x14ac:dyDescent="0.25">
      <c r="B678" s="21" t="s">
        <v>134</v>
      </c>
      <c r="C678" s="229"/>
      <c r="D678" s="229"/>
      <c r="E678" s="66"/>
      <c r="O678" s="21"/>
    </row>
    <row r="679" spans="1:20" s="26" customFormat="1" ht="15.75" hidden="1" thickBot="1" x14ac:dyDescent="0.3">
      <c r="B679" s="165"/>
      <c r="C679" s="229"/>
      <c r="D679" s="229"/>
      <c r="E679" s="66"/>
      <c r="O679" s="21"/>
    </row>
    <row r="680" spans="1:20" s="26" customFormat="1" ht="15.75" hidden="1" thickBot="1" x14ac:dyDescent="0.3">
      <c r="B680" s="230"/>
      <c r="C680" s="66"/>
      <c r="D680" s="66"/>
      <c r="E680" s="66"/>
      <c r="G680" s="293" t="s">
        <v>135</v>
      </c>
      <c r="H680" s="293" t="s">
        <v>136</v>
      </c>
      <c r="O680" s="21"/>
    </row>
    <row r="681" spans="1:20" s="26" customFormat="1" hidden="1" x14ac:dyDescent="0.25">
      <c r="B681" s="483" t="s">
        <v>137</v>
      </c>
      <c r="C681" s="484"/>
      <c r="D681" s="484"/>
      <c r="E681" s="484"/>
      <c r="F681" s="485"/>
      <c r="G681" s="247" t="str">
        <f>IF(F649="","",IF(F649="CDS","per dispensing",IF(F649="HT","per month",IF(F649="Hosp","No Fee", ERROR))))</f>
        <v/>
      </c>
      <c r="H681" s="248" t="str">
        <f>IF(F649="","",IF(F649="CDS",DF,IF(F649="HT",PC,IF(F649="Hosp","No Fee",ERROR))))</f>
        <v/>
      </c>
      <c r="I681" s="26" t="s">
        <v>138</v>
      </c>
      <c r="O681" s="21"/>
    </row>
    <row r="682" spans="1:20" s="26" customFormat="1" ht="15.75" hidden="1" thickBot="1" x14ac:dyDescent="0.3">
      <c r="B682" s="486" t="s">
        <v>92</v>
      </c>
      <c r="C682" s="487"/>
      <c r="D682" s="487"/>
      <c r="E682" s="487"/>
      <c r="F682" s="488"/>
      <c r="G682" s="249" t="str">
        <f>IF(OR(F649="",F651=""),"",IF(F649="Hosp","No Fee",IF(F649="HT","No VAT",IF(AND(F649="CDS",F651="No"),VT,"No VAT"))))</f>
        <v/>
      </c>
      <c r="H682" s="250" t="str">
        <f>IF(OR(F651="",F649="Hosp"),"",IF(OR(F651="Yes",F649="HT"),0,H681*G682))</f>
        <v/>
      </c>
      <c r="O682" s="21"/>
    </row>
    <row r="683" spans="1:20" s="26" customFormat="1" hidden="1" x14ac:dyDescent="0.25">
      <c r="B683" s="230"/>
      <c r="C683" s="66"/>
      <c r="D683" s="66"/>
      <c r="E683" s="66"/>
      <c r="O683" s="21"/>
    </row>
    <row r="684" spans="1:20" s="26" customFormat="1" hidden="1" x14ac:dyDescent="0.25">
      <c r="B684" s="230"/>
      <c r="C684" s="66"/>
      <c r="D684" s="66"/>
      <c r="E684" s="66"/>
      <c r="O684" s="21"/>
    </row>
    <row r="685" spans="1:20" s="26" customFormat="1" ht="33.950000000000003" hidden="1" customHeight="1" thickBot="1" x14ac:dyDescent="0.3">
      <c r="A685" s="165" t="s">
        <v>193</v>
      </c>
      <c r="B685" s="230"/>
      <c r="C685" s="66"/>
      <c r="D685" s="66"/>
      <c r="E685" s="66"/>
      <c r="K685" s="408" t="s">
        <v>197</v>
      </c>
      <c r="L685" s="408"/>
      <c r="M685" s="408"/>
      <c r="N685" s="408"/>
      <c r="O685" s="408"/>
      <c r="P685" s="195"/>
      <c r="Q685" s="195"/>
      <c r="R685" s="195"/>
      <c r="S685" s="195"/>
      <c r="T685" s="195"/>
    </row>
    <row r="686" spans="1:20" s="26" customFormat="1" ht="17.100000000000001" hidden="1" customHeight="1" thickBot="1" x14ac:dyDescent="0.3">
      <c r="A686" s="14" t="s">
        <v>194</v>
      </c>
      <c r="B686" s="230"/>
      <c r="C686" s="66"/>
      <c r="D686" s="66"/>
      <c r="E686" s="66"/>
      <c r="G686" s="293" t="s">
        <v>101</v>
      </c>
      <c r="H686" s="293" t="s">
        <v>136</v>
      </c>
      <c r="K686" s="408" t="str">
        <f>IF(F649="HT","For High tech, if a treatment cycle =28 days the corresponding pharmacy fee is =62.03*12/365.25*28.  The pharmacy fee remains the same regardless of the number of products dispensed that month.",IF(F649="CDS","For CDS, if 2 packets of the same pack presentation are required per treatment cycle, one dispensing fee applies (€5.48). If multiple pack presentations are required, multiple dispensing fees apply",""))</f>
        <v/>
      </c>
      <c r="L686" s="408"/>
      <c r="M686" s="408"/>
      <c r="N686" s="408"/>
      <c r="O686" s="408"/>
      <c r="P686" s="195"/>
      <c r="Q686" s="195"/>
      <c r="R686" s="195"/>
      <c r="S686" s="195"/>
      <c r="T686" s="195"/>
    </row>
    <row r="687" spans="1:20" s="26" customFormat="1" ht="16.5" hidden="1" customHeight="1" x14ac:dyDescent="0.25">
      <c r="A687" s="170" t="s">
        <v>139</v>
      </c>
      <c r="B687" s="504" t="s">
        <v>140</v>
      </c>
      <c r="C687" s="504"/>
      <c r="D687" s="504"/>
      <c r="E687" s="504"/>
      <c r="F687" s="504"/>
      <c r="G687" s="251"/>
      <c r="H687" s="252"/>
      <c r="K687" s="408"/>
      <c r="L687" s="408"/>
      <c r="M687" s="408"/>
      <c r="N687" s="408"/>
      <c r="O687" s="408"/>
      <c r="P687" s="195"/>
      <c r="Q687" s="195"/>
      <c r="R687" s="195"/>
      <c r="S687" s="195"/>
      <c r="T687" s="195"/>
    </row>
    <row r="688" spans="1:20" s="26" customFormat="1" hidden="1" x14ac:dyDescent="0.25">
      <c r="A688" s="173" t="s">
        <v>141</v>
      </c>
      <c r="B688" s="505" t="s">
        <v>142</v>
      </c>
      <c r="C688" s="505"/>
      <c r="D688" s="505"/>
      <c r="E688" s="505"/>
      <c r="F688" s="505"/>
      <c r="G688" s="253"/>
      <c r="H688" s="254"/>
      <c r="K688" s="14" t="s">
        <v>188</v>
      </c>
      <c r="O688" s="21"/>
    </row>
    <row r="689" spans="1:15" s="26" customFormat="1" hidden="1" x14ac:dyDescent="0.25">
      <c r="A689" s="173" t="s">
        <v>143</v>
      </c>
      <c r="B689" s="505" t="s">
        <v>144</v>
      </c>
      <c r="C689" s="505"/>
      <c r="D689" s="505"/>
      <c r="E689" s="505"/>
      <c r="F689" s="505"/>
      <c r="G689" s="253"/>
      <c r="H689" s="254"/>
      <c r="K689" s="14" t="s">
        <v>189</v>
      </c>
      <c r="O689" s="21"/>
    </row>
    <row r="690" spans="1:15" s="26" customFormat="1" hidden="1" x14ac:dyDescent="0.25">
      <c r="A690" s="173" t="s">
        <v>145</v>
      </c>
      <c r="B690" s="505" t="s">
        <v>146</v>
      </c>
      <c r="C690" s="505"/>
      <c r="D690" s="505"/>
      <c r="E690" s="505"/>
      <c r="F690" s="505"/>
      <c r="G690" s="255"/>
      <c r="H690" s="256" t="str">
        <f>IF(ISBLANK(H687),"",SUM(H687:H689))</f>
        <v/>
      </c>
      <c r="O690" s="21"/>
    </row>
    <row r="691" spans="1:15" s="26" customFormat="1" ht="15.75" hidden="1" thickBot="1" x14ac:dyDescent="0.3">
      <c r="A691" s="178" t="s">
        <v>147</v>
      </c>
      <c r="B691" s="515" t="s">
        <v>196</v>
      </c>
      <c r="C691" s="515"/>
      <c r="D691" s="515"/>
      <c r="E691" s="515"/>
      <c r="F691" s="515"/>
      <c r="G691" s="257"/>
      <c r="H691" s="250" t="str">
        <f>IF(ISBLANK(H687),"",SUM(H687:H688))</f>
        <v/>
      </c>
      <c r="O691" s="21"/>
    </row>
    <row r="692" spans="1:15" s="26" customFormat="1" hidden="1" x14ac:dyDescent="0.25">
      <c r="B692" s="66"/>
      <c r="C692" s="66"/>
      <c r="D692" s="66"/>
      <c r="E692" s="66"/>
      <c r="O692" s="21"/>
    </row>
    <row r="693" spans="1:15" s="26" customFormat="1" hidden="1" x14ac:dyDescent="0.25">
      <c r="B693" s="66"/>
      <c r="C693" s="66"/>
      <c r="D693" s="66"/>
      <c r="E693" s="66"/>
      <c r="O693" s="21"/>
    </row>
    <row r="694" spans="1:15" s="26" customFormat="1" hidden="1" x14ac:dyDescent="0.25">
      <c r="A694" s="155" t="s">
        <v>148</v>
      </c>
      <c r="B694" s="66"/>
      <c r="C694" s="66"/>
      <c r="D694" s="66"/>
      <c r="E694" s="66"/>
      <c r="O694" s="21"/>
    </row>
    <row r="695" spans="1:15" s="26" customFormat="1" ht="15.75" hidden="1" thickBot="1" x14ac:dyDescent="0.3">
      <c r="B695" s="66"/>
      <c r="C695" s="66"/>
      <c r="D695" s="66"/>
      <c r="E695" s="66"/>
      <c r="O695" s="21"/>
    </row>
    <row r="696" spans="1:15" s="26" customFormat="1" ht="29.1" hidden="1" customHeight="1" x14ac:dyDescent="0.25">
      <c r="A696" s="65"/>
      <c r="B696" s="303"/>
      <c r="C696" s="303"/>
      <c r="D696" s="303"/>
      <c r="E696" s="303"/>
      <c r="F696" s="506" t="s">
        <v>149</v>
      </c>
      <c r="G696" s="180" t="s">
        <v>150</v>
      </c>
      <c r="H696" s="508" t="s">
        <v>151</v>
      </c>
      <c r="I696" s="180" t="s">
        <v>152</v>
      </c>
      <c r="J696" s="66"/>
      <c r="K696" s="408" t="s">
        <v>190</v>
      </c>
      <c r="L696" s="408"/>
      <c r="M696" s="408"/>
      <c r="N696" s="408"/>
      <c r="O696" s="408"/>
    </row>
    <row r="697" spans="1:15" s="26" customFormat="1" hidden="1" x14ac:dyDescent="0.25">
      <c r="A697" s="65"/>
      <c r="B697" s="303"/>
      <c r="C697" s="303"/>
      <c r="D697" s="303"/>
      <c r="E697" s="303"/>
      <c r="F697" s="507"/>
      <c r="G697" s="253"/>
      <c r="H697" s="509"/>
      <c r="I697" s="182"/>
      <c r="J697" s="66"/>
      <c r="K697" s="408"/>
      <c r="L697" s="408"/>
      <c r="M697" s="408"/>
      <c r="N697" s="408"/>
      <c r="O697" s="408"/>
    </row>
    <row r="698" spans="1:15" s="26" customFormat="1" ht="15.75" hidden="1" thickBot="1" x14ac:dyDescent="0.3">
      <c r="A698" s="65"/>
      <c r="B698" s="303"/>
      <c r="C698" s="303"/>
      <c r="D698" s="303"/>
      <c r="E698" s="303"/>
      <c r="F698" s="507"/>
      <c r="G698" s="183" t="s">
        <v>153</v>
      </c>
      <c r="H698" s="510"/>
      <c r="I698" s="184"/>
      <c r="J698" s="66"/>
      <c r="K698" s="408"/>
      <c r="L698" s="408"/>
      <c r="M698" s="408"/>
      <c r="N698" s="408"/>
      <c r="O698" s="408"/>
    </row>
    <row r="699" spans="1:15" s="26" customFormat="1" hidden="1" x14ac:dyDescent="0.25">
      <c r="A699" s="247" t="s">
        <v>77</v>
      </c>
      <c r="B699" s="463" t="str">
        <f>B668</f>
        <v>Price to Wholesaler</v>
      </c>
      <c r="C699" s="463"/>
      <c r="D699" s="463"/>
      <c r="E699" s="463"/>
      <c r="F699" s="256">
        <f>SUMPRODUCT(F668:I668,F660:I660)</f>
        <v>0</v>
      </c>
      <c r="G699" s="256">
        <f>F699*G697</f>
        <v>0</v>
      </c>
      <c r="H699" s="256" t="str">
        <f>IF(H658="Days",F699/F658*365.25,IF(H658="Months",F699/F658*12,""))</f>
        <v/>
      </c>
      <c r="I699" s="256" t="str">
        <f>IF(AND(H658="Days",I698="Days"),F699/F658*I697,IF(AND(H658="Months",I698="Months"),F699/F658*I697,IF(AND(H658="Days",I698="Months"),F699/F658*30.4375*I697,IF(AND(H658="Months",I698="Days"),F699/F658/30.4375*I697,""))))</f>
        <v/>
      </c>
      <c r="O699" s="21"/>
    </row>
    <row r="700" spans="1:15" s="26" customFormat="1" hidden="1" x14ac:dyDescent="0.25">
      <c r="A700" s="255" t="s">
        <v>78</v>
      </c>
      <c r="B700" s="464" t="str">
        <f>B669</f>
        <v>Wholesale Mark-up</v>
      </c>
      <c r="C700" s="464"/>
      <c r="D700" s="464"/>
      <c r="E700" s="464"/>
      <c r="F700" s="256">
        <f>SUMPRODUCT(F669:I669,F660:I660)</f>
        <v>0</v>
      </c>
      <c r="G700" s="256">
        <f>F700*G697</f>
        <v>0</v>
      </c>
      <c r="H700" s="256" t="str">
        <f>IF(H658="Days",F700/F658*365.25,IF(H658="Months",F700/F658*12,""))</f>
        <v/>
      </c>
      <c r="I700" s="256" t="str">
        <f>IF(AND(H658="Days",I698="Days"),F700/F658*I697,IF(AND(H658="Months",I698="Months"),F700/F658*I697,IF(AND(H658="Days",I698="Months"),F700/F658*30.4375*I697,IF(AND(H658="Months",I698="Days"),F700/F658/30.4375*I697,""))))</f>
        <v/>
      </c>
      <c r="O700" s="21"/>
    </row>
    <row r="701" spans="1:15" s="26" customFormat="1" hidden="1" x14ac:dyDescent="0.25">
      <c r="A701" s="255" t="s">
        <v>79</v>
      </c>
      <c r="B701" s="294" t="str">
        <f>B670</f>
        <v>Reimbursement Price</v>
      </c>
      <c r="C701" s="300"/>
      <c r="D701" s="301"/>
      <c r="E701" s="302"/>
      <c r="F701" s="256">
        <f>SUMPRODUCT(F670:I670,F660:I660)</f>
        <v>0</v>
      </c>
      <c r="G701" s="256">
        <f>F701*G697</f>
        <v>0</v>
      </c>
      <c r="H701" s="256" t="str">
        <f>IF(H658="Days",F701/F658*365.25,IF(H658="Months",F701/F658*12,""))</f>
        <v/>
      </c>
      <c r="I701" s="256" t="str">
        <f>IF(AND(H658="Days",I698="Days"),F701/F658*I697,IF(AND(H658="Months",I698="Months"),F701/F658*I697,IF(AND(H658="Days",I698="Months"),F701/F658*30.4375*I697,IF(AND(H658="Months",I698="Days"),F701/F658/30.4375*I697,""))))</f>
        <v/>
      </c>
      <c r="O701" s="21"/>
    </row>
    <row r="702" spans="1:15" s="26" customFormat="1" hidden="1" x14ac:dyDescent="0.25">
      <c r="A702" s="255" t="s">
        <v>80</v>
      </c>
      <c r="B702" s="495" t="str">
        <f>B671</f>
        <v>Framework Agreement Rebate</v>
      </c>
      <c r="C702" s="496"/>
      <c r="D702" s="496"/>
      <c r="E702" s="497"/>
      <c r="F702" s="256">
        <f>SUMPRODUCT(F671:I671,F660:I660)</f>
        <v>0</v>
      </c>
      <c r="G702" s="256">
        <f>F702*G697</f>
        <v>0</v>
      </c>
      <c r="H702" s="256" t="str">
        <f>IF(H658="Days",F702/F658*365.25,IF(H658="Months",F702/F658*12,""))</f>
        <v/>
      </c>
      <c r="I702" s="256" t="str">
        <f>IF(AND(H658="Days",I698="Days"),F702/F658*I697,IF(AND(H658="Months",I698="Months"),F702/F658*I697,IF(AND(H658="Days",I698="Months"),F702/F658*30.4375*I697,IF(AND(H658="Months",I698="Days"),F702/F658/30.4375*I697,""))))</f>
        <v/>
      </c>
      <c r="O702" s="21"/>
    </row>
    <row r="703" spans="1:15" s="26" customFormat="1" hidden="1" x14ac:dyDescent="0.25">
      <c r="A703" s="255" t="s">
        <v>81</v>
      </c>
      <c r="B703" s="495" t="str">
        <f>B672</f>
        <v xml:space="preserve">VAT on Drug Cost </v>
      </c>
      <c r="C703" s="496"/>
      <c r="D703" s="496"/>
      <c r="E703" s="497"/>
      <c r="F703" s="256">
        <f>SUMPRODUCT(F672:I672,F660:I660)</f>
        <v>0</v>
      </c>
      <c r="G703" s="256">
        <f>F703*G697</f>
        <v>0</v>
      </c>
      <c r="H703" s="256" t="str">
        <f>IF(H658="Days",F703/F658*365.25,IF(H658="Months",F703/F658*12,""))</f>
        <v/>
      </c>
      <c r="I703" s="256" t="str">
        <f>IF(AND(H658="Days",I698="Days"),F703/F658*I697,IF(AND(H658="Months",I698="Months"),F703/F658*I697,IF(AND(H658="Days",I698="Months"),F703/F658*30.4375*I697,IF(AND(H658="Months",I698="Days"),F703/F658/30.4375*I697,""))))</f>
        <v/>
      </c>
      <c r="O703" s="21"/>
    </row>
    <row r="704" spans="1:15" s="26" customFormat="1" hidden="1" x14ac:dyDescent="0.25">
      <c r="A704" s="255" t="s">
        <v>154</v>
      </c>
      <c r="B704" s="495" t="s">
        <v>155</v>
      </c>
      <c r="C704" s="496"/>
      <c r="D704" s="496"/>
      <c r="E704" s="497"/>
      <c r="F704" s="256" t="str">
        <f>IF(H690="","",H690)</f>
        <v/>
      </c>
      <c r="G704" s="256" t="str">
        <f>IF(F704="","",F704*G697)</f>
        <v/>
      </c>
      <c r="H704" s="256" t="str">
        <f>IF(F704="","",IF(H658="Days",F704/F658*365.25,IF(H658="Months",F704/F658*12,"")))</f>
        <v/>
      </c>
      <c r="I704" s="256" t="str">
        <f>IF(F704="","",IF(AND(H658="Days",I698="Days"),F704/F658*I697,IF(AND(H658="Months",I698="Months"),F704/F658*I697,IF(AND(H658="Days",I698="Months"),F704/F658*30.4375*I697,IF(AND(H658="Months",I698="Days"),F704/F658/30.4375*I697,"")))))</f>
        <v/>
      </c>
      <c r="O704" s="21"/>
    </row>
    <row r="705" spans="1:19" s="26" customFormat="1" hidden="1" x14ac:dyDescent="0.25">
      <c r="A705" s="255" t="s">
        <v>156</v>
      </c>
      <c r="B705" s="495" t="s">
        <v>157</v>
      </c>
      <c r="C705" s="496"/>
      <c r="D705" s="496"/>
      <c r="E705" s="497"/>
      <c r="F705" s="256" t="str">
        <f>IF(H691="","",H691)</f>
        <v/>
      </c>
      <c r="G705" s="256" t="str">
        <f>IF(F705="","",F705*G697)</f>
        <v/>
      </c>
      <c r="H705" s="256" t="str">
        <f>IF(F705="","",IF(H658="Days",F705/F658*365.25,IF(H658="Months",F705/F658*12,"")))</f>
        <v/>
      </c>
      <c r="I705" s="256" t="str">
        <f>IF(F705="","",IF(AND(H658="Days",I698="Days"),F705/F658*I697,IF(AND(H658="Months",I698="Months"),F705/F658*I697,IF(AND(H658="Days",I698="Months"),F705/F658*30.4375*I697,IF(AND(H658="Months",I698="Days"),F705/F658/30.4375*I697,"")))))</f>
        <v/>
      </c>
      <c r="O705" s="21"/>
    </row>
    <row r="706" spans="1:19" s="155" customFormat="1" hidden="1" x14ac:dyDescent="0.25">
      <c r="A706" s="186" t="s">
        <v>158</v>
      </c>
      <c r="B706" s="498" t="s">
        <v>159</v>
      </c>
      <c r="C706" s="499"/>
      <c r="D706" s="499"/>
      <c r="E706" s="500"/>
      <c r="F706" s="187">
        <f>SUM(F701:F704)</f>
        <v>0</v>
      </c>
      <c r="G706" s="187">
        <f t="shared" ref="G706:I706" si="49">SUM(G701:G704)</f>
        <v>0</v>
      </c>
      <c r="H706" s="187">
        <f t="shared" si="49"/>
        <v>0</v>
      </c>
      <c r="I706" s="187">
        <f t="shared" si="49"/>
        <v>0</v>
      </c>
      <c r="K706" s="98" t="s">
        <v>191</v>
      </c>
      <c r="O706" s="189"/>
    </row>
    <row r="707" spans="1:19" s="26" customFormat="1" ht="15.75" hidden="1" thickBot="1" x14ac:dyDescent="0.3">
      <c r="A707" s="257" t="s">
        <v>160</v>
      </c>
      <c r="B707" s="501" t="s">
        <v>161</v>
      </c>
      <c r="C707" s="502"/>
      <c r="D707" s="502"/>
      <c r="E707" s="503"/>
      <c r="F707" s="250">
        <f>IF(F705="",SUM(F701+F702),F701+F702+F705)</f>
        <v>0</v>
      </c>
      <c r="G707" s="250">
        <f t="shared" ref="G707" si="50">IF(G705="",SUM(G701+G702),G701+G702+G705)</f>
        <v>0</v>
      </c>
      <c r="H707" s="250" t="e">
        <f>IF(H705="",SUM(H701+H702),H701+H702+H705)</f>
        <v>#VALUE!</v>
      </c>
      <c r="I707" s="250" t="e">
        <f t="shared" ref="I707" si="51">IF(I705="",SUM(I701+I702),I701+I702+I705)</f>
        <v>#VALUE!</v>
      </c>
      <c r="K707" s="14" t="s">
        <v>192</v>
      </c>
      <c r="O707" s="21"/>
    </row>
    <row r="708" spans="1:19" s="26" customFormat="1" hidden="1" x14ac:dyDescent="0.25">
      <c r="B708" s="229"/>
      <c r="C708" s="66"/>
      <c r="D708" s="66"/>
      <c r="E708" s="66"/>
      <c r="O708" s="21"/>
    </row>
    <row r="709" spans="1:19" s="26" customFormat="1" hidden="1" x14ac:dyDescent="0.25"/>
    <row r="710" spans="1:19" s="26" customFormat="1" hidden="1" x14ac:dyDescent="0.25">
      <c r="B710" s="308" t="s">
        <v>101</v>
      </c>
      <c r="C710" s="308"/>
      <c r="D710" s="308"/>
      <c r="E710" s="308"/>
    </row>
    <row r="711" spans="1:19" s="26" customFormat="1" ht="15.75" hidden="1" customHeight="1" x14ac:dyDescent="0.25"/>
    <row r="712" spans="1:19" s="26" customFormat="1" hidden="1" x14ac:dyDescent="0.25">
      <c r="B712" s="234"/>
      <c r="C712" s="234"/>
      <c r="D712" s="234"/>
      <c r="E712" s="234"/>
      <c r="F712" s="234"/>
      <c r="G712" s="234"/>
      <c r="H712" s="234"/>
      <c r="I712" s="234"/>
      <c r="J712" s="234"/>
      <c r="K712" s="234"/>
      <c r="L712" s="234"/>
      <c r="M712" s="234"/>
      <c r="N712" s="234"/>
      <c r="O712" s="234"/>
      <c r="P712" s="234"/>
      <c r="Q712" s="234"/>
      <c r="R712" s="234"/>
      <c r="S712" s="234"/>
    </row>
    <row r="713" spans="1:19" s="26" customFormat="1" hidden="1" x14ac:dyDescent="0.25">
      <c r="B713" s="234"/>
      <c r="C713" s="234"/>
      <c r="D713" s="234"/>
      <c r="E713" s="234"/>
      <c r="F713" s="234"/>
      <c r="G713" s="234"/>
      <c r="H713" s="234"/>
      <c r="I713" s="234"/>
      <c r="J713" s="234"/>
      <c r="K713" s="234"/>
      <c r="L713" s="234"/>
      <c r="M713" s="234"/>
      <c r="N713" s="234"/>
      <c r="O713" s="234"/>
      <c r="P713" s="234"/>
      <c r="Q713" s="234"/>
      <c r="R713" s="234"/>
      <c r="S713" s="234"/>
    </row>
    <row r="714" spans="1:19" s="26" customFormat="1" hidden="1" x14ac:dyDescent="0.25">
      <c r="B714" s="234"/>
      <c r="C714" s="234"/>
      <c r="D714" s="234"/>
      <c r="E714" s="234"/>
      <c r="F714" s="234"/>
      <c r="G714" s="234"/>
      <c r="H714" s="234"/>
      <c r="I714" s="234"/>
      <c r="J714" s="234"/>
      <c r="K714" s="234"/>
      <c r="L714" s="234"/>
      <c r="M714" s="234"/>
      <c r="N714" s="234"/>
      <c r="O714" s="234"/>
      <c r="P714" s="234"/>
      <c r="Q714" s="234"/>
      <c r="R714" s="234"/>
      <c r="S714" s="234"/>
    </row>
    <row r="715" spans="1:19" s="26" customFormat="1" hidden="1" x14ac:dyDescent="0.25">
      <c r="B715" s="234"/>
      <c r="C715" s="234"/>
      <c r="D715" s="234"/>
      <c r="E715" s="234"/>
      <c r="F715" s="234"/>
      <c r="G715" s="234"/>
      <c r="H715" s="234"/>
      <c r="I715" s="234"/>
      <c r="J715" s="234"/>
      <c r="K715" s="234"/>
      <c r="L715" s="234"/>
      <c r="M715" s="234"/>
      <c r="N715" s="234"/>
      <c r="O715" s="234"/>
      <c r="P715" s="234"/>
      <c r="Q715" s="234"/>
      <c r="R715" s="234"/>
      <c r="S715" s="234"/>
    </row>
    <row r="716" spans="1:19" s="26" customFormat="1" hidden="1" x14ac:dyDescent="0.25">
      <c r="B716" s="234"/>
      <c r="C716" s="234"/>
      <c r="D716" s="234"/>
      <c r="E716" s="234"/>
      <c r="F716" s="234"/>
      <c r="G716" s="234"/>
      <c r="H716" s="234"/>
      <c r="I716" s="234"/>
      <c r="J716" s="234"/>
      <c r="K716" s="234"/>
      <c r="L716" s="234"/>
      <c r="M716" s="234"/>
      <c r="N716" s="234"/>
      <c r="O716" s="234"/>
      <c r="P716" s="234"/>
      <c r="Q716" s="234"/>
      <c r="R716" s="234"/>
      <c r="S716" s="234"/>
    </row>
    <row r="717" spans="1:19" s="26" customFormat="1" hidden="1" x14ac:dyDescent="0.25">
      <c r="B717" s="234"/>
      <c r="C717" s="234"/>
      <c r="D717" s="234"/>
      <c r="E717" s="234"/>
      <c r="F717" s="234"/>
      <c r="G717" s="234"/>
      <c r="H717" s="234"/>
      <c r="I717" s="234"/>
      <c r="J717" s="234"/>
      <c r="K717" s="234"/>
      <c r="L717" s="234"/>
      <c r="M717" s="234"/>
      <c r="N717" s="234"/>
      <c r="O717" s="234"/>
      <c r="P717" s="234"/>
      <c r="Q717" s="234"/>
      <c r="R717" s="234"/>
      <c r="S717" s="234"/>
    </row>
    <row r="718" spans="1:19" s="26" customFormat="1" hidden="1" x14ac:dyDescent="0.25">
      <c r="B718" s="234"/>
      <c r="C718" s="234"/>
      <c r="D718" s="234"/>
      <c r="E718" s="234"/>
      <c r="F718" s="234"/>
      <c r="G718" s="234"/>
      <c r="H718" s="234"/>
      <c r="I718" s="234"/>
      <c r="J718" s="234"/>
      <c r="K718" s="234"/>
      <c r="L718" s="234"/>
      <c r="M718" s="234"/>
      <c r="N718" s="234"/>
      <c r="O718" s="234"/>
      <c r="P718" s="234"/>
      <c r="Q718" s="234"/>
      <c r="R718" s="234"/>
      <c r="S718" s="234"/>
    </row>
    <row r="719" spans="1:19" s="26" customFormat="1" hidden="1" x14ac:dyDescent="0.25">
      <c r="B719" s="234"/>
      <c r="C719" s="234"/>
      <c r="D719" s="234"/>
      <c r="E719" s="234"/>
      <c r="F719" s="234"/>
      <c r="G719" s="234"/>
      <c r="H719" s="234"/>
      <c r="I719" s="234"/>
      <c r="J719" s="234"/>
      <c r="K719" s="234"/>
      <c r="L719" s="234"/>
      <c r="M719" s="234"/>
      <c r="N719" s="234"/>
      <c r="O719" s="234"/>
      <c r="P719" s="234"/>
      <c r="Q719" s="234"/>
      <c r="R719" s="234"/>
      <c r="S719" s="234"/>
    </row>
    <row r="720" spans="1:19" s="26" customFormat="1" hidden="1" x14ac:dyDescent="0.25">
      <c r="B720" s="234"/>
      <c r="C720" s="234"/>
      <c r="D720" s="234"/>
      <c r="E720" s="234"/>
      <c r="F720" s="234"/>
      <c r="G720" s="234"/>
      <c r="H720" s="234"/>
      <c r="I720" s="234"/>
      <c r="J720" s="234"/>
      <c r="K720" s="234"/>
      <c r="L720" s="234"/>
      <c r="M720" s="234"/>
      <c r="N720" s="234"/>
      <c r="O720" s="234"/>
      <c r="P720" s="234"/>
      <c r="Q720" s="234"/>
      <c r="R720" s="234"/>
      <c r="S720" s="234"/>
    </row>
    <row r="721" spans="1:22" s="26" customFormat="1" hidden="1" x14ac:dyDescent="0.25">
      <c r="B721" s="234"/>
      <c r="C721" s="234"/>
      <c r="D721" s="234"/>
      <c r="E721" s="234"/>
      <c r="F721" s="234"/>
      <c r="G721" s="234"/>
      <c r="H721" s="234"/>
      <c r="I721" s="234"/>
      <c r="J721" s="234"/>
      <c r="K721" s="234"/>
      <c r="L721" s="234"/>
      <c r="M721" s="234"/>
      <c r="N721" s="234"/>
      <c r="O721" s="234"/>
      <c r="P721" s="234"/>
      <c r="Q721" s="234"/>
      <c r="R721" s="234"/>
      <c r="S721" s="234"/>
    </row>
    <row r="722" spans="1:22" hidden="1" x14ac:dyDescent="0.25"/>
    <row r="723" spans="1:22" hidden="1" x14ac:dyDescent="0.25"/>
    <row r="724" spans="1:22" ht="15.75" hidden="1" thickBot="1" x14ac:dyDescent="0.3"/>
    <row r="725" spans="1:22" s="26" customFormat="1" ht="15.75" hidden="1" thickBot="1" x14ac:dyDescent="0.3">
      <c r="B725" s="410" t="str">
        <f>CONCATENATE("Comparator 8: ",NameComparator8)</f>
        <v xml:space="preserve">Comparator 8: </v>
      </c>
      <c r="C725" s="411"/>
      <c r="D725" s="411"/>
      <c r="E725" s="411"/>
      <c r="F725" s="411"/>
      <c r="G725" s="412"/>
    </row>
    <row r="726" spans="1:22" s="26" customFormat="1" hidden="1" x14ac:dyDescent="0.25">
      <c r="B726" s="227"/>
      <c r="C726" s="227"/>
      <c r="D726" s="227"/>
      <c r="F726" s="303"/>
      <c r="G726" s="303"/>
      <c r="H726" s="303"/>
      <c r="I726" s="303"/>
      <c r="J726" s="303"/>
    </row>
    <row r="727" spans="1:22" s="26" customFormat="1" hidden="1" x14ac:dyDescent="0.25"/>
    <row r="728" spans="1:22" s="26" customFormat="1" ht="28.5" hidden="1" customHeight="1" thickBot="1" x14ac:dyDescent="0.3">
      <c r="B728" s="334" t="s">
        <v>118</v>
      </c>
      <c r="C728" s="334"/>
      <c r="D728" s="334"/>
      <c r="E728" s="334"/>
      <c r="K728" s="408" t="s">
        <v>209</v>
      </c>
      <c r="L728" s="408"/>
      <c r="M728" s="408"/>
      <c r="N728" s="408"/>
      <c r="O728" s="408"/>
      <c r="P728" s="225"/>
      <c r="Q728" s="225"/>
      <c r="R728" s="225"/>
      <c r="S728" s="225"/>
      <c r="T728" s="225"/>
      <c r="U728" s="225"/>
      <c r="V728" s="225"/>
    </row>
    <row r="729" spans="1:22" s="26" customFormat="1" ht="18.95" hidden="1" customHeight="1" thickBot="1" x14ac:dyDescent="0.3">
      <c r="B729" s="465" t="s">
        <v>119</v>
      </c>
      <c r="C729" s="466"/>
      <c r="D729" s="466"/>
      <c r="E729" s="466"/>
      <c r="F729" s="466"/>
      <c r="G729" s="466"/>
      <c r="H729" s="466"/>
      <c r="I729" s="467"/>
      <c r="K729" s="408"/>
      <c r="L729" s="408"/>
      <c r="M729" s="408"/>
      <c r="N729" s="408"/>
      <c r="O729" s="408"/>
      <c r="P729" s="225"/>
      <c r="Q729" s="225"/>
      <c r="R729" s="225"/>
      <c r="S729" s="225"/>
      <c r="T729" s="225"/>
      <c r="U729" s="225"/>
      <c r="V729" s="225"/>
    </row>
    <row r="730" spans="1:22" s="26" customFormat="1" ht="15.75" hidden="1" thickBot="1" x14ac:dyDescent="0.3">
      <c r="B730" s="295"/>
      <c r="C730" s="296"/>
      <c r="D730" s="296"/>
      <c r="E730" s="296"/>
      <c r="F730" s="466" t="s">
        <v>120</v>
      </c>
      <c r="G730" s="466"/>
      <c r="H730" s="466"/>
      <c r="I730" s="467"/>
      <c r="K730" s="14"/>
    </row>
    <row r="731" spans="1:22" s="26" customFormat="1" ht="15.75" hidden="1" thickBot="1" x14ac:dyDescent="0.3">
      <c r="B731" s="472" t="s">
        <v>174</v>
      </c>
      <c r="C731" s="473"/>
      <c r="D731" s="473"/>
      <c r="E731" s="474"/>
      <c r="F731" s="149"/>
      <c r="G731" s="149"/>
      <c r="H731" s="149"/>
      <c r="I731" s="149"/>
      <c r="K731" s="14" t="s">
        <v>180</v>
      </c>
    </row>
    <row r="732" spans="1:22" s="26" customFormat="1" ht="30" hidden="1" customHeight="1" thickBot="1" x14ac:dyDescent="0.3">
      <c r="B732" s="472" t="s">
        <v>106</v>
      </c>
      <c r="C732" s="473"/>
      <c r="D732" s="473"/>
      <c r="E732" s="474"/>
      <c r="F732" s="235"/>
      <c r="G732" s="235"/>
      <c r="H732" s="235"/>
      <c r="I732" s="235"/>
      <c r="J732" s="26" t="s">
        <v>104</v>
      </c>
      <c r="K732" s="408" t="s">
        <v>181</v>
      </c>
      <c r="L732" s="408"/>
      <c r="M732" s="408"/>
      <c r="N732" s="408"/>
      <c r="O732" s="408"/>
      <c r="P732" s="21"/>
      <c r="Q732" s="21"/>
      <c r="R732" s="21"/>
      <c r="S732" s="21"/>
      <c r="T732" s="21"/>
    </row>
    <row r="733" spans="1:22" s="26" customFormat="1" ht="15.75" hidden="1" thickBot="1" x14ac:dyDescent="0.3">
      <c r="A733" s="14"/>
      <c r="B733" s="472" t="s">
        <v>107</v>
      </c>
      <c r="C733" s="473"/>
      <c r="D733" s="473"/>
      <c r="E733" s="474"/>
      <c r="F733" s="151"/>
      <c r="G733" s="151"/>
      <c r="H733" s="151"/>
      <c r="I733" s="151"/>
      <c r="J733" s="236"/>
      <c r="K733" s="110" t="s">
        <v>182</v>
      </c>
      <c r="N733" s="21"/>
      <c r="O733" s="21"/>
      <c r="P733" s="21"/>
      <c r="Q733" s="21"/>
      <c r="R733" s="21"/>
      <c r="S733" s="21"/>
      <c r="T733" s="21"/>
    </row>
    <row r="734" spans="1:22" s="26" customFormat="1" ht="15.75" hidden="1" thickBot="1" x14ac:dyDescent="0.3">
      <c r="A734" s="15"/>
      <c r="B734" s="472" t="s">
        <v>108</v>
      </c>
      <c r="C734" s="473"/>
      <c r="D734" s="473"/>
      <c r="E734" s="474"/>
      <c r="F734" s="489"/>
      <c r="G734" s="490"/>
      <c r="H734" s="490"/>
      <c r="I734" s="491"/>
      <c r="J734" s="237" t="s">
        <v>104</v>
      </c>
      <c r="K734" s="110" t="s">
        <v>210</v>
      </c>
    </row>
    <row r="735" spans="1:22" s="26" customFormat="1" ht="15.75" hidden="1" thickBot="1" x14ac:dyDescent="0.3">
      <c r="A735" s="15"/>
      <c r="B735" s="472" t="s">
        <v>74</v>
      </c>
      <c r="C735" s="473"/>
      <c r="D735" s="473"/>
      <c r="E735" s="474"/>
      <c r="F735" s="492"/>
      <c r="G735" s="493"/>
      <c r="H735" s="493"/>
      <c r="I735" s="494"/>
      <c r="J735" s="237" t="s">
        <v>104</v>
      </c>
      <c r="K735" s="110" t="s">
        <v>184</v>
      </c>
    </row>
    <row r="736" spans="1:22" s="26" customFormat="1" ht="15.75" hidden="1" thickBot="1" x14ac:dyDescent="0.3">
      <c r="B736" s="472" t="s">
        <v>75</v>
      </c>
      <c r="C736" s="473"/>
      <c r="D736" s="473"/>
      <c r="E736" s="474"/>
      <c r="F736" s="492"/>
      <c r="G736" s="493"/>
      <c r="H736" s="493"/>
      <c r="I736" s="494"/>
      <c r="J736" s="26" t="s">
        <v>104</v>
      </c>
      <c r="K736" s="110" t="s">
        <v>185</v>
      </c>
    </row>
    <row r="737" spans="1:22" s="26" customFormat="1" ht="15.75" hidden="1" thickBot="1" x14ac:dyDescent="0.3">
      <c r="B737" s="472" t="s">
        <v>76</v>
      </c>
      <c r="C737" s="473"/>
      <c r="D737" s="473"/>
      <c r="E737" s="474"/>
      <c r="F737" s="492"/>
      <c r="G737" s="493"/>
      <c r="H737" s="493"/>
      <c r="I737" s="494"/>
      <c r="J737" s="237" t="s">
        <v>104</v>
      </c>
      <c r="K737" s="110" t="s">
        <v>219</v>
      </c>
    </row>
    <row r="738" spans="1:22" s="26" customFormat="1" ht="15.75" hidden="1" thickBot="1" x14ac:dyDescent="0.3">
      <c r="B738" s="472" t="s">
        <v>172</v>
      </c>
      <c r="C738" s="473"/>
      <c r="D738" s="473"/>
      <c r="E738" s="474"/>
      <c r="F738" s="492"/>
      <c r="G738" s="493"/>
      <c r="H738" s="493"/>
      <c r="I738" s="494"/>
      <c r="J738" s="237" t="s">
        <v>104</v>
      </c>
      <c r="K738" s="110" t="s">
        <v>217</v>
      </c>
    </row>
    <row r="739" spans="1:22" s="26" customFormat="1" ht="15.75" hidden="1" thickBot="1" x14ac:dyDescent="0.3">
      <c r="B739" s="472" t="s">
        <v>173</v>
      </c>
      <c r="C739" s="473"/>
      <c r="D739" s="473"/>
      <c r="E739" s="474"/>
      <c r="F739" s="492"/>
      <c r="G739" s="493"/>
      <c r="H739" s="493"/>
      <c r="I739" s="494"/>
      <c r="J739" s="237" t="s">
        <v>104</v>
      </c>
      <c r="K739" s="110" t="s">
        <v>218</v>
      </c>
    </row>
    <row r="740" spans="1:22" s="26" customFormat="1" ht="30" hidden="1" customHeight="1" x14ac:dyDescent="0.25">
      <c r="B740" s="112"/>
      <c r="C740" s="112"/>
      <c r="D740" s="112"/>
      <c r="E740" s="303"/>
      <c r="F740" s="303"/>
      <c r="G740" s="238"/>
      <c r="H740" s="303"/>
      <c r="I740" s="303"/>
      <c r="J740" s="239"/>
      <c r="K740" s="110"/>
    </row>
    <row r="741" spans="1:22" s="26" customFormat="1" ht="15.75" hidden="1" thickBot="1" x14ac:dyDescent="0.3">
      <c r="B741" s="334" t="s">
        <v>171</v>
      </c>
      <c r="C741" s="334"/>
      <c r="D741" s="334"/>
      <c r="E741" s="334"/>
      <c r="F741" s="303"/>
      <c r="G741" s="303"/>
      <c r="H741" s="303"/>
      <c r="I741" s="303"/>
      <c r="J741" s="239"/>
      <c r="K741" s="404" t="s">
        <v>195</v>
      </c>
      <c r="L741" s="404"/>
      <c r="M741" s="404"/>
      <c r="N741" s="404"/>
      <c r="O741" s="404"/>
      <c r="P741" s="292"/>
      <c r="Q741" s="292"/>
      <c r="R741" s="292"/>
      <c r="S741" s="292"/>
      <c r="T741" s="292"/>
      <c r="U741" s="292"/>
      <c r="V741" s="292"/>
    </row>
    <row r="742" spans="1:22" s="26" customFormat="1" ht="29.1" hidden="1" customHeight="1" thickBot="1" x14ac:dyDescent="0.3">
      <c r="B742" s="465" t="s">
        <v>121</v>
      </c>
      <c r="C742" s="466"/>
      <c r="D742" s="466"/>
      <c r="E742" s="466"/>
      <c r="F742" s="466"/>
      <c r="G742" s="466"/>
      <c r="H742" s="466"/>
      <c r="I742" s="467"/>
      <c r="J742" s="239"/>
      <c r="K742" s="404"/>
      <c r="L742" s="404"/>
      <c r="M742" s="404"/>
      <c r="N742" s="404"/>
      <c r="O742" s="404"/>
      <c r="P742" s="292"/>
      <c r="Q742" s="292"/>
      <c r="R742" s="292"/>
      <c r="S742" s="292"/>
      <c r="T742" s="292"/>
      <c r="U742" s="292"/>
      <c r="V742" s="292"/>
    </row>
    <row r="743" spans="1:22" s="26" customFormat="1" ht="30" hidden="1" customHeight="1" thickBot="1" x14ac:dyDescent="0.3">
      <c r="B743" s="472" t="s">
        <v>122</v>
      </c>
      <c r="C743" s="473"/>
      <c r="D743" s="473"/>
      <c r="E743" s="474"/>
      <c r="F743" s="468"/>
      <c r="G743" s="469"/>
      <c r="H743" s="470"/>
      <c r="I743" s="471"/>
      <c r="J743" s="239"/>
      <c r="K743" s="408" t="s">
        <v>186</v>
      </c>
      <c r="L743" s="408"/>
      <c r="M743" s="408"/>
      <c r="N743" s="408"/>
      <c r="O743" s="408"/>
    </row>
    <row r="744" spans="1:22" s="26" customFormat="1" ht="23.1" hidden="1" customHeight="1" thickBot="1" x14ac:dyDescent="0.3">
      <c r="B744" s="472" t="str">
        <f>B731</f>
        <v>Pack Identification</v>
      </c>
      <c r="C744" s="473"/>
      <c r="D744" s="473"/>
      <c r="E744" s="474"/>
      <c r="F744" s="192" t="str">
        <f>IF(ISBLANK(F731),"",F731)</f>
        <v/>
      </c>
      <c r="G744" s="192" t="str">
        <f t="shared" ref="G744:I744" si="52">IF(ISBLANK(G731),"",G731)</f>
        <v/>
      </c>
      <c r="H744" s="192" t="str">
        <f t="shared" si="52"/>
        <v/>
      </c>
      <c r="I744" s="192" t="str">
        <f t="shared" si="52"/>
        <v/>
      </c>
      <c r="J744" s="239"/>
      <c r="K744" s="408"/>
      <c r="L744" s="408"/>
      <c r="M744" s="408"/>
      <c r="N744" s="408"/>
      <c r="O744" s="408"/>
    </row>
    <row r="745" spans="1:22" s="26" customFormat="1" ht="15.75" hidden="1" thickBot="1" x14ac:dyDescent="0.3">
      <c r="B745" s="512" t="s">
        <v>123</v>
      </c>
      <c r="C745" s="513"/>
      <c r="D745" s="513"/>
      <c r="E745" s="514"/>
      <c r="F745" s="145"/>
      <c r="G745" s="154"/>
      <c r="H745" s="154"/>
      <c r="I745" s="154"/>
      <c r="J745" s="239"/>
      <c r="K745" s="408" t="s">
        <v>187</v>
      </c>
      <c r="L745" s="408"/>
      <c r="M745" s="408"/>
      <c r="N745" s="408"/>
      <c r="O745" s="408"/>
    </row>
    <row r="746" spans="1:22" s="26" customFormat="1" ht="75.75" hidden="1" customHeight="1" x14ac:dyDescent="0.25">
      <c r="B746" s="304"/>
      <c r="C746" s="304"/>
      <c r="D746" s="304"/>
      <c r="E746" s="304"/>
      <c r="F746" s="303"/>
      <c r="G746" s="303"/>
      <c r="H746" s="303"/>
      <c r="I746" s="303"/>
      <c r="J746" s="239"/>
      <c r="K746" s="408"/>
      <c r="L746" s="408"/>
      <c r="M746" s="408"/>
      <c r="N746" s="408"/>
      <c r="O746" s="408"/>
    </row>
    <row r="747" spans="1:22" s="26" customFormat="1" hidden="1" x14ac:dyDescent="0.25">
      <c r="B747" s="511"/>
      <c r="C747" s="511"/>
      <c r="D747" s="511"/>
      <c r="E747" s="511"/>
      <c r="K747" s="408"/>
      <c r="L747" s="408"/>
      <c r="M747" s="408"/>
      <c r="N747" s="408"/>
      <c r="O747" s="408"/>
    </row>
    <row r="748" spans="1:22" s="26" customFormat="1" hidden="1" x14ac:dyDescent="0.25">
      <c r="B748" s="303"/>
      <c r="C748" s="303"/>
      <c r="D748" s="303"/>
      <c r="E748" s="303"/>
      <c r="O748" s="21"/>
    </row>
    <row r="749" spans="1:22" s="26" customFormat="1" hidden="1" x14ac:dyDescent="0.25">
      <c r="A749" s="155"/>
      <c r="B749" s="308" t="s">
        <v>124</v>
      </c>
      <c r="C749" s="290"/>
      <c r="D749" s="66"/>
      <c r="E749" s="66"/>
      <c r="F749" s="390"/>
      <c r="G749" s="390"/>
      <c r="H749" s="390"/>
      <c r="I749" s="390"/>
      <c r="O749" s="21"/>
    </row>
    <row r="750" spans="1:22" s="26" customFormat="1" hidden="1" x14ac:dyDescent="0.25">
      <c r="A750" s="14" t="s">
        <v>125</v>
      </c>
      <c r="B750" s="290"/>
      <c r="C750" s="290"/>
      <c r="D750" s="66"/>
      <c r="E750" s="66"/>
      <c r="F750" s="290"/>
      <c r="G750" s="290"/>
      <c r="H750" s="290"/>
      <c r="I750" s="290"/>
      <c r="O750" s="21"/>
    </row>
    <row r="751" spans="1:22" s="26" customFormat="1" ht="15.75" hidden="1" thickBot="1" x14ac:dyDescent="0.3">
      <c r="B751" s="66"/>
      <c r="C751" s="66"/>
      <c r="D751" s="66"/>
      <c r="E751" s="66"/>
      <c r="F751" s="390" t="s">
        <v>126</v>
      </c>
      <c r="G751" s="390"/>
      <c r="H751" s="390"/>
      <c r="I751" s="390"/>
      <c r="O751" s="21"/>
    </row>
    <row r="752" spans="1:22" s="26" customFormat="1" ht="15.75" hidden="1" thickBot="1" x14ac:dyDescent="0.3">
      <c r="B752" s="66"/>
      <c r="C752" s="66"/>
      <c r="D752" s="66"/>
      <c r="E752" s="66"/>
      <c r="F752" s="156" t="str">
        <f>IF(F731="","",F731)</f>
        <v/>
      </c>
      <c r="G752" s="156" t="str">
        <f>IF(G731="","",G731)</f>
        <v/>
      </c>
      <c r="H752" s="156" t="str">
        <f>IF(H731="","",H731)</f>
        <v/>
      </c>
      <c r="I752" s="156" t="str">
        <f>IF(I731="","",I731)</f>
        <v/>
      </c>
      <c r="O752" s="21"/>
    </row>
    <row r="753" spans="1:15" s="26" customFormat="1" hidden="1" x14ac:dyDescent="0.25">
      <c r="A753" s="91" t="s">
        <v>77</v>
      </c>
      <c r="B753" s="475" t="s">
        <v>82</v>
      </c>
      <c r="C753" s="476"/>
      <c r="D753" s="476"/>
      <c r="E753" s="240"/>
      <c r="F753" s="241" t="str">
        <f>IF(OR(F732="",F733="",F734=""),"",IF(F732="Price to Wholesaler",F733,IF(F732="Reimbursement Price",(F755/(1+E754)*1),"Error")))</f>
        <v/>
      </c>
      <c r="G753" s="241" t="str">
        <f>IF(OR(G732="",G733="",F734=""),"",IF(G732="Price to Wholesaler",G733,IF(G732="Reimbursement Price",(G755/(1+E754)*1),"Error")))</f>
        <v/>
      </c>
      <c r="H753" s="241" t="str">
        <f>IF(OR(H732="",H733="",F734=""),"",IF(H732="Price to Wholesaler",H733,IF(H732="Reimbursement Price",(H755/(1+E754)*1),"Error")))</f>
        <v/>
      </c>
      <c r="I753" s="241" t="str">
        <f>IF(OR(I732="",I733="",F734=""),"",IF(I732="Price to Wholesaler",I733,IF(I732="Reimbursement Price",(I755/(1+E754)*1),"Error")))</f>
        <v/>
      </c>
      <c r="O753" s="21"/>
    </row>
    <row r="754" spans="1:15" s="26" customFormat="1" hidden="1" x14ac:dyDescent="0.25">
      <c r="A754" s="297" t="s">
        <v>78</v>
      </c>
      <c r="B754" s="477" t="s">
        <v>83</v>
      </c>
      <c r="C754" s="478"/>
      <c r="D754" s="478"/>
      <c r="E754" s="93" t="str">
        <f>IF(OR(F734=""),"",IF(AND(F734="CDS",F735="Yes"),CYF,IF(AND(F734="CDS",F735="No"),CNF,IF(F734="HT",CHT,IF(F734="Hosp",CHO,"Error")))))</f>
        <v/>
      </c>
      <c r="F754" s="242" t="str">
        <f>IF(OR(F734="",F733="",F732=""),"",F753*E754)</f>
        <v/>
      </c>
      <c r="G754" s="242" t="str">
        <f>IF(OR(F734="",G733="",G732=""),"",G753*E754)</f>
        <v/>
      </c>
      <c r="H754" s="242" t="str">
        <f>IF(OR(F734="",H733="",H732=""),"",H753*E754)</f>
        <v/>
      </c>
      <c r="I754" s="242" t="str">
        <f>IF(OR(F734="",I733="",I732=""),"",I753*E754)</f>
        <v/>
      </c>
      <c r="O754" s="21"/>
    </row>
    <row r="755" spans="1:15" s="26" customFormat="1" hidden="1" x14ac:dyDescent="0.25">
      <c r="A755" s="297" t="s">
        <v>79</v>
      </c>
      <c r="B755" s="477" t="str">
        <f>IF(F734="Hosp","Hospital Price", "Reimbursement Price")</f>
        <v>Reimbursement Price</v>
      </c>
      <c r="C755" s="478"/>
      <c r="D755" s="478"/>
      <c r="E755" s="243" t="str">
        <f>IF(F732="Price to Wholesaler","A+B","")</f>
        <v/>
      </c>
      <c r="F755" s="242" t="str">
        <f>IF(F732="Reimbursement Price",F733,IF(ISBLANK(E754),"",IF(F732="Price to Wholesaler",(F753+F754),IF(F732="","","Error"))))</f>
        <v/>
      </c>
      <c r="G755" s="242" t="str">
        <f>IF(G732="Reimbursement Price",G733,IF(ISBLANK(E754),"",IF(G732="Price to Wholesaler",(G753+G754),IF(G732="","","Error"))))</f>
        <v/>
      </c>
      <c r="H755" s="242" t="str">
        <f>IF(H732="Reimbursement Price",H733,IF(ISBLANK(E754),"",IF(H732="Price to Wholesaler",(H753+H754),IF(H732="","","Error"))))</f>
        <v/>
      </c>
      <c r="I755" s="242" t="str">
        <f>IF(I732="Reimbursement Price",I733,IF(ISBLANK(E754),"",IF(I732="Price to Wholesaler",(I753+I754),IF(I732="","","Error"))))</f>
        <v/>
      </c>
      <c r="O755" s="21"/>
    </row>
    <row r="756" spans="1:15" s="26" customFormat="1" hidden="1" x14ac:dyDescent="0.25">
      <c r="A756" s="297" t="s">
        <v>80</v>
      </c>
      <c r="B756" s="477" t="s">
        <v>214</v>
      </c>
      <c r="C756" s="478"/>
      <c r="D756" s="478"/>
      <c r="E756" s="268" t="str">
        <f>IF(OR(F737="",AND(F737="Yes",F738=""),AND(F737="No",F739="")),"",IF(AND(F737="No",F739="Patented Exclusive or Off Patent Exclusive and subject to clause 10 of Framework Agreement"),MR,IF(AND(F737="No",F739="Off Patent Non-Exclusive or Generic"),"None",IF(AND(F737="Yes",F738="Biosimilar"),"None",IF(AND(F737="Yes",F738="Patented or Off Patent Exclusive"),MR,IF(AND(F737="Yes",F738="Off Patent Non-Exclusive 12.5% Rebate incorporated into Price to Wholesaler"),"None",IF(AND(F737="Yes",F738="Off Patent Non-Exclusive 12.5% Rebate"),MRB,"Error")))))))</f>
        <v/>
      </c>
      <c r="F756" s="242" t="str">
        <f>IF(OR(F737="",AND(F737="Yes",F738=""),AND(F737="No",F739=""),F732="",ISBLANK(F733)),"",IF(E756="None",0,(E756*F753)))</f>
        <v/>
      </c>
      <c r="G756" s="242" t="str">
        <f>IF(OR(F737="",AND(F737="Yes",F738=""),AND(F737="No",F739=""),G732="",ISBLANK(G733)),"",IF(E756="None",0,(E756*G753)))</f>
        <v/>
      </c>
      <c r="H756" s="242" t="str">
        <f>IF(OR(F737="",AND(F737="Yes",F738=""),AND(F737="No",F739=""),H732="",ISBLANK(H733)),"",IF(E756="None",0,(E756*H753)))</f>
        <v/>
      </c>
      <c r="I756" s="242" t="str">
        <f>IF(OR(F737="",AND(F737="Yes",F738=""),AND(F737="No",F739=""),I732="",ISBLANK(I733)),"",IF(E756="None",0,(E756*I753)))</f>
        <v/>
      </c>
      <c r="O756" s="21"/>
    </row>
    <row r="757" spans="1:15" s="26" customFormat="1" ht="15.75" hidden="1" thickBot="1" x14ac:dyDescent="0.3">
      <c r="A757" s="298" t="s">
        <v>81</v>
      </c>
      <c r="B757" s="479" t="s">
        <v>94</v>
      </c>
      <c r="C757" s="480"/>
      <c r="D757" s="480"/>
      <c r="E757" s="160" t="str">
        <f>IF(F736="","",IF(F736="Yes",0,VT))</f>
        <v/>
      </c>
      <c r="F757" s="244" t="str">
        <f>IF(OR($B736="",F733="",ISBLANK(F733)),"",($E757*F755))</f>
        <v/>
      </c>
      <c r="G757" s="244" t="str">
        <f t="shared" ref="G757:I757" si="53">IF(OR($B736="",G733="",ISBLANK(G733)),"",($E757*G755))</f>
        <v/>
      </c>
      <c r="H757" s="244" t="str">
        <f t="shared" si="53"/>
        <v/>
      </c>
      <c r="I757" s="244" t="str">
        <f t="shared" si="53"/>
        <v/>
      </c>
      <c r="O757" s="21"/>
    </row>
    <row r="758" spans="1:15" s="26" customFormat="1" ht="15.75" hidden="1" thickBot="1" x14ac:dyDescent="0.3">
      <c r="A758" s="299" t="s">
        <v>127</v>
      </c>
      <c r="B758" s="481" t="s">
        <v>128</v>
      </c>
      <c r="C758" s="481"/>
      <c r="D758" s="481"/>
      <c r="E758" s="299"/>
      <c r="F758" s="245" t="str">
        <f>IF(OR(F732="",$F734="",$F736="",$F737=""),"",SUM(F755:F757))</f>
        <v/>
      </c>
      <c r="G758" s="245" t="str">
        <f t="shared" ref="G758:I758" si="54">IF(OR(G732="",$F734="",$F736="",$F737=""),"",SUM(G755:G757))</f>
        <v/>
      </c>
      <c r="H758" s="245" t="str">
        <f t="shared" si="54"/>
        <v/>
      </c>
      <c r="I758" s="245" t="str">
        <f t="shared" si="54"/>
        <v/>
      </c>
      <c r="O758" s="21"/>
    </row>
    <row r="759" spans="1:15" s="26" customFormat="1" ht="15.75" hidden="1" thickBot="1" x14ac:dyDescent="0.3">
      <c r="A759" s="299" t="s">
        <v>129</v>
      </c>
      <c r="B759" s="482" t="s">
        <v>130</v>
      </c>
      <c r="C759" s="482"/>
      <c r="D759" s="482"/>
      <c r="E759" s="245"/>
      <c r="F759" s="245" t="str">
        <f>IF(OR(F732="",$F734="",$F736="",$F737=""),"",SUM(F755:F756))</f>
        <v/>
      </c>
      <c r="G759" s="245" t="str">
        <f t="shared" ref="G759:I759" si="55">IF(OR(G732="",$F734="",$F736="",$F737=""),"",SUM(G755:G756))</f>
        <v/>
      </c>
      <c r="H759" s="245" t="str">
        <f t="shared" si="55"/>
        <v/>
      </c>
      <c r="I759" s="245" t="str">
        <f t="shared" si="55"/>
        <v/>
      </c>
      <c r="O759" s="21"/>
    </row>
    <row r="760" spans="1:15" s="26" customFormat="1" hidden="1" x14ac:dyDescent="0.25">
      <c r="B760" s="66"/>
      <c r="C760" s="66"/>
      <c r="D760" s="66"/>
      <c r="E760" s="66"/>
      <c r="K760" s="26" t="s">
        <v>131</v>
      </c>
      <c r="O760" s="21"/>
    </row>
    <row r="761" spans="1:15" s="26" customFormat="1" hidden="1" x14ac:dyDescent="0.25">
      <c r="A761" s="155" t="s">
        <v>132</v>
      </c>
      <c r="B761" s="66"/>
      <c r="C761" s="66"/>
      <c r="D761" s="66"/>
      <c r="E761" s="66"/>
      <c r="F761" s="246"/>
      <c r="G761" s="246"/>
      <c r="H761" s="246"/>
      <c r="I761" s="246"/>
      <c r="O761" s="21"/>
    </row>
    <row r="762" spans="1:15" s="26" customFormat="1" hidden="1" x14ac:dyDescent="0.25">
      <c r="A762" s="125"/>
      <c r="B762" s="125" t="s">
        <v>133</v>
      </c>
      <c r="C762" s="125"/>
      <c r="D762" s="125"/>
      <c r="E762" s="125"/>
      <c r="F762" s="125"/>
      <c r="G762" s="125"/>
      <c r="H762" s="125"/>
      <c r="O762" s="21"/>
    </row>
    <row r="763" spans="1:15" s="26" customFormat="1" hidden="1" x14ac:dyDescent="0.25">
      <c r="B763" s="21" t="s">
        <v>134</v>
      </c>
      <c r="C763" s="229"/>
      <c r="D763" s="229"/>
      <c r="E763" s="66"/>
      <c r="O763" s="21"/>
    </row>
    <row r="764" spans="1:15" s="26" customFormat="1" ht="15.75" hidden="1" thickBot="1" x14ac:dyDescent="0.3">
      <c r="B764" s="165"/>
      <c r="C764" s="229"/>
      <c r="D764" s="229"/>
      <c r="E764" s="66"/>
      <c r="O764" s="21"/>
    </row>
    <row r="765" spans="1:15" s="26" customFormat="1" ht="15.75" hidden="1" thickBot="1" x14ac:dyDescent="0.3">
      <c r="B765" s="230"/>
      <c r="C765" s="66"/>
      <c r="D765" s="66"/>
      <c r="E765" s="66"/>
      <c r="G765" s="293" t="s">
        <v>135</v>
      </c>
      <c r="H765" s="293" t="s">
        <v>136</v>
      </c>
      <c r="O765" s="21"/>
    </row>
    <row r="766" spans="1:15" s="26" customFormat="1" hidden="1" x14ac:dyDescent="0.25">
      <c r="B766" s="483" t="s">
        <v>137</v>
      </c>
      <c r="C766" s="484"/>
      <c r="D766" s="484"/>
      <c r="E766" s="484"/>
      <c r="F766" s="485"/>
      <c r="G766" s="247" t="str">
        <f>IF(F734="","",IF(F734="CDS","per dispensing",IF(F734="HT","per month",IF(F734="Hosp","No Fee", ERROR))))</f>
        <v/>
      </c>
      <c r="H766" s="248" t="str">
        <f>IF(F734="","",IF(F734="CDS",DF,IF(F734="HT",PC,IF(F734="Hosp","No Fee",ERROR))))</f>
        <v/>
      </c>
      <c r="I766" s="26" t="s">
        <v>138</v>
      </c>
      <c r="O766" s="21"/>
    </row>
    <row r="767" spans="1:15" s="26" customFormat="1" ht="15.75" hidden="1" thickBot="1" x14ac:dyDescent="0.3">
      <c r="B767" s="486" t="s">
        <v>92</v>
      </c>
      <c r="C767" s="487"/>
      <c r="D767" s="487"/>
      <c r="E767" s="487"/>
      <c r="F767" s="488"/>
      <c r="G767" s="249" t="str">
        <f>IF(OR(F734="",F736=""),"",IF(F734="Hosp","No Fee",IF(F734="HT","No VAT",IF(AND(F734="CDS",F736="No"),VT,"No VAT"))))</f>
        <v/>
      </c>
      <c r="H767" s="250" t="str">
        <f>IF(OR(F736="",F734="Hosp"),"",IF(OR(F736="Yes",F734="HT"),0,H766*G767))</f>
        <v/>
      </c>
      <c r="O767" s="21"/>
    </row>
    <row r="768" spans="1:15" s="26" customFormat="1" hidden="1" x14ac:dyDescent="0.25">
      <c r="B768" s="230"/>
      <c r="C768" s="66"/>
      <c r="D768" s="66"/>
      <c r="E768" s="66"/>
      <c r="O768" s="21"/>
    </row>
    <row r="769" spans="1:20" s="26" customFormat="1" hidden="1" x14ac:dyDescent="0.25">
      <c r="B769" s="230"/>
      <c r="C769" s="66"/>
      <c r="D769" s="66"/>
      <c r="E769" s="66"/>
      <c r="O769" s="21"/>
    </row>
    <row r="770" spans="1:20" s="26" customFormat="1" ht="33.950000000000003" hidden="1" customHeight="1" thickBot="1" x14ac:dyDescent="0.3">
      <c r="A770" s="165" t="s">
        <v>193</v>
      </c>
      <c r="B770" s="230"/>
      <c r="C770" s="66"/>
      <c r="D770" s="66"/>
      <c r="E770" s="66"/>
      <c r="K770" s="408" t="s">
        <v>197</v>
      </c>
      <c r="L770" s="408"/>
      <c r="M770" s="408"/>
      <c r="N770" s="408"/>
      <c r="O770" s="408"/>
      <c r="P770" s="195"/>
      <c r="Q770" s="195"/>
      <c r="R770" s="195"/>
      <c r="S770" s="195"/>
      <c r="T770" s="195"/>
    </row>
    <row r="771" spans="1:20" s="26" customFormat="1" ht="17.100000000000001" hidden="1" customHeight="1" thickBot="1" x14ac:dyDescent="0.3">
      <c r="A771" s="14" t="s">
        <v>194</v>
      </c>
      <c r="B771" s="230"/>
      <c r="C771" s="66"/>
      <c r="D771" s="66"/>
      <c r="E771" s="66"/>
      <c r="G771" s="293" t="s">
        <v>101</v>
      </c>
      <c r="H771" s="293" t="s">
        <v>136</v>
      </c>
      <c r="K771" s="408" t="str">
        <f>IF(F734="HT","For High tech, if a treatment cycle =28 days the corresponding pharmacy fee is =62.03*12/365.25*28.  The pharmacy fee remains the same regardless of the number of products dispensed that month.",IF(F734="CDS","For CDS, if 2 packets of the same pack presentation are required per treatment cycle, one dispensing fee applies (€5.48). If multiple pack presentations are required, multiple dispensing fees apply",""))</f>
        <v/>
      </c>
      <c r="L771" s="408"/>
      <c r="M771" s="408"/>
      <c r="N771" s="408"/>
      <c r="O771" s="408"/>
      <c r="P771" s="195"/>
      <c r="Q771" s="195"/>
      <c r="R771" s="195"/>
      <c r="S771" s="195"/>
      <c r="T771" s="195"/>
    </row>
    <row r="772" spans="1:20" s="26" customFormat="1" ht="16.5" hidden="1" customHeight="1" x14ac:dyDescent="0.25">
      <c r="A772" s="170" t="s">
        <v>139</v>
      </c>
      <c r="B772" s="504" t="s">
        <v>140</v>
      </c>
      <c r="C772" s="504"/>
      <c r="D772" s="504"/>
      <c r="E772" s="504"/>
      <c r="F772" s="504"/>
      <c r="G772" s="251"/>
      <c r="H772" s="252"/>
      <c r="K772" s="408"/>
      <c r="L772" s="408"/>
      <c r="M772" s="408"/>
      <c r="N772" s="408"/>
      <c r="O772" s="408"/>
      <c r="P772" s="195"/>
      <c r="Q772" s="195"/>
      <c r="R772" s="195"/>
      <c r="S772" s="195"/>
      <c r="T772" s="195"/>
    </row>
    <row r="773" spans="1:20" s="26" customFormat="1" hidden="1" x14ac:dyDescent="0.25">
      <c r="A773" s="173" t="s">
        <v>141</v>
      </c>
      <c r="B773" s="505" t="s">
        <v>142</v>
      </c>
      <c r="C773" s="505"/>
      <c r="D773" s="505"/>
      <c r="E773" s="505"/>
      <c r="F773" s="505"/>
      <c r="G773" s="253"/>
      <c r="H773" s="254"/>
      <c r="K773" s="14" t="s">
        <v>188</v>
      </c>
      <c r="O773" s="21"/>
    </row>
    <row r="774" spans="1:20" s="26" customFormat="1" hidden="1" x14ac:dyDescent="0.25">
      <c r="A774" s="173" t="s">
        <v>143</v>
      </c>
      <c r="B774" s="505" t="s">
        <v>144</v>
      </c>
      <c r="C774" s="505"/>
      <c r="D774" s="505"/>
      <c r="E774" s="505"/>
      <c r="F774" s="505"/>
      <c r="G774" s="253"/>
      <c r="H774" s="254"/>
      <c r="K774" s="14" t="s">
        <v>189</v>
      </c>
      <c r="O774" s="21"/>
    </row>
    <row r="775" spans="1:20" s="26" customFormat="1" hidden="1" x14ac:dyDescent="0.25">
      <c r="A775" s="173" t="s">
        <v>145</v>
      </c>
      <c r="B775" s="505" t="s">
        <v>146</v>
      </c>
      <c r="C775" s="505"/>
      <c r="D775" s="505"/>
      <c r="E775" s="505"/>
      <c r="F775" s="505"/>
      <c r="G775" s="255"/>
      <c r="H775" s="256" t="str">
        <f>IF(ISBLANK(H772),"",SUM(H772:H774))</f>
        <v/>
      </c>
      <c r="O775" s="21"/>
    </row>
    <row r="776" spans="1:20" s="26" customFormat="1" ht="15.75" hidden="1" thickBot="1" x14ac:dyDescent="0.3">
      <c r="A776" s="178" t="s">
        <v>147</v>
      </c>
      <c r="B776" s="515" t="s">
        <v>196</v>
      </c>
      <c r="C776" s="515"/>
      <c r="D776" s="515"/>
      <c r="E776" s="515"/>
      <c r="F776" s="515"/>
      <c r="G776" s="257"/>
      <c r="H776" s="250" t="str">
        <f>IF(ISBLANK(H772),"",SUM(H772:H773))</f>
        <v/>
      </c>
      <c r="O776" s="21"/>
    </row>
    <row r="777" spans="1:20" s="26" customFormat="1" hidden="1" x14ac:dyDescent="0.25">
      <c r="B777" s="66"/>
      <c r="C777" s="66"/>
      <c r="D777" s="66"/>
      <c r="E777" s="66"/>
      <c r="O777" s="21"/>
    </row>
    <row r="778" spans="1:20" s="26" customFormat="1" hidden="1" x14ac:dyDescent="0.25">
      <c r="B778" s="66"/>
      <c r="C778" s="66"/>
      <c r="D778" s="66"/>
      <c r="E778" s="66"/>
      <c r="O778" s="21"/>
    </row>
    <row r="779" spans="1:20" s="26" customFormat="1" hidden="1" x14ac:dyDescent="0.25">
      <c r="A779" s="155" t="s">
        <v>148</v>
      </c>
      <c r="B779" s="66"/>
      <c r="C779" s="66"/>
      <c r="D779" s="66"/>
      <c r="E779" s="66"/>
      <c r="O779" s="21"/>
    </row>
    <row r="780" spans="1:20" s="26" customFormat="1" ht="15.75" hidden="1" thickBot="1" x14ac:dyDescent="0.3">
      <c r="B780" s="66"/>
      <c r="C780" s="66"/>
      <c r="D780" s="66"/>
      <c r="E780" s="66"/>
      <c r="O780" s="21"/>
    </row>
    <row r="781" spans="1:20" s="26" customFormat="1" ht="29.1" hidden="1" customHeight="1" x14ac:dyDescent="0.25">
      <c r="A781" s="65"/>
      <c r="B781" s="303"/>
      <c r="C781" s="303"/>
      <c r="D781" s="303"/>
      <c r="E781" s="303"/>
      <c r="F781" s="506" t="s">
        <v>149</v>
      </c>
      <c r="G781" s="180" t="s">
        <v>150</v>
      </c>
      <c r="H781" s="508" t="s">
        <v>151</v>
      </c>
      <c r="I781" s="180" t="s">
        <v>152</v>
      </c>
      <c r="J781" s="66"/>
      <c r="K781" s="408" t="s">
        <v>190</v>
      </c>
      <c r="L781" s="408"/>
      <c r="M781" s="408"/>
      <c r="N781" s="408"/>
      <c r="O781" s="408"/>
    </row>
    <row r="782" spans="1:20" s="26" customFormat="1" hidden="1" x14ac:dyDescent="0.25">
      <c r="A782" s="65"/>
      <c r="B782" s="303"/>
      <c r="C782" s="303"/>
      <c r="D782" s="303"/>
      <c r="E782" s="303"/>
      <c r="F782" s="507"/>
      <c r="G782" s="253"/>
      <c r="H782" s="509"/>
      <c r="I782" s="182"/>
      <c r="J782" s="66"/>
      <c r="K782" s="408"/>
      <c r="L782" s="408"/>
      <c r="M782" s="408"/>
      <c r="N782" s="408"/>
      <c r="O782" s="408"/>
    </row>
    <row r="783" spans="1:20" s="26" customFormat="1" ht="15.75" hidden="1" thickBot="1" x14ac:dyDescent="0.3">
      <c r="A783" s="65"/>
      <c r="B783" s="303"/>
      <c r="C783" s="303"/>
      <c r="D783" s="303"/>
      <c r="E783" s="303"/>
      <c r="F783" s="507"/>
      <c r="G783" s="183" t="s">
        <v>153</v>
      </c>
      <c r="H783" s="510"/>
      <c r="I783" s="184"/>
      <c r="J783" s="66"/>
      <c r="K783" s="408"/>
      <c r="L783" s="408"/>
      <c r="M783" s="408"/>
      <c r="N783" s="408"/>
      <c r="O783" s="408"/>
    </row>
    <row r="784" spans="1:20" s="26" customFormat="1" hidden="1" x14ac:dyDescent="0.25">
      <c r="A784" s="247" t="s">
        <v>77</v>
      </c>
      <c r="B784" s="463" t="str">
        <f>B753</f>
        <v>Price to Wholesaler</v>
      </c>
      <c r="C784" s="463"/>
      <c r="D784" s="463"/>
      <c r="E784" s="463"/>
      <c r="F784" s="256">
        <f>SUMPRODUCT(F753:I753,F745:I745)</f>
        <v>0</v>
      </c>
      <c r="G784" s="256">
        <f>F784*G782</f>
        <v>0</v>
      </c>
      <c r="H784" s="256" t="str">
        <f>IF(H743="Days",F784/F743*365.25,IF(H743="Months",F784/F743*12,""))</f>
        <v/>
      </c>
      <c r="I784" s="256" t="str">
        <f>IF(AND(H743="Days",I783="Days"),F784/F743*I782,IF(AND(H743="Months",I783="Months"),F784/F743*I782,IF(AND(H743="Days",I783="Months"),F784/F743*30.4375*I782,IF(AND(H743="Months",I783="Days"),F784/F743/30.4375*I782,""))))</f>
        <v/>
      </c>
      <c r="O784" s="21"/>
    </row>
    <row r="785" spans="1:19" s="26" customFormat="1" hidden="1" x14ac:dyDescent="0.25">
      <c r="A785" s="255" t="s">
        <v>78</v>
      </c>
      <c r="B785" s="464" t="str">
        <f>B754</f>
        <v>Wholesale Mark-up</v>
      </c>
      <c r="C785" s="464"/>
      <c r="D785" s="464"/>
      <c r="E785" s="464"/>
      <c r="F785" s="256">
        <f>SUMPRODUCT(F754:I754,F745:I745)</f>
        <v>0</v>
      </c>
      <c r="G785" s="256">
        <f>F785*G782</f>
        <v>0</v>
      </c>
      <c r="H785" s="256" t="str">
        <f>IF(H743="Days",F785/F743*365.25,IF(H743="Months",F785/F743*12,""))</f>
        <v/>
      </c>
      <c r="I785" s="256" t="str">
        <f>IF(AND(H743="Days",I783="Days"),F785/F743*I782,IF(AND(H743="Months",I783="Months"),F785/F743*I782,IF(AND(H743="Days",I783="Months"),F785/F743*30.4375*I782,IF(AND(H743="Months",I783="Days"),F785/F743/30.4375*I782,""))))</f>
        <v/>
      </c>
      <c r="O785" s="21"/>
    </row>
    <row r="786" spans="1:19" s="26" customFormat="1" hidden="1" x14ac:dyDescent="0.25">
      <c r="A786" s="255" t="s">
        <v>79</v>
      </c>
      <c r="B786" s="294" t="str">
        <f>B755</f>
        <v>Reimbursement Price</v>
      </c>
      <c r="C786" s="300"/>
      <c r="D786" s="301"/>
      <c r="E786" s="302"/>
      <c r="F786" s="256">
        <f>SUMPRODUCT(F755:I755,F745:I745)</f>
        <v>0</v>
      </c>
      <c r="G786" s="256">
        <f>F786*G782</f>
        <v>0</v>
      </c>
      <c r="H786" s="256" t="str">
        <f>IF(H743="Days",F786/F743*365.25,IF(H743="Months",F786/F743*12,""))</f>
        <v/>
      </c>
      <c r="I786" s="256" t="str">
        <f>IF(AND(H743="Days",I783="Days"),F786/F743*I782,IF(AND(H743="Months",I783="Months"),F786/F743*I782,IF(AND(H743="Days",I783="Months"),F786/F743*30.4375*I782,IF(AND(H743="Months",I783="Days"),F786/F743/30.4375*I782,""))))</f>
        <v/>
      </c>
      <c r="O786" s="21"/>
    </row>
    <row r="787" spans="1:19" s="26" customFormat="1" hidden="1" x14ac:dyDescent="0.25">
      <c r="A787" s="255" t="s">
        <v>80</v>
      </c>
      <c r="B787" s="495" t="str">
        <f>B756</f>
        <v>Framework Agreement Rebate</v>
      </c>
      <c r="C787" s="496"/>
      <c r="D787" s="496"/>
      <c r="E787" s="497"/>
      <c r="F787" s="256">
        <f>SUMPRODUCT(F756:I756,F745:I745)</f>
        <v>0</v>
      </c>
      <c r="G787" s="256">
        <f>F787*G782</f>
        <v>0</v>
      </c>
      <c r="H787" s="256" t="str">
        <f>IF(H743="Days",F787/F743*365.25,IF(H743="Months",F787/F743*12,""))</f>
        <v/>
      </c>
      <c r="I787" s="256" t="str">
        <f>IF(AND(H743="Days",I783="Days"),F787/F743*I782,IF(AND(H743="Months",I783="Months"),F787/F743*I782,IF(AND(H743="Days",I783="Months"),F787/F743*30.4375*I782,IF(AND(H743="Months",I783="Days"),F787/F743/30.4375*I782,""))))</f>
        <v/>
      </c>
      <c r="O787" s="21"/>
    </row>
    <row r="788" spans="1:19" s="26" customFormat="1" hidden="1" x14ac:dyDescent="0.25">
      <c r="A788" s="255" t="s">
        <v>81</v>
      </c>
      <c r="B788" s="495" t="str">
        <f>B757</f>
        <v xml:space="preserve">VAT on Drug Cost </v>
      </c>
      <c r="C788" s="496"/>
      <c r="D788" s="496"/>
      <c r="E788" s="497"/>
      <c r="F788" s="256">
        <f>SUMPRODUCT(F757:I757,F745:I745)</f>
        <v>0</v>
      </c>
      <c r="G788" s="256">
        <f>F788*G782</f>
        <v>0</v>
      </c>
      <c r="H788" s="256" t="str">
        <f>IF(H743="Days",F788/F743*365.25,IF(H743="Months",F788/F743*12,""))</f>
        <v/>
      </c>
      <c r="I788" s="256" t="str">
        <f>IF(AND(H743="Days",I783="Days"),F788/F743*I782,IF(AND(H743="Months",I783="Months"),F788/F743*I782,IF(AND(H743="Days",I783="Months"),F788/F743*30.4375*I782,IF(AND(H743="Months",I783="Days"),F788/F743/30.4375*I782,""))))</f>
        <v/>
      </c>
      <c r="O788" s="21"/>
    </row>
    <row r="789" spans="1:19" s="26" customFormat="1" hidden="1" x14ac:dyDescent="0.25">
      <c r="A789" s="255" t="s">
        <v>154</v>
      </c>
      <c r="B789" s="495" t="s">
        <v>155</v>
      </c>
      <c r="C789" s="496"/>
      <c r="D789" s="496"/>
      <c r="E789" s="497"/>
      <c r="F789" s="256" t="str">
        <f>IF(H775="","",H775)</f>
        <v/>
      </c>
      <c r="G789" s="256" t="str">
        <f>IF(F789="","",F789*G782)</f>
        <v/>
      </c>
      <c r="H789" s="256" t="str">
        <f>IF(F789="","",IF(H743="Days",F789/F743*365.25,IF(H743="Months",F789/F743*12,"")))</f>
        <v/>
      </c>
      <c r="I789" s="256" t="str">
        <f>IF(F789="","",IF(AND(H743="Days",I783="Days"),F789/F743*I782,IF(AND(H743="Months",I783="Months"),F789/F743*I782,IF(AND(H743="Days",I783="Months"),F789/F743*30.4375*I782,IF(AND(H743="Months",I783="Days"),F789/F743/30.4375*I782,"")))))</f>
        <v/>
      </c>
      <c r="O789" s="21"/>
    </row>
    <row r="790" spans="1:19" s="26" customFormat="1" hidden="1" x14ac:dyDescent="0.25">
      <c r="A790" s="255" t="s">
        <v>156</v>
      </c>
      <c r="B790" s="495" t="s">
        <v>157</v>
      </c>
      <c r="C790" s="496"/>
      <c r="D790" s="496"/>
      <c r="E790" s="497"/>
      <c r="F790" s="256" t="str">
        <f>IF(H776="","",H776)</f>
        <v/>
      </c>
      <c r="G790" s="256" t="str">
        <f>IF(F790="","",F790*G782)</f>
        <v/>
      </c>
      <c r="H790" s="256" t="str">
        <f>IF(F790="","",IF(H743="Days",F790/F743*365.25,IF(H743="Months",F790/F743*12,"")))</f>
        <v/>
      </c>
      <c r="I790" s="256" t="str">
        <f>IF(F790="","",IF(AND(H743="Days",I783="Days"),F790/F743*I782,IF(AND(H743="Months",I783="Months"),F790/F743*I782,IF(AND(H743="Days",I783="Months"),F790/F743*30.4375*I782,IF(AND(H743="Months",I783="Days"),F790/F743/30.4375*I782,"")))))</f>
        <v/>
      </c>
      <c r="O790" s="21"/>
    </row>
    <row r="791" spans="1:19" s="155" customFormat="1" hidden="1" x14ac:dyDescent="0.25">
      <c r="A791" s="186" t="s">
        <v>158</v>
      </c>
      <c r="B791" s="498" t="s">
        <v>159</v>
      </c>
      <c r="C791" s="499"/>
      <c r="D791" s="499"/>
      <c r="E791" s="500"/>
      <c r="F791" s="187">
        <f>SUM(F786:F789)</f>
        <v>0</v>
      </c>
      <c r="G791" s="187">
        <f t="shared" ref="G791:I791" si="56">SUM(G786:G789)</f>
        <v>0</v>
      </c>
      <c r="H791" s="187">
        <f t="shared" si="56"/>
        <v>0</v>
      </c>
      <c r="I791" s="187">
        <f t="shared" si="56"/>
        <v>0</v>
      </c>
      <c r="K791" s="98" t="s">
        <v>191</v>
      </c>
      <c r="O791" s="189"/>
    </row>
    <row r="792" spans="1:19" s="26" customFormat="1" ht="15.75" hidden="1" thickBot="1" x14ac:dyDescent="0.3">
      <c r="A792" s="257" t="s">
        <v>160</v>
      </c>
      <c r="B792" s="501" t="s">
        <v>161</v>
      </c>
      <c r="C792" s="502"/>
      <c r="D792" s="502"/>
      <c r="E792" s="503"/>
      <c r="F792" s="250">
        <f>IF(F790="",SUM(F786+F787),F786+F787+F790)</f>
        <v>0</v>
      </c>
      <c r="G792" s="250">
        <f t="shared" ref="G792" si="57">IF(G790="",SUM(G786+G787),G786+G787+G790)</f>
        <v>0</v>
      </c>
      <c r="H792" s="250" t="e">
        <f>IF(H790="",SUM(H786+H787),H786+H787+H790)</f>
        <v>#VALUE!</v>
      </c>
      <c r="I792" s="250" t="e">
        <f t="shared" ref="I792" si="58">IF(I790="",SUM(I786+I787),I786+I787+I790)</f>
        <v>#VALUE!</v>
      </c>
      <c r="K792" s="14" t="s">
        <v>192</v>
      </c>
      <c r="O792" s="21"/>
    </row>
    <row r="793" spans="1:19" s="26" customFormat="1" hidden="1" x14ac:dyDescent="0.25">
      <c r="B793" s="229"/>
      <c r="C793" s="66"/>
      <c r="D793" s="66"/>
      <c r="E793" s="66"/>
      <c r="O793" s="21"/>
    </row>
    <row r="794" spans="1:19" s="26" customFormat="1" hidden="1" x14ac:dyDescent="0.25"/>
    <row r="795" spans="1:19" s="26" customFormat="1" hidden="1" x14ac:dyDescent="0.25">
      <c r="B795" s="308" t="s">
        <v>101</v>
      </c>
      <c r="C795" s="308"/>
      <c r="D795" s="308"/>
      <c r="E795" s="308"/>
    </row>
    <row r="796" spans="1:19" s="26" customFormat="1" ht="15.75" hidden="1" customHeight="1" x14ac:dyDescent="0.25"/>
    <row r="797" spans="1:19" s="26" customFormat="1" hidden="1" x14ac:dyDescent="0.25">
      <c r="B797" s="234"/>
      <c r="C797" s="234"/>
      <c r="D797" s="234"/>
      <c r="E797" s="234"/>
      <c r="F797" s="234"/>
      <c r="G797" s="234"/>
      <c r="H797" s="234"/>
      <c r="I797" s="234"/>
      <c r="J797" s="234"/>
      <c r="K797" s="234"/>
      <c r="L797" s="234"/>
      <c r="M797" s="234"/>
      <c r="N797" s="234"/>
      <c r="O797" s="234"/>
      <c r="P797" s="234"/>
      <c r="Q797" s="234"/>
      <c r="R797" s="234"/>
      <c r="S797" s="234"/>
    </row>
    <row r="798" spans="1:19" s="26" customFormat="1" hidden="1" x14ac:dyDescent="0.25">
      <c r="B798" s="234"/>
      <c r="C798" s="234"/>
      <c r="D798" s="234"/>
      <c r="E798" s="234"/>
      <c r="F798" s="234"/>
      <c r="G798" s="234"/>
      <c r="H798" s="234"/>
      <c r="I798" s="234"/>
      <c r="J798" s="234"/>
      <c r="K798" s="234"/>
      <c r="L798" s="234"/>
      <c r="M798" s="234"/>
      <c r="N798" s="234"/>
      <c r="O798" s="234"/>
      <c r="P798" s="234"/>
      <c r="Q798" s="234"/>
      <c r="R798" s="234"/>
      <c r="S798" s="234"/>
    </row>
    <row r="799" spans="1:19" s="26" customFormat="1" hidden="1" x14ac:dyDescent="0.25">
      <c r="B799" s="234"/>
      <c r="C799" s="234"/>
      <c r="D799" s="234"/>
      <c r="E799" s="234"/>
      <c r="F799" s="234"/>
      <c r="G799" s="234"/>
      <c r="H799" s="234"/>
      <c r="I799" s="234"/>
      <c r="J799" s="234"/>
      <c r="K799" s="234"/>
      <c r="L799" s="234"/>
      <c r="M799" s="234"/>
      <c r="N799" s="234"/>
      <c r="O799" s="234"/>
      <c r="P799" s="234"/>
      <c r="Q799" s="234"/>
      <c r="R799" s="234"/>
      <c r="S799" s="234"/>
    </row>
    <row r="800" spans="1:19" s="26" customFormat="1" hidden="1" x14ac:dyDescent="0.25">
      <c r="B800" s="234"/>
      <c r="C800" s="234"/>
      <c r="D800" s="234"/>
      <c r="E800" s="234"/>
      <c r="F800" s="234"/>
      <c r="G800" s="234"/>
      <c r="H800" s="234"/>
      <c r="I800" s="234"/>
      <c r="J800" s="234"/>
      <c r="K800" s="234"/>
      <c r="L800" s="234"/>
      <c r="M800" s="234"/>
      <c r="N800" s="234"/>
      <c r="O800" s="234"/>
      <c r="P800" s="234"/>
      <c r="Q800" s="234"/>
      <c r="R800" s="234"/>
      <c r="S800" s="234"/>
    </row>
    <row r="801" spans="2:22" s="26" customFormat="1" hidden="1" x14ac:dyDescent="0.25">
      <c r="B801" s="234"/>
      <c r="C801" s="234"/>
      <c r="D801" s="234"/>
      <c r="E801" s="234"/>
      <c r="F801" s="234"/>
      <c r="G801" s="234"/>
      <c r="H801" s="234"/>
      <c r="I801" s="234"/>
      <c r="J801" s="234"/>
      <c r="K801" s="234"/>
      <c r="L801" s="234"/>
      <c r="M801" s="234"/>
      <c r="N801" s="234"/>
      <c r="O801" s="234"/>
      <c r="P801" s="234"/>
      <c r="Q801" s="234"/>
      <c r="R801" s="234"/>
      <c r="S801" s="234"/>
    </row>
    <row r="802" spans="2:22" s="26" customFormat="1" hidden="1" x14ac:dyDescent="0.25">
      <c r="B802" s="234"/>
      <c r="C802" s="234"/>
      <c r="D802" s="234"/>
      <c r="E802" s="234"/>
      <c r="F802" s="234"/>
      <c r="G802" s="234"/>
      <c r="H802" s="234"/>
      <c r="I802" s="234"/>
      <c r="J802" s="234"/>
      <c r="K802" s="234"/>
      <c r="L802" s="234"/>
      <c r="M802" s="234"/>
      <c r="N802" s="234"/>
      <c r="O802" s="234"/>
      <c r="P802" s="234"/>
      <c r="Q802" s="234"/>
      <c r="R802" s="234"/>
      <c r="S802" s="234"/>
    </row>
    <row r="803" spans="2:22" s="26" customFormat="1" hidden="1" x14ac:dyDescent="0.25">
      <c r="B803" s="234"/>
      <c r="C803" s="234"/>
      <c r="D803" s="234"/>
      <c r="E803" s="234"/>
      <c r="F803" s="234"/>
      <c r="G803" s="234"/>
      <c r="H803" s="234"/>
      <c r="I803" s="234"/>
      <c r="J803" s="234"/>
      <c r="K803" s="234"/>
      <c r="L803" s="234"/>
      <c r="M803" s="234"/>
      <c r="N803" s="234"/>
      <c r="O803" s="234"/>
      <c r="P803" s="234"/>
      <c r="Q803" s="234"/>
      <c r="R803" s="234"/>
      <c r="S803" s="234"/>
    </row>
    <row r="804" spans="2:22" s="26" customFormat="1" hidden="1" x14ac:dyDescent="0.25">
      <c r="B804" s="234"/>
      <c r="C804" s="234"/>
      <c r="D804" s="234"/>
      <c r="E804" s="234"/>
      <c r="F804" s="234"/>
      <c r="G804" s="234"/>
      <c r="H804" s="234"/>
      <c r="I804" s="234"/>
      <c r="J804" s="234"/>
      <c r="K804" s="234"/>
      <c r="L804" s="234"/>
      <c r="M804" s="234"/>
      <c r="N804" s="234"/>
      <c r="O804" s="234"/>
      <c r="P804" s="234"/>
      <c r="Q804" s="234"/>
      <c r="R804" s="234"/>
      <c r="S804" s="234"/>
    </row>
    <row r="805" spans="2:22" s="26" customFormat="1" hidden="1" x14ac:dyDescent="0.25">
      <c r="B805" s="234"/>
      <c r="C805" s="234"/>
      <c r="D805" s="234"/>
      <c r="E805" s="234"/>
      <c r="F805" s="234"/>
      <c r="G805" s="234"/>
      <c r="H805" s="234"/>
      <c r="I805" s="234"/>
      <c r="J805" s="234"/>
      <c r="K805" s="234"/>
      <c r="L805" s="234"/>
      <c r="M805" s="234"/>
      <c r="N805" s="234"/>
      <c r="O805" s="234"/>
      <c r="P805" s="234"/>
      <c r="Q805" s="234"/>
      <c r="R805" s="234"/>
      <c r="S805" s="234"/>
    </row>
    <row r="806" spans="2:22" s="26" customFormat="1" hidden="1" x14ac:dyDescent="0.25">
      <c r="B806" s="234"/>
      <c r="C806" s="234"/>
      <c r="D806" s="234"/>
      <c r="E806" s="234"/>
      <c r="F806" s="234"/>
      <c r="G806" s="234"/>
      <c r="H806" s="234"/>
      <c r="I806" s="234"/>
      <c r="J806" s="234"/>
      <c r="K806" s="234"/>
      <c r="L806" s="234"/>
      <c r="M806" s="234"/>
      <c r="N806" s="234"/>
      <c r="O806" s="234"/>
      <c r="P806" s="234"/>
      <c r="Q806" s="234"/>
      <c r="R806" s="234"/>
      <c r="S806" s="234"/>
    </row>
    <row r="807" spans="2:22" hidden="1" x14ac:dyDescent="0.25"/>
    <row r="808" spans="2:22" hidden="1" x14ac:dyDescent="0.25"/>
    <row r="809" spans="2:22" ht="15.75" hidden="1" thickBot="1" x14ac:dyDescent="0.3"/>
    <row r="810" spans="2:22" s="26" customFormat="1" ht="15.75" hidden="1" thickBot="1" x14ac:dyDescent="0.3">
      <c r="B810" s="410" t="str">
        <f>CONCATENATE("Comparator 9: ",NameComparator9)</f>
        <v xml:space="preserve">Comparator 9: </v>
      </c>
      <c r="C810" s="411"/>
      <c r="D810" s="411"/>
      <c r="E810" s="411"/>
      <c r="F810" s="411"/>
      <c r="G810" s="412"/>
    </row>
    <row r="811" spans="2:22" s="26" customFormat="1" hidden="1" x14ac:dyDescent="0.25">
      <c r="B811" s="227"/>
      <c r="C811" s="227"/>
      <c r="D811" s="227"/>
      <c r="F811" s="303"/>
      <c r="G811" s="303"/>
      <c r="H811" s="303"/>
      <c r="I811" s="303"/>
      <c r="J811" s="303"/>
    </row>
    <row r="812" spans="2:22" s="26" customFormat="1" hidden="1" x14ac:dyDescent="0.25"/>
    <row r="813" spans="2:22" s="26" customFormat="1" ht="28.5" hidden="1" customHeight="1" thickBot="1" x14ac:dyDescent="0.3">
      <c r="B813" s="334" t="s">
        <v>118</v>
      </c>
      <c r="C813" s="334"/>
      <c r="D813" s="334"/>
      <c r="E813" s="334"/>
      <c r="K813" s="408" t="s">
        <v>209</v>
      </c>
      <c r="L813" s="408"/>
      <c r="M813" s="408"/>
      <c r="N813" s="408"/>
      <c r="O813" s="408"/>
      <c r="P813" s="225"/>
      <c r="Q813" s="225"/>
      <c r="R813" s="225"/>
      <c r="S813" s="225"/>
      <c r="T813" s="225"/>
      <c r="U813" s="225"/>
      <c r="V813" s="225"/>
    </row>
    <row r="814" spans="2:22" s="26" customFormat="1" ht="18.95" hidden="1" customHeight="1" thickBot="1" x14ac:dyDescent="0.3">
      <c r="B814" s="465" t="s">
        <v>119</v>
      </c>
      <c r="C814" s="466"/>
      <c r="D814" s="466"/>
      <c r="E814" s="466"/>
      <c r="F814" s="466"/>
      <c r="G814" s="466"/>
      <c r="H814" s="466"/>
      <c r="I814" s="467"/>
      <c r="K814" s="408"/>
      <c r="L814" s="408"/>
      <c r="M814" s="408"/>
      <c r="N814" s="408"/>
      <c r="O814" s="408"/>
      <c r="P814" s="225"/>
      <c r="Q814" s="225"/>
      <c r="R814" s="225"/>
      <c r="S814" s="225"/>
      <c r="T814" s="225"/>
      <c r="U814" s="225"/>
      <c r="V814" s="225"/>
    </row>
    <row r="815" spans="2:22" s="26" customFormat="1" ht="15.75" hidden="1" thickBot="1" x14ac:dyDescent="0.3">
      <c r="B815" s="295"/>
      <c r="C815" s="296"/>
      <c r="D815" s="296"/>
      <c r="E815" s="296"/>
      <c r="F815" s="466" t="s">
        <v>120</v>
      </c>
      <c r="G815" s="466"/>
      <c r="H815" s="466"/>
      <c r="I815" s="467"/>
      <c r="K815" s="14"/>
    </row>
    <row r="816" spans="2:22" s="26" customFormat="1" ht="15.75" hidden="1" thickBot="1" x14ac:dyDescent="0.3">
      <c r="B816" s="472" t="s">
        <v>174</v>
      </c>
      <c r="C816" s="473"/>
      <c r="D816" s="473"/>
      <c r="E816" s="474"/>
      <c r="F816" s="149"/>
      <c r="G816" s="149"/>
      <c r="H816" s="149"/>
      <c r="I816" s="149"/>
      <c r="K816" s="14" t="s">
        <v>180</v>
      </c>
    </row>
    <row r="817" spans="1:22" s="26" customFormat="1" ht="30" hidden="1" customHeight="1" thickBot="1" x14ac:dyDescent="0.3">
      <c r="B817" s="472" t="s">
        <v>106</v>
      </c>
      <c r="C817" s="473"/>
      <c r="D817" s="473"/>
      <c r="E817" s="474"/>
      <c r="F817" s="235"/>
      <c r="G817" s="235"/>
      <c r="H817" s="235"/>
      <c r="I817" s="235"/>
      <c r="J817" s="26" t="s">
        <v>104</v>
      </c>
      <c r="K817" s="408" t="s">
        <v>181</v>
      </c>
      <c r="L817" s="408"/>
      <c r="M817" s="408"/>
      <c r="N817" s="408"/>
      <c r="O817" s="408"/>
      <c r="P817" s="21"/>
      <c r="Q817" s="21"/>
      <c r="R817" s="21"/>
      <c r="S817" s="21"/>
      <c r="T817" s="21"/>
    </row>
    <row r="818" spans="1:22" s="26" customFormat="1" ht="15.75" hidden="1" thickBot="1" x14ac:dyDescent="0.3">
      <c r="A818" s="14"/>
      <c r="B818" s="472" t="s">
        <v>107</v>
      </c>
      <c r="C818" s="473"/>
      <c r="D818" s="473"/>
      <c r="E818" s="474"/>
      <c r="F818" s="151"/>
      <c r="G818" s="151"/>
      <c r="H818" s="151"/>
      <c r="I818" s="151"/>
      <c r="J818" s="236"/>
      <c r="K818" s="110" t="s">
        <v>182</v>
      </c>
      <c r="N818" s="21"/>
      <c r="O818" s="21"/>
      <c r="P818" s="21"/>
      <c r="Q818" s="21"/>
      <c r="R818" s="21"/>
      <c r="S818" s="21"/>
      <c r="T818" s="21"/>
    </row>
    <row r="819" spans="1:22" s="26" customFormat="1" ht="15.75" hidden="1" thickBot="1" x14ac:dyDescent="0.3">
      <c r="A819" s="15"/>
      <c r="B819" s="472" t="s">
        <v>108</v>
      </c>
      <c r="C819" s="473"/>
      <c r="D819" s="473"/>
      <c r="E819" s="474"/>
      <c r="F819" s="489"/>
      <c r="G819" s="490"/>
      <c r="H819" s="490"/>
      <c r="I819" s="491"/>
      <c r="J819" s="237" t="s">
        <v>104</v>
      </c>
      <c r="K819" s="110" t="s">
        <v>210</v>
      </c>
    </row>
    <row r="820" spans="1:22" s="26" customFormat="1" ht="15.75" hidden="1" thickBot="1" x14ac:dyDescent="0.3">
      <c r="A820" s="15"/>
      <c r="B820" s="472" t="s">
        <v>74</v>
      </c>
      <c r="C820" s="473"/>
      <c r="D820" s="473"/>
      <c r="E820" s="474"/>
      <c r="F820" s="492"/>
      <c r="G820" s="493"/>
      <c r="H820" s="493"/>
      <c r="I820" s="494"/>
      <c r="J820" s="237" t="s">
        <v>104</v>
      </c>
      <c r="K820" s="110" t="s">
        <v>184</v>
      </c>
    </row>
    <row r="821" spans="1:22" s="26" customFormat="1" ht="15.75" hidden="1" thickBot="1" x14ac:dyDescent="0.3">
      <c r="B821" s="472" t="s">
        <v>75</v>
      </c>
      <c r="C821" s="473"/>
      <c r="D821" s="473"/>
      <c r="E821" s="474"/>
      <c r="F821" s="492"/>
      <c r="G821" s="493"/>
      <c r="H821" s="493"/>
      <c r="I821" s="494"/>
      <c r="J821" s="26" t="s">
        <v>104</v>
      </c>
      <c r="K821" s="110" t="s">
        <v>185</v>
      </c>
    </row>
    <row r="822" spans="1:22" s="26" customFormat="1" ht="15.75" hidden="1" thickBot="1" x14ac:dyDescent="0.3">
      <c r="B822" s="472" t="s">
        <v>76</v>
      </c>
      <c r="C822" s="473"/>
      <c r="D822" s="473"/>
      <c r="E822" s="474"/>
      <c r="F822" s="492"/>
      <c r="G822" s="493"/>
      <c r="H822" s="493"/>
      <c r="I822" s="494"/>
      <c r="J822" s="237" t="s">
        <v>104</v>
      </c>
      <c r="K822" s="110" t="s">
        <v>219</v>
      </c>
    </row>
    <row r="823" spans="1:22" s="26" customFormat="1" ht="15.75" hidden="1" thickBot="1" x14ac:dyDescent="0.3">
      <c r="B823" s="472" t="s">
        <v>172</v>
      </c>
      <c r="C823" s="473"/>
      <c r="D823" s="473"/>
      <c r="E823" s="474"/>
      <c r="F823" s="492"/>
      <c r="G823" s="493"/>
      <c r="H823" s="493"/>
      <c r="I823" s="494"/>
      <c r="J823" s="237" t="s">
        <v>104</v>
      </c>
      <c r="K823" s="110" t="s">
        <v>217</v>
      </c>
    </row>
    <row r="824" spans="1:22" s="26" customFormat="1" ht="15.75" hidden="1" thickBot="1" x14ac:dyDescent="0.3">
      <c r="B824" s="472" t="s">
        <v>173</v>
      </c>
      <c r="C824" s="473"/>
      <c r="D824" s="473"/>
      <c r="E824" s="474"/>
      <c r="F824" s="492"/>
      <c r="G824" s="493"/>
      <c r="H824" s="493"/>
      <c r="I824" s="494"/>
      <c r="J824" s="237" t="s">
        <v>104</v>
      </c>
      <c r="K824" s="110" t="s">
        <v>218</v>
      </c>
    </row>
    <row r="825" spans="1:22" s="26" customFormat="1" ht="30" hidden="1" customHeight="1" x14ac:dyDescent="0.25">
      <c r="B825" s="112"/>
      <c r="C825" s="112"/>
      <c r="D825" s="112"/>
      <c r="E825" s="303"/>
      <c r="F825" s="303"/>
      <c r="G825" s="238"/>
      <c r="H825" s="303"/>
      <c r="I825" s="303"/>
      <c r="J825" s="239"/>
      <c r="K825" s="110"/>
    </row>
    <row r="826" spans="1:22" s="26" customFormat="1" ht="15.75" hidden="1" thickBot="1" x14ac:dyDescent="0.3">
      <c r="B826" s="334" t="s">
        <v>171</v>
      </c>
      <c r="C826" s="334"/>
      <c r="D826" s="334"/>
      <c r="E826" s="334"/>
      <c r="F826" s="303"/>
      <c r="G826" s="303"/>
      <c r="H826" s="303"/>
      <c r="I826" s="303"/>
      <c r="J826" s="239"/>
      <c r="K826" s="404" t="s">
        <v>195</v>
      </c>
      <c r="L826" s="404"/>
      <c r="M826" s="404"/>
      <c r="N826" s="404"/>
      <c r="O826" s="404"/>
      <c r="P826" s="292"/>
      <c r="Q826" s="292"/>
      <c r="R826" s="292"/>
      <c r="S826" s="292"/>
      <c r="T826" s="292"/>
      <c r="U826" s="292"/>
      <c r="V826" s="292"/>
    </row>
    <row r="827" spans="1:22" s="26" customFormat="1" ht="29.1" hidden="1" customHeight="1" thickBot="1" x14ac:dyDescent="0.3">
      <c r="B827" s="465" t="s">
        <v>121</v>
      </c>
      <c r="C827" s="466"/>
      <c r="D827" s="466"/>
      <c r="E827" s="466"/>
      <c r="F827" s="466"/>
      <c r="G827" s="466"/>
      <c r="H827" s="466"/>
      <c r="I827" s="467"/>
      <c r="J827" s="239"/>
      <c r="K827" s="404"/>
      <c r="L827" s="404"/>
      <c r="M827" s="404"/>
      <c r="N827" s="404"/>
      <c r="O827" s="404"/>
      <c r="P827" s="292"/>
      <c r="Q827" s="292"/>
      <c r="R827" s="292"/>
      <c r="S827" s="292"/>
      <c r="T827" s="292"/>
      <c r="U827" s="292"/>
      <c r="V827" s="292"/>
    </row>
    <row r="828" spans="1:22" s="26" customFormat="1" ht="30" hidden="1" customHeight="1" thickBot="1" x14ac:dyDescent="0.3">
      <c r="B828" s="472" t="s">
        <v>122</v>
      </c>
      <c r="C828" s="473"/>
      <c r="D828" s="473"/>
      <c r="E828" s="474"/>
      <c r="F828" s="468"/>
      <c r="G828" s="469"/>
      <c r="H828" s="470"/>
      <c r="I828" s="471"/>
      <c r="J828" s="239"/>
      <c r="K828" s="408" t="s">
        <v>186</v>
      </c>
      <c r="L828" s="408"/>
      <c r="M828" s="408"/>
      <c r="N828" s="408"/>
      <c r="O828" s="408"/>
    </row>
    <row r="829" spans="1:22" s="26" customFormat="1" ht="23.1" hidden="1" customHeight="1" thickBot="1" x14ac:dyDescent="0.3">
      <c r="B829" s="472" t="str">
        <f>B816</f>
        <v>Pack Identification</v>
      </c>
      <c r="C829" s="473"/>
      <c r="D829" s="473"/>
      <c r="E829" s="474"/>
      <c r="F829" s="192" t="str">
        <f>IF(ISBLANK(F816),"",F816)</f>
        <v/>
      </c>
      <c r="G829" s="192" t="str">
        <f t="shared" ref="G829:I829" si="59">IF(ISBLANK(G816),"",G816)</f>
        <v/>
      </c>
      <c r="H829" s="192" t="str">
        <f t="shared" si="59"/>
        <v/>
      </c>
      <c r="I829" s="192" t="str">
        <f t="shared" si="59"/>
        <v/>
      </c>
      <c r="J829" s="239"/>
      <c r="K829" s="408"/>
      <c r="L829" s="408"/>
      <c r="M829" s="408"/>
      <c r="N829" s="408"/>
      <c r="O829" s="408"/>
    </row>
    <row r="830" spans="1:22" s="26" customFormat="1" ht="15.75" hidden="1" thickBot="1" x14ac:dyDescent="0.3">
      <c r="B830" s="512" t="s">
        <v>123</v>
      </c>
      <c r="C830" s="513"/>
      <c r="D830" s="513"/>
      <c r="E830" s="514"/>
      <c r="F830" s="145"/>
      <c r="G830" s="154"/>
      <c r="H830" s="154"/>
      <c r="I830" s="154"/>
      <c r="J830" s="239"/>
      <c r="K830" s="408" t="s">
        <v>187</v>
      </c>
      <c r="L830" s="408"/>
      <c r="M830" s="408"/>
      <c r="N830" s="408"/>
      <c r="O830" s="408"/>
    </row>
    <row r="831" spans="1:22" s="26" customFormat="1" ht="75.75" hidden="1" customHeight="1" x14ac:dyDescent="0.25">
      <c r="B831" s="304"/>
      <c r="C831" s="304"/>
      <c r="D831" s="304"/>
      <c r="E831" s="304"/>
      <c r="F831" s="303"/>
      <c r="G831" s="303"/>
      <c r="H831" s="303"/>
      <c r="I831" s="303"/>
      <c r="J831" s="239"/>
      <c r="K831" s="408"/>
      <c r="L831" s="408"/>
      <c r="M831" s="408"/>
      <c r="N831" s="408"/>
      <c r="O831" s="408"/>
    </row>
    <row r="832" spans="1:22" s="26" customFormat="1" hidden="1" x14ac:dyDescent="0.25">
      <c r="B832" s="511"/>
      <c r="C832" s="511"/>
      <c r="D832" s="511"/>
      <c r="E832" s="511"/>
      <c r="K832" s="408"/>
      <c r="L832" s="408"/>
      <c r="M832" s="408"/>
      <c r="N832" s="408"/>
      <c r="O832" s="408"/>
    </row>
    <row r="833" spans="1:15" s="26" customFormat="1" hidden="1" x14ac:dyDescent="0.25">
      <c r="B833" s="303"/>
      <c r="C833" s="303"/>
      <c r="D833" s="303"/>
      <c r="E833" s="303"/>
      <c r="O833" s="21"/>
    </row>
    <row r="834" spans="1:15" s="26" customFormat="1" hidden="1" x14ac:dyDescent="0.25">
      <c r="A834" s="155"/>
      <c r="B834" s="308" t="s">
        <v>124</v>
      </c>
      <c r="C834" s="290"/>
      <c r="D834" s="66"/>
      <c r="E834" s="66"/>
      <c r="F834" s="390"/>
      <c r="G834" s="390"/>
      <c r="H834" s="390"/>
      <c r="I834" s="390"/>
      <c r="O834" s="21"/>
    </row>
    <row r="835" spans="1:15" s="26" customFormat="1" hidden="1" x14ac:dyDescent="0.25">
      <c r="A835" s="14" t="s">
        <v>125</v>
      </c>
      <c r="B835" s="290"/>
      <c r="C835" s="290"/>
      <c r="D835" s="66"/>
      <c r="E835" s="66"/>
      <c r="F835" s="290"/>
      <c r="G835" s="290"/>
      <c r="H835" s="290"/>
      <c r="I835" s="290"/>
      <c r="O835" s="21"/>
    </row>
    <row r="836" spans="1:15" s="26" customFormat="1" ht="15.75" hidden="1" thickBot="1" x14ac:dyDescent="0.3">
      <c r="B836" s="66"/>
      <c r="C836" s="66"/>
      <c r="D836" s="66"/>
      <c r="E836" s="66"/>
      <c r="F836" s="390" t="s">
        <v>126</v>
      </c>
      <c r="G836" s="390"/>
      <c r="H836" s="390"/>
      <c r="I836" s="390"/>
      <c r="O836" s="21"/>
    </row>
    <row r="837" spans="1:15" s="26" customFormat="1" ht="15.75" hidden="1" thickBot="1" x14ac:dyDescent="0.3">
      <c r="B837" s="66"/>
      <c r="C837" s="66"/>
      <c r="D837" s="66"/>
      <c r="E837" s="66"/>
      <c r="F837" s="156" t="str">
        <f>IF(F816="","",F816)</f>
        <v/>
      </c>
      <c r="G837" s="156" t="str">
        <f>IF(G816="","",G816)</f>
        <v/>
      </c>
      <c r="H837" s="156" t="str">
        <f>IF(H816="","",H816)</f>
        <v/>
      </c>
      <c r="I837" s="156" t="str">
        <f>IF(I816="","",I816)</f>
        <v/>
      </c>
      <c r="O837" s="21"/>
    </row>
    <row r="838" spans="1:15" s="26" customFormat="1" hidden="1" x14ac:dyDescent="0.25">
      <c r="A838" s="91" t="s">
        <v>77</v>
      </c>
      <c r="B838" s="475" t="s">
        <v>82</v>
      </c>
      <c r="C838" s="476"/>
      <c r="D838" s="476"/>
      <c r="E838" s="240"/>
      <c r="F838" s="241" t="str">
        <f>IF(OR(F817="",F818="",F819=""),"",IF(F817="Price to Wholesaler",F818,IF(F817="Reimbursement Price",(F840/(1+E839)*1),"Error")))</f>
        <v/>
      </c>
      <c r="G838" s="241" t="str">
        <f>IF(OR(G817="",G818="",F819=""),"",IF(G817="Price to Wholesaler",G818,IF(G817="Reimbursement Price",(G840/(1+E839)*1),"Error")))</f>
        <v/>
      </c>
      <c r="H838" s="241" t="str">
        <f>IF(OR(H817="",H818="",F819=""),"",IF(H817="Price to Wholesaler",H818,IF(H817="Reimbursement Price",(H840/(1+E839)*1),"Error")))</f>
        <v/>
      </c>
      <c r="I838" s="241" t="str">
        <f>IF(OR(I817="",I818="",F819=""),"",IF(I817="Price to Wholesaler",I818,IF(I817="Reimbursement Price",(I840/(1+E839)*1),"Error")))</f>
        <v/>
      </c>
      <c r="O838" s="21"/>
    </row>
    <row r="839" spans="1:15" s="26" customFormat="1" hidden="1" x14ac:dyDescent="0.25">
      <c r="A839" s="297" t="s">
        <v>78</v>
      </c>
      <c r="B839" s="477" t="s">
        <v>83</v>
      </c>
      <c r="C839" s="478"/>
      <c r="D839" s="478"/>
      <c r="E839" s="93" t="str">
        <f>IF(OR(F819=""),"",IF(AND(F819="CDS",F820="Yes"),CYF,IF(AND(F819="CDS",F820="No"),CNF,IF(F819="HT",CHT,IF(F819="Hosp",CHO,"Error")))))</f>
        <v/>
      </c>
      <c r="F839" s="242" t="str">
        <f>IF(OR(F819="",F818="",F817=""),"",F838*E839)</f>
        <v/>
      </c>
      <c r="G839" s="242" t="str">
        <f>IF(OR(F819="",G818="",G817=""),"",G838*E839)</f>
        <v/>
      </c>
      <c r="H839" s="242" t="str">
        <f>IF(OR(F819="",H818="",H817=""),"",H838*E839)</f>
        <v/>
      </c>
      <c r="I839" s="242" t="str">
        <f>IF(OR(F819="",I818="",I817=""),"",I838*E839)</f>
        <v/>
      </c>
      <c r="O839" s="21"/>
    </row>
    <row r="840" spans="1:15" s="26" customFormat="1" hidden="1" x14ac:dyDescent="0.25">
      <c r="A840" s="297" t="s">
        <v>79</v>
      </c>
      <c r="B840" s="477" t="str">
        <f>IF(F819="Hosp","Hospital Price", "Reimbursement Price")</f>
        <v>Reimbursement Price</v>
      </c>
      <c r="C840" s="478"/>
      <c r="D840" s="478"/>
      <c r="E840" s="243" t="str">
        <f>IF(F817="Price to Wholesaler","A+B","")</f>
        <v/>
      </c>
      <c r="F840" s="242" t="str">
        <f>IF(F817="Reimbursement Price",F818,IF(ISBLANK(E839),"",IF(F817="Price to Wholesaler",(F838+F839),IF(F817="","","Error"))))</f>
        <v/>
      </c>
      <c r="G840" s="242" t="str">
        <f>IF(G817="Reimbursement Price",G818,IF(ISBLANK(E839),"",IF(G817="Price to Wholesaler",(G838+G839),IF(G817="","","Error"))))</f>
        <v/>
      </c>
      <c r="H840" s="242" t="str">
        <f>IF(H817="Reimbursement Price",H818,IF(ISBLANK(E839),"",IF(H817="Price to Wholesaler",(H838+H839),IF(H817="","","Error"))))</f>
        <v/>
      </c>
      <c r="I840" s="242" t="str">
        <f>IF(I817="Reimbursement Price",I818,IF(ISBLANK(E839),"",IF(I817="Price to Wholesaler",(I838+I839),IF(I817="","","Error"))))</f>
        <v/>
      </c>
      <c r="O840" s="21"/>
    </row>
    <row r="841" spans="1:15" s="26" customFormat="1" hidden="1" x14ac:dyDescent="0.25">
      <c r="A841" s="297" t="s">
        <v>80</v>
      </c>
      <c r="B841" s="477" t="s">
        <v>214</v>
      </c>
      <c r="C841" s="478"/>
      <c r="D841" s="478"/>
      <c r="E841" s="268" t="str">
        <f>IF(OR(F822="",AND(F822="Yes",F823=""),AND(F822="No",F824="")),"",IF(AND(F822="No",F824="Patented Exclusive or Off Patent Exclusive and subject to clause 10 of Framework Agreement"),MR,IF(AND(F822="No",F824="Off Patent Non-Exclusive or Generic"),"None",IF(AND(F822="Yes",F823="Biosimilar"),"None",IF(AND(F822="Yes",F823="Patented or Off Patent Exclusive"),MR,IF(AND(F822="Yes",F823="Off Patent Non-Exclusive 12.5% Rebate incorporated into Price to Wholesaler"),"None",IF(AND(F822="Yes",F823="Off Patent Non-Exclusive 12.5% Rebate"),MRB,"Error")))))))</f>
        <v/>
      </c>
      <c r="F841" s="242" t="str">
        <f>IF(OR(F822="",AND(F822="Yes",F823=""),AND(F822="No",F824=""),F817="",ISBLANK(F818)),"",IF(E841="None",0,(E841*F838)))</f>
        <v/>
      </c>
      <c r="G841" s="242" t="str">
        <f>IF(OR(F822="",AND(F822="Yes",F823=""),AND(F822="No",F824=""),G817="",ISBLANK(G818)),"",IF(E841="None",0,(E841*G838)))</f>
        <v/>
      </c>
      <c r="H841" s="242" t="str">
        <f>IF(OR(F822="",AND(F822="Yes",F823=""),AND(F822="No",F824=""),H817="",ISBLANK(H818)),"",IF(E841="None",0,(E841*H838)))</f>
        <v/>
      </c>
      <c r="I841" s="242" t="str">
        <f>IF(OR(F822="",AND(F822="Yes",F823=""),AND(F822="No",F824=""),I817="",ISBLANK(I818)),"",IF(E841="None",0,(E841*I838)))</f>
        <v/>
      </c>
      <c r="O841" s="21"/>
    </row>
    <row r="842" spans="1:15" s="26" customFormat="1" ht="15.75" hidden="1" thickBot="1" x14ac:dyDescent="0.3">
      <c r="A842" s="298" t="s">
        <v>81</v>
      </c>
      <c r="B842" s="479" t="s">
        <v>94</v>
      </c>
      <c r="C842" s="480"/>
      <c r="D842" s="480"/>
      <c r="E842" s="160" t="str">
        <f>IF(F821="","",IF(F821="Yes",0,VT))</f>
        <v/>
      </c>
      <c r="F842" s="244" t="str">
        <f>IF(OR($B821="",F818="",ISBLANK(F818)),"",($E842*F840))</f>
        <v/>
      </c>
      <c r="G842" s="244" t="str">
        <f t="shared" ref="G842:I842" si="60">IF(OR($B821="",G818="",ISBLANK(G818)),"",($E842*G840))</f>
        <v/>
      </c>
      <c r="H842" s="244" t="str">
        <f t="shared" si="60"/>
        <v/>
      </c>
      <c r="I842" s="244" t="str">
        <f t="shared" si="60"/>
        <v/>
      </c>
      <c r="O842" s="21"/>
    </row>
    <row r="843" spans="1:15" s="26" customFormat="1" ht="15.75" hidden="1" thickBot="1" x14ac:dyDescent="0.3">
      <c r="A843" s="299" t="s">
        <v>127</v>
      </c>
      <c r="B843" s="481" t="s">
        <v>128</v>
      </c>
      <c r="C843" s="481"/>
      <c r="D843" s="481"/>
      <c r="E843" s="299"/>
      <c r="F843" s="245" t="str">
        <f>IF(OR(F817="",$F819="",$F821="",$F822=""),"",SUM(F840:F842))</f>
        <v/>
      </c>
      <c r="G843" s="245" t="str">
        <f t="shared" ref="G843:I843" si="61">IF(OR(G817="",$F819="",$F821="",$F822=""),"",SUM(G840:G842))</f>
        <v/>
      </c>
      <c r="H843" s="245" t="str">
        <f t="shared" si="61"/>
        <v/>
      </c>
      <c r="I843" s="245" t="str">
        <f t="shared" si="61"/>
        <v/>
      </c>
      <c r="O843" s="21"/>
    </row>
    <row r="844" spans="1:15" s="26" customFormat="1" ht="15.75" hidden="1" thickBot="1" x14ac:dyDescent="0.3">
      <c r="A844" s="299" t="s">
        <v>129</v>
      </c>
      <c r="B844" s="482" t="s">
        <v>130</v>
      </c>
      <c r="C844" s="482"/>
      <c r="D844" s="482"/>
      <c r="E844" s="245"/>
      <c r="F844" s="245" t="str">
        <f>IF(OR(F817="",$F819="",$F821="",$F822=""),"",SUM(F840:F841))</f>
        <v/>
      </c>
      <c r="G844" s="245" t="str">
        <f t="shared" ref="G844:I844" si="62">IF(OR(G817="",$F819="",$F821="",$F822=""),"",SUM(G840:G841))</f>
        <v/>
      </c>
      <c r="H844" s="245" t="str">
        <f t="shared" si="62"/>
        <v/>
      </c>
      <c r="I844" s="245" t="str">
        <f t="shared" si="62"/>
        <v/>
      </c>
      <c r="O844" s="21"/>
    </row>
    <row r="845" spans="1:15" s="26" customFormat="1" hidden="1" x14ac:dyDescent="0.25">
      <c r="B845" s="66"/>
      <c r="C845" s="66"/>
      <c r="D845" s="66"/>
      <c r="E845" s="66"/>
      <c r="K845" s="26" t="s">
        <v>131</v>
      </c>
      <c r="O845" s="21"/>
    </row>
    <row r="846" spans="1:15" s="26" customFormat="1" hidden="1" x14ac:dyDescent="0.25">
      <c r="A846" s="155" t="s">
        <v>132</v>
      </c>
      <c r="B846" s="66"/>
      <c r="C846" s="66"/>
      <c r="D846" s="66"/>
      <c r="E846" s="66"/>
      <c r="F846" s="246"/>
      <c r="G846" s="246"/>
      <c r="H846" s="246"/>
      <c r="I846" s="246"/>
      <c r="O846" s="21"/>
    </row>
    <row r="847" spans="1:15" s="26" customFormat="1" hidden="1" x14ac:dyDescent="0.25">
      <c r="A847" s="125"/>
      <c r="B847" s="125" t="s">
        <v>133</v>
      </c>
      <c r="C847" s="125"/>
      <c r="D847" s="125"/>
      <c r="E847" s="125"/>
      <c r="F847" s="125"/>
      <c r="G847" s="125"/>
      <c r="H847" s="125"/>
      <c r="O847" s="21"/>
    </row>
    <row r="848" spans="1:15" s="26" customFormat="1" hidden="1" x14ac:dyDescent="0.25">
      <c r="B848" s="21" t="s">
        <v>134</v>
      </c>
      <c r="C848" s="229"/>
      <c r="D848" s="229"/>
      <c r="E848" s="66"/>
      <c r="O848" s="21"/>
    </row>
    <row r="849" spans="1:20" s="26" customFormat="1" ht="15.75" hidden="1" thickBot="1" x14ac:dyDescent="0.3">
      <c r="B849" s="165"/>
      <c r="C849" s="229"/>
      <c r="D849" s="229"/>
      <c r="E849" s="66"/>
      <c r="O849" s="21"/>
    </row>
    <row r="850" spans="1:20" s="26" customFormat="1" ht="15.75" hidden="1" thickBot="1" x14ac:dyDescent="0.3">
      <c r="B850" s="230"/>
      <c r="C850" s="66"/>
      <c r="D850" s="66"/>
      <c r="E850" s="66"/>
      <c r="G850" s="293" t="s">
        <v>135</v>
      </c>
      <c r="H850" s="293" t="s">
        <v>136</v>
      </c>
      <c r="O850" s="21"/>
    </row>
    <row r="851" spans="1:20" s="26" customFormat="1" hidden="1" x14ac:dyDescent="0.25">
      <c r="B851" s="483" t="s">
        <v>137</v>
      </c>
      <c r="C851" s="484"/>
      <c r="D851" s="484"/>
      <c r="E851" s="484"/>
      <c r="F851" s="485"/>
      <c r="G851" s="247" t="str">
        <f>IF(F819="","",IF(F819="CDS","per dispensing",IF(F819="HT","per month",IF(F819="Hosp","No Fee", ERROR))))</f>
        <v/>
      </c>
      <c r="H851" s="248" t="str">
        <f>IF(F819="","",IF(F819="CDS",DF,IF(F819="HT",PC,IF(F819="Hosp","No Fee",ERROR))))</f>
        <v/>
      </c>
      <c r="I851" s="26" t="s">
        <v>138</v>
      </c>
      <c r="O851" s="21"/>
    </row>
    <row r="852" spans="1:20" s="26" customFormat="1" ht="15.75" hidden="1" thickBot="1" x14ac:dyDescent="0.3">
      <c r="B852" s="486" t="s">
        <v>92</v>
      </c>
      <c r="C852" s="487"/>
      <c r="D852" s="487"/>
      <c r="E852" s="487"/>
      <c r="F852" s="488"/>
      <c r="G852" s="249" t="str">
        <f>IF(OR(F819="",F821=""),"",IF(F819="Hosp","No Fee",IF(F819="HT","No VAT",IF(AND(F819="CDS",F821="No"),VT,"No VAT"))))</f>
        <v/>
      </c>
      <c r="H852" s="250" t="str">
        <f>IF(OR(F821="",F819="Hosp"),"",IF(OR(F821="Yes",F819="HT"),0,H851*G852))</f>
        <v/>
      </c>
      <c r="O852" s="21"/>
    </row>
    <row r="853" spans="1:20" s="26" customFormat="1" hidden="1" x14ac:dyDescent="0.25">
      <c r="B853" s="230"/>
      <c r="C853" s="66"/>
      <c r="D853" s="66"/>
      <c r="E853" s="66"/>
      <c r="O853" s="21"/>
    </row>
    <row r="854" spans="1:20" s="26" customFormat="1" hidden="1" x14ac:dyDescent="0.25">
      <c r="B854" s="230"/>
      <c r="C854" s="66"/>
      <c r="D854" s="66"/>
      <c r="E854" s="66"/>
      <c r="O854" s="21"/>
    </row>
    <row r="855" spans="1:20" s="26" customFormat="1" ht="33.950000000000003" hidden="1" customHeight="1" thickBot="1" x14ac:dyDescent="0.3">
      <c r="A855" s="165" t="s">
        <v>193</v>
      </c>
      <c r="B855" s="230"/>
      <c r="C855" s="66"/>
      <c r="D855" s="66"/>
      <c r="E855" s="66"/>
      <c r="K855" s="408" t="s">
        <v>197</v>
      </c>
      <c r="L855" s="408"/>
      <c r="M855" s="408"/>
      <c r="N855" s="408"/>
      <c r="O855" s="408"/>
      <c r="P855" s="195"/>
      <c r="Q855" s="195"/>
      <c r="R855" s="195"/>
      <c r="S855" s="195"/>
      <c r="T855" s="195"/>
    </row>
    <row r="856" spans="1:20" s="26" customFormat="1" ht="17.100000000000001" hidden="1" customHeight="1" thickBot="1" x14ac:dyDescent="0.3">
      <c r="A856" s="14" t="s">
        <v>194</v>
      </c>
      <c r="B856" s="230"/>
      <c r="C856" s="66"/>
      <c r="D856" s="66"/>
      <c r="E856" s="66"/>
      <c r="G856" s="293" t="s">
        <v>101</v>
      </c>
      <c r="H856" s="293" t="s">
        <v>136</v>
      </c>
      <c r="K856" s="408" t="str">
        <f>IF(F819="HT","For High tech, if a treatment cycle =28 days the corresponding pharmacy fee is =62.03*12/365.25*28.  The pharmacy fee remains the same regardless of the number of products dispensed that month.",IF(F819="CDS","For CDS, if 2 packets of the same pack presentation are required per treatment cycle, one dispensing fee applies (€5.48). If multiple pack presentations are required, multiple dispensing fees apply",""))</f>
        <v/>
      </c>
      <c r="L856" s="408"/>
      <c r="M856" s="408"/>
      <c r="N856" s="408"/>
      <c r="O856" s="408"/>
      <c r="P856" s="195"/>
      <c r="Q856" s="195"/>
      <c r="R856" s="195"/>
      <c r="S856" s="195"/>
      <c r="T856" s="195"/>
    </row>
    <row r="857" spans="1:20" s="26" customFormat="1" ht="16.5" hidden="1" customHeight="1" x14ac:dyDescent="0.25">
      <c r="A857" s="170" t="s">
        <v>139</v>
      </c>
      <c r="B857" s="504" t="s">
        <v>140</v>
      </c>
      <c r="C857" s="504"/>
      <c r="D857" s="504"/>
      <c r="E857" s="504"/>
      <c r="F857" s="504"/>
      <c r="G857" s="251"/>
      <c r="H857" s="252"/>
      <c r="K857" s="408"/>
      <c r="L857" s="408"/>
      <c r="M857" s="408"/>
      <c r="N857" s="408"/>
      <c r="O857" s="408"/>
      <c r="P857" s="195"/>
      <c r="Q857" s="195"/>
      <c r="R857" s="195"/>
      <c r="S857" s="195"/>
      <c r="T857" s="195"/>
    </row>
    <row r="858" spans="1:20" s="26" customFormat="1" hidden="1" x14ac:dyDescent="0.25">
      <c r="A858" s="173" t="s">
        <v>141</v>
      </c>
      <c r="B858" s="505" t="s">
        <v>142</v>
      </c>
      <c r="C858" s="505"/>
      <c r="D858" s="505"/>
      <c r="E858" s="505"/>
      <c r="F858" s="505"/>
      <c r="G858" s="253"/>
      <c r="H858" s="254"/>
      <c r="K858" s="14" t="s">
        <v>188</v>
      </c>
      <c r="O858" s="21"/>
    </row>
    <row r="859" spans="1:20" s="26" customFormat="1" hidden="1" x14ac:dyDescent="0.25">
      <c r="A859" s="173" t="s">
        <v>143</v>
      </c>
      <c r="B859" s="505" t="s">
        <v>144</v>
      </c>
      <c r="C859" s="505"/>
      <c r="D859" s="505"/>
      <c r="E859" s="505"/>
      <c r="F859" s="505"/>
      <c r="G859" s="253"/>
      <c r="H859" s="254"/>
      <c r="K859" s="14" t="s">
        <v>189</v>
      </c>
      <c r="O859" s="21"/>
    </row>
    <row r="860" spans="1:20" s="26" customFormat="1" hidden="1" x14ac:dyDescent="0.25">
      <c r="A860" s="173" t="s">
        <v>145</v>
      </c>
      <c r="B860" s="505" t="s">
        <v>146</v>
      </c>
      <c r="C860" s="505"/>
      <c r="D860" s="505"/>
      <c r="E860" s="505"/>
      <c r="F860" s="505"/>
      <c r="G860" s="255"/>
      <c r="H860" s="256" t="str">
        <f>IF(ISBLANK(H857),"",SUM(H857:H859))</f>
        <v/>
      </c>
      <c r="O860" s="21"/>
    </row>
    <row r="861" spans="1:20" s="26" customFormat="1" ht="15.75" hidden="1" thickBot="1" x14ac:dyDescent="0.3">
      <c r="A861" s="178" t="s">
        <v>147</v>
      </c>
      <c r="B861" s="515" t="s">
        <v>196</v>
      </c>
      <c r="C861" s="515"/>
      <c r="D861" s="515"/>
      <c r="E861" s="515"/>
      <c r="F861" s="515"/>
      <c r="G861" s="257"/>
      <c r="H861" s="250" t="str">
        <f>IF(ISBLANK(H857),"",SUM(H857:H858))</f>
        <v/>
      </c>
      <c r="O861" s="21"/>
    </row>
    <row r="862" spans="1:20" s="26" customFormat="1" hidden="1" x14ac:dyDescent="0.25">
      <c r="B862" s="66"/>
      <c r="C862" s="66"/>
      <c r="D862" s="66"/>
      <c r="E862" s="66"/>
      <c r="O862" s="21"/>
    </row>
    <row r="863" spans="1:20" s="26" customFormat="1" hidden="1" x14ac:dyDescent="0.25">
      <c r="B863" s="66"/>
      <c r="C863" s="66"/>
      <c r="D863" s="66"/>
      <c r="E863" s="66"/>
      <c r="O863" s="21"/>
    </row>
    <row r="864" spans="1:20" s="26" customFormat="1" hidden="1" x14ac:dyDescent="0.25">
      <c r="A864" s="155" t="s">
        <v>148</v>
      </c>
      <c r="B864" s="66"/>
      <c r="C864" s="66"/>
      <c r="D864" s="66"/>
      <c r="E864" s="66"/>
      <c r="O864" s="21"/>
    </row>
    <row r="865" spans="1:15" s="26" customFormat="1" ht="15.75" hidden="1" thickBot="1" x14ac:dyDescent="0.3">
      <c r="B865" s="66"/>
      <c r="C865" s="66"/>
      <c r="D865" s="66"/>
      <c r="E865" s="66"/>
      <c r="O865" s="21"/>
    </row>
    <row r="866" spans="1:15" s="26" customFormat="1" ht="29.1" hidden="1" customHeight="1" x14ac:dyDescent="0.25">
      <c r="A866" s="65"/>
      <c r="B866" s="303"/>
      <c r="C866" s="303"/>
      <c r="D866" s="303"/>
      <c r="E866" s="303"/>
      <c r="F866" s="506" t="s">
        <v>149</v>
      </c>
      <c r="G866" s="180" t="s">
        <v>150</v>
      </c>
      <c r="H866" s="508" t="s">
        <v>151</v>
      </c>
      <c r="I866" s="180" t="s">
        <v>152</v>
      </c>
      <c r="J866" s="66"/>
      <c r="K866" s="408" t="s">
        <v>190</v>
      </c>
      <c r="L866" s="408"/>
      <c r="M866" s="408"/>
      <c r="N866" s="408"/>
      <c r="O866" s="408"/>
    </row>
    <row r="867" spans="1:15" s="26" customFormat="1" hidden="1" x14ac:dyDescent="0.25">
      <c r="A867" s="65"/>
      <c r="B867" s="303"/>
      <c r="C867" s="303"/>
      <c r="D867" s="303"/>
      <c r="E867" s="303"/>
      <c r="F867" s="507"/>
      <c r="G867" s="253"/>
      <c r="H867" s="509"/>
      <c r="I867" s="182"/>
      <c r="J867" s="66"/>
      <c r="K867" s="408"/>
      <c r="L867" s="408"/>
      <c r="M867" s="408"/>
      <c r="N867" s="408"/>
      <c r="O867" s="408"/>
    </row>
    <row r="868" spans="1:15" s="26" customFormat="1" ht="15.75" hidden="1" thickBot="1" x14ac:dyDescent="0.3">
      <c r="A868" s="65"/>
      <c r="B868" s="303"/>
      <c r="C868" s="303"/>
      <c r="D868" s="303"/>
      <c r="E868" s="303"/>
      <c r="F868" s="507"/>
      <c r="G868" s="183" t="s">
        <v>153</v>
      </c>
      <c r="H868" s="510"/>
      <c r="I868" s="184"/>
      <c r="J868" s="66"/>
      <c r="K868" s="408"/>
      <c r="L868" s="408"/>
      <c r="M868" s="408"/>
      <c r="N868" s="408"/>
      <c r="O868" s="408"/>
    </row>
    <row r="869" spans="1:15" s="26" customFormat="1" hidden="1" x14ac:dyDescent="0.25">
      <c r="A869" s="247" t="s">
        <v>77</v>
      </c>
      <c r="B869" s="463" t="str">
        <f>B838</f>
        <v>Price to Wholesaler</v>
      </c>
      <c r="C869" s="463"/>
      <c r="D869" s="463"/>
      <c r="E869" s="463"/>
      <c r="F869" s="256">
        <f>SUMPRODUCT(F838:I838,F830:I830)</f>
        <v>0</v>
      </c>
      <c r="G869" s="256">
        <f>F869*G867</f>
        <v>0</v>
      </c>
      <c r="H869" s="256" t="str">
        <f>IF(H828="Days",F869/F828*365.25,IF(H828="Months",F869/F828*12,""))</f>
        <v/>
      </c>
      <c r="I869" s="256" t="str">
        <f>IF(AND(H828="Days",I868="Days"),F869/F828*I867,IF(AND(H828="Months",I868="Months"),F869/F828*I867,IF(AND(H828="Days",I868="Months"),F869/F828*30.4375*I867,IF(AND(H828="Months",I868="Days"),F869/F828/30.4375*I867,""))))</f>
        <v/>
      </c>
      <c r="O869" s="21"/>
    </row>
    <row r="870" spans="1:15" s="26" customFormat="1" hidden="1" x14ac:dyDescent="0.25">
      <c r="A870" s="255" t="s">
        <v>78</v>
      </c>
      <c r="B870" s="464" t="str">
        <f>B839</f>
        <v>Wholesale Mark-up</v>
      </c>
      <c r="C870" s="464"/>
      <c r="D870" s="464"/>
      <c r="E870" s="464"/>
      <c r="F870" s="256">
        <f>SUMPRODUCT(F839:I839,F830:I830)</f>
        <v>0</v>
      </c>
      <c r="G870" s="256">
        <f>F870*G867</f>
        <v>0</v>
      </c>
      <c r="H870" s="256" t="str">
        <f>IF(H828="Days",F870/F828*365.25,IF(H828="Months",F870/F828*12,""))</f>
        <v/>
      </c>
      <c r="I870" s="256" t="str">
        <f>IF(AND(H828="Days",I868="Days"),F870/F828*I867,IF(AND(H828="Months",I868="Months"),F870/F828*I867,IF(AND(H828="Days",I868="Months"),F870/F828*30.4375*I867,IF(AND(H828="Months",I868="Days"),F870/F828/30.4375*I867,""))))</f>
        <v/>
      </c>
      <c r="O870" s="21"/>
    </row>
    <row r="871" spans="1:15" s="26" customFormat="1" hidden="1" x14ac:dyDescent="0.25">
      <c r="A871" s="255" t="s">
        <v>79</v>
      </c>
      <c r="B871" s="294" t="str">
        <f>B840</f>
        <v>Reimbursement Price</v>
      </c>
      <c r="C871" s="300"/>
      <c r="D871" s="301"/>
      <c r="E871" s="302"/>
      <c r="F871" s="256">
        <f>SUMPRODUCT(F840:I840,F830:I830)</f>
        <v>0</v>
      </c>
      <c r="G871" s="256">
        <f>F871*G867</f>
        <v>0</v>
      </c>
      <c r="H871" s="256" t="str">
        <f>IF(H828="Days",F871/F828*365.25,IF(H828="Months",F871/F828*12,""))</f>
        <v/>
      </c>
      <c r="I871" s="256" t="str">
        <f>IF(AND(H828="Days",I868="Days"),F871/F828*I867,IF(AND(H828="Months",I868="Months"),F871/F828*I867,IF(AND(H828="Days",I868="Months"),F871/F828*30.4375*I867,IF(AND(H828="Months",I868="Days"),F871/F828/30.4375*I867,""))))</f>
        <v/>
      </c>
      <c r="O871" s="21"/>
    </row>
    <row r="872" spans="1:15" s="26" customFormat="1" hidden="1" x14ac:dyDescent="0.25">
      <c r="A872" s="255" t="s">
        <v>80</v>
      </c>
      <c r="B872" s="495" t="str">
        <f>B841</f>
        <v>Framework Agreement Rebate</v>
      </c>
      <c r="C872" s="496"/>
      <c r="D872" s="496"/>
      <c r="E872" s="497"/>
      <c r="F872" s="256">
        <f>SUMPRODUCT(F841:I841,F830:I830)</f>
        <v>0</v>
      </c>
      <c r="G872" s="256">
        <f>F872*G867</f>
        <v>0</v>
      </c>
      <c r="H872" s="256" t="str">
        <f>IF(H828="Days",F872/F828*365.25,IF(H828="Months",F872/F828*12,""))</f>
        <v/>
      </c>
      <c r="I872" s="256" t="str">
        <f>IF(AND(H828="Days",I868="Days"),F872/F828*I867,IF(AND(H828="Months",I868="Months"),F872/F828*I867,IF(AND(H828="Days",I868="Months"),F872/F828*30.4375*I867,IF(AND(H828="Months",I868="Days"),F872/F828/30.4375*I867,""))))</f>
        <v/>
      </c>
      <c r="O872" s="21"/>
    </row>
    <row r="873" spans="1:15" s="26" customFormat="1" hidden="1" x14ac:dyDescent="0.25">
      <c r="A873" s="255" t="s">
        <v>81</v>
      </c>
      <c r="B873" s="495" t="str">
        <f>B842</f>
        <v xml:space="preserve">VAT on Drug Cost </v>
      </c>
      <c r="C873" s="496"/>
      <c r="D873" s="496"/>
      <c r="E873" s="497"/>
      <c r="F873" s="256">
        <f>SUMPRODUCT(F842:I842,F830:I830)</f>
        <v>0</v>
      </c>
      <c r="G873" s="256">
        <f>F873*G867</f>
        <v>0</v>
      </c>
      <c r="H873" s="256" t="str">
        <f>IF(H828="Days",F873/F828*365.25,IF(H828="Months",F873/F828*12,""))</f>
        <v/>
      </c>
      <c r="I873" s="256" t="str">
        <f>IF(AND(H828="Days",I868="Days"),F873/F828*I867,IF(AND(H828="Months",I868="Months"),F873/F828*I867,IF(AND(H828="Days",I868="Months"),F873/F828*30.4375*I867,IF(AND(H828="Months",I868="Days"),F873/F828/30.4375*I867,""))))</f>
        <v/>
      </c>
      <c r="O873" s="21"/>
    </row>
    <row r="874" spans="1:15" s="26" customFormat="1" hidden="1" x14ac:dyDescent="0.25">
      <c r="A874" s="255" t="s">
        <v>154</v>
      </c>
      <c r="B874" s="495" t="s">
        <v>155</v>
      </c>
      <c r="C874" s="496"/>
      <c r="D874" s="496"/>
      <c r="E874" s="497"/>
      <c r="F874" s="256" t="str">
        <f>IF(H860="","",H860)</f>
        <v/>
      </c>
      <c r="G874" s="256" t="str">
        <f>IF(F874="","",F874*G867)</f>
        <v/>
      </c>
      <c r="H874" s="256" t="str">
        <f>IF(F874="","",IF(H828="Days",F874/F828*365.25,IF(H828="Months",F874/F828*12,"")))</f>
        <v/>
      </c>
      <c r="I874" s="256" t="str">
        <f>IF(F874="","",IF(AND(H828="Days",I868="Days"),F874/F828*I867,IF(AND(H828="Months",I868="Months"),F874/F828*I867,IF(AND(H828="Days",I868="Months"),F874/F828*30.4375*I867,IF(AND(H828="Months",I868="Days"),F874/F828/30.4375*I867,"")))))</f>
        <v/>
      </c>
      <c r="O874" s="21"/>
    </row>
    <row r="875" spans="1:15" s="26" customFormat="1" hidden="1" x14ac:dyDescent="0.25">
      <c r="A875" s="255" t="s">
        <v>156</v>
      </c>
      <c r="B875" s="495" t="s">
        <v>157</v>
      </c>
      <c r="C875" s="496"/>
      <c r="D875" s="496"/>
      <c r="E875" s="497"/>
      <c r="F875" s="256" t="str">
        <f>IF(H861="","",H861)</f>
        <v/>
      </c>
      <c r="G875" s="256" t="str">
        <f>IF(F875="","",F875*G867)</f>
        <v/>
      </c>
      <c r="H875" s="256" t="str">
        <f>IF(F875="","",IF(H828="Days",F875/F828*365.25,IF(H828="Months",F875/F828*12,"")))</f>
        <v/>
      </c>
      <c r="I875" s="256" t="str">
        <f>IF(F875="","",IF(AND(H828="Days",I868="Days"),F875/F828*I867,IF(AND(H828="Months",I868="Months"),F875/F828*I867,IF(AND(H828="Days",I868="Months"),F875/F828*30.4375*I867,IF(AND(H828="Months",I868="Days"),F875/F828/30.4375*I867,"")))))</f>
        <v/>
      </c>
      <c r="O875" s="21"/>
    </row>
    <row r="876" spans="1:15" s="155" customFormat="1" hidden="1" x14ac:dyDescent="0.25">
      <c r="A876" s="186" t="s">
        <v>158</v>
      </c>
      <c r="B876" s="498" t="s">
        <v>159</v>
      </c>
      <c r="C876" s="499"/>
      <c r="D876" s="499"/>
      <c r="E876" s="500"/>
      <c r="F876" s="187">
        <f>SUM(F871:F874)</f>
        <v>0</v>
      </c>
      <c r="G876" s="187">
        <f t="shared" ref="G876:I876" si="63">SUM(G871:G874)</f>
        <v>0</v>
      </c>
      <c r="H876" s="187">
        <f t="shared" si="63"/>
        <v>0</v>
      </c>
      <c r="I876" s="187">
        <f t="shared" si="63"/>
        <v>0</v>
      </c>
      <c r="K876" s="98" t="s">
        <v>191</v>
      </c>
      <c r="O876" s="189"/>
    </row>
    <row r="877" spans="1:15" s="26" customFormat="1" ht="15.75" hidden="1" thickBot="1" x14ac:dyDescent="0.3">
      <c r="A877" s="257" t="s">
        <v>160</v>
      </c>
      <c r="B877" s="501" t="s">
        <v>161</v>
      </c>
      <c r="C877" s="502"/>
      <c r="D877" s="502"/>
      <c r="E877" s="503"/>
      <c r="F877" s="250">
        <f>IF(F875="",SUM(F871+F872),F871+F872+F875)</f>
        <v>0</v>
      </c>
      <c r="G877" s="250">
        <f t="shared" ref="G877" si="64">IF(G875="",SUM(G871+G872),G871+G872+G875)</f>
        <v>0</v>
      </c>
      <c r="H877" s="250" t="e">
        <f>IF(H875="",SUM(H871+H872),H871+H872+H875)</f>
        <v>#VALUE!</v>
      </c>
      <c r="I877" s="250" t="e">
        <f t="shared" ref="I877" si="65">IF(I875="",SUM(I871+I872),I871+I872+I875)</f>
        <v>#VALUE!</v>
      </c>
      <c r="K877" s="14" t="s">
        <v>192</v>
      </c>
      <c r="O877" s="21"/>
    </row>
    <row r="878" spans="1:15" s="26" customFormat="1" hidden="1" x14ac:dyDescent="0.25">
      <c r="B878" s="229"/>
      <c r="C878" s="66"/>
      <c r="D878" s="66"/>
      <c r="E878" s="66"/>
      <c r="O878" s="21"/>
    </row>
    <row r="879" spans="1:15" s="26" customFormat="1" hidden="1" x14ac:dyDescent="0.25"/>
    <row r="880" spans="1:15" s="26" customFormat="1" hidden="1" x14ac:dyDescent="0.25">
      <c r="B880" s="308" t="s">
        <v>101</v>
      </c>
      <c r="C880" s="308"/>
      <c r="D880" s="308"/>
      <c r="E880" s="308"/>
    </row>
    <row r="881" spans="2:19" s="26" customFormat="1" ht="15.75" hidden="1" customHeight="1" x14ac:dyDescent="0.25"/>
    <row r="882" spans="2:19" s="26" customFormat="1" hidden="1" x14ac:dyDescent="0.25">
      <c r="B882" s="234"/>
      <c r="C882" s="234"/>
      <c r="D882" s="234"/>
      <c r="E882" s="234"/>
      <c r="F882" s="234"/>
      <c r="G882" s="234"/>
      <c r="H882" s="234"/>
      <c r="I882" s="234"/>
      <c r="J882" s="234"/>
      <c r="K882" s="234"/>
      <c r="L882" s="234"/>
      <c r="M882" s="234"/>
      <c r="N882" s="234"/>
      <c r="O882" s="234"/>
      <c r="P882" s="234"/>
      <c r="Q882" s="234"/>
      <c r="R882" s="234"/>
      <c r="S882" s="234"/>
    </row>
    <row r="883" spans="2:19" s="26" customFormat="1" hidden="1" x14ac:dyDescent="0.25">
      <c r="B883" s="234"/>
      <c r="C883" s="234"/>
      <c r="D883" s="234"/>
      <c r="E883" s="234"/>
      <c r="F883" s="234"/>
      <c r="G883" s="234"/>
      <c r="H883" s="234"/>
      <c r="I883" s="234"/>
      <c r="J883" s="234"/>
      <c r="K883" s="234"/>
      <c r="L883" s="234"/>
      <c r="M883" s="234"/>
      <c r="N883" s="234"/>
      <c r="O883" s="234"/>
      <c r="P883" s="234"/>
      <c r="Q883" s="234"/>
      <c r="R883" s="234"/>
      <c r="S883" s="234"/>
    </row>
    <row r="884" spans="2:19" s="26" customFormat="1" hidden="1" x14ac:dyDescent="0.25">
      <c r="B884" s="234"/>
      <c r="C884" s="234"/>
      <c r="D884" s="234"/>
      <c r="E884" s="234"/>
      <c r="F884" s="234"/>
      <c r="G884" s="234"/>
      <c r="H884" s="234"/>
      <c r="I884" s="234"/>
      <c r="J884" s="234"/>
      <c r="K884" s="234"/>
      <c r="L884" s="234"/>
      <c r="M884" s="234"/>
      <c r="N884" s="234"/>
      <c r="O884" s="234"/>
      <c r="P884" s="234"/>
      <c r="Q884" s="234"/>
      <c r="R884" s="234"/>
      <c r="S884" s="234"/>
    </row>
    <row r="885" spans="2:19" s="26" customFormat="1" hidden="1" x14ac:dyDescent="0.25">
      <c r="B885" s="234"/>
      <c r="C885" s="234"/>
      <c r="D885" s="234"/>
      <c r="E885" s="234"/>
      <c r="F885" s="234"/>
      <c r="G885" s="234"/>
      <c r="H885" s="234"/>
      <c r="I885" s="234"/>
      <c r="J885" s="234"/>
      <c r="K885" s="234"/>
      <c r="L885" s="234"/>
      <c r="M885" s="234"/>
      <c r="N885" s="234"/>
      <c r="O885" s="234"/>
      <c r="P885" s="234"/>
      <c r="Q885" s="234"/>
      <c r="R885" s="234"/>
      <c r="S885" s="234"/>
    </row>
    <row r="886" spans="2:19" s="26" customFormat="1" hidden="1" x14ac:dyDescent="0.25">
      <c r="B886" s="234"/>
      <c r="C886" s="234"/>
      <c r="D886" s="234"/>
      <c r="E886" s="234"/>
      <c r="F886" s="234"/>
      <c r="G886" s="234"/>
      <c r="H886" s="234"/>
      <c r="I886" s="234"/>
      <c r="J886" s="234"/>
      <c r="K886" s="234"/>
      <c r="L886" s="234"/>
      <c r="M886" s="234"/>
      <c r="N886" s="234"/>
      <c r="O886" s="234"/>
      <c r="P886" s="234"/>
      <c r="Q886" s="234"/>
      <c r="R886" s="234"/>
      <c r="S886" s="234"/>
    </row>
    <row r="887" spans="2:19" s="26" customFormat="1" hidden="1" x14ac:dyDescent="0.25">
      <c r="B887" s="234"/>
      <c r="C887" s="234"/>
      <c r="D887" s="234"/>
      <c r="E887" s="234"/>
      <c r="F887" s="234"/>
      <c r="G887" s="234"/>
      <c r="H887" s="234"/>
      <c r="I887" s="234"/>
      <c r="J887" s="234"/>
      <c r="K887" s="234"/>
      <c r="L887" s="234"/>
      <c r="M887" s="234"/>
      <c r="N887" s="234"/>
      <c r="O887" s="234"/>
      <c r="P887" s="234"/>
      <c r="Q887" s="234"/>
      <c r="R887" s="234"/>
      <c r="S887" s="234"/>
    </row>
    <row r="888" spans="2:19" s="26" customFormat="1" hidden="1" x14ac:dyDescent="0.25">
      <c r="B888" s="234"/>
      <c r="C888" s="234"/>
      <c r="D888" s="234"/>
      <c r="E888" s="234"/>
      <c r="F888" s="234"/>
      <c r="G888" s="234"/>
      <c r="H888" s="234"/>
      <c r="I888" s="234"/>
      <c r="J888" s="234"/>
      <c r="K888" s="234"/>
      <c r="L888" s="234"/>
      <c r="M888" s="234"/>
      <c r="N888" s="234"/>
      <c r="O888" s="234"/>
      <c r="P888" s="234"/>
      <c r="Q888" s="234"/>
      <c r="R888" s="234"/>
      <c r="S888" s="234"/>
    </row>
    <row r="889" spans="2:19" s="26" customFormat="1" hidden="1" x14ac:dyDescent="0.25">
      <c r="B889" s="234"/>
      <c r="C889" s="234"/>
      <c r="D889" s="234"/>
      <c r="E889" s="234"/>
      <c r="F889" s="234"/>
      <c r="G889" s="234"/>
      <c r="H889" s="234"/>
      <c r="I889" s="234"/>
      <c r="J889" s="234"/>
      <c r="K889" s="234"/>
      <c r="L889" s="234"/>
      <c r="M889" s="234"/>
      <c r="N889" s="234"/>
      <c r="O889" s="234"/>
      <c r="P889" s="234"/>
      <c r="Q889" s="234"/>
      <c r="R889" s="234"/>
      <c r="S889" s="234"/>
    </row>
    <row r="890" spans="2:19" s="26" customFormat="1" hidden="1" x14ac:dyDescent="0.25">
      <c r="B890" s="234"/>
      <c r="C890" s="234"/>
      <c r="D890" s="234"/>
      <c r="E890" s="234"/>
      <c r="F890" s="234"/>
      <c r="G890" s="234"/>
      <c r="H890" s="234"/>
      <c r="I890" s="234"/>
      <c r="J890" s="234"/>
      <c r="K890" s="234"/>
      <c r="L890" s="234"/>
      <c r="M890" s="234"/>
      <c r="N890" s="234"/>
      <c r="O890" s="234"/>
      <c r="P890" s="234"/>
      <c r="Q890" s="234"/>
      <c r="R890" s="234"/>
      <c r="S890" s="234"/>
    </row>
    <row r="891" spans="2:19" s="26" customFormat="1" hidden="1" x14ac:dyDescent="0.25">
      <c r="B891" s="234"/>
      <c r="C891" s="234"/>
      <c r="D891" s="234"/>
      <c r="E891" s="234"/>
      <c r="F891" s="234"/>
      <c r="G891" s="234"/>
      <c r="H891" s="234"/>
      <c r="I891" s="234"/>
      <c r="J891" s="234"/>
      <c r="K891" s="234"/>
      <c r="L891" s="234"/>
      <c r="M891" s="234"/>
      <c r="N891" s="234"/>
      <c r="O891" s="234"/>
      <c r="P891" s="234"/>
      <c r="Q891" s="234"/>
      <c r="R891" s="234"/>
      <c r="S891" s="234"/>
    </row>
    <row r="892" spans="2:19" hidden="1" x14ac:dyDescent="0.25"/>
    <row r="893" spans="2:19" hidden="1" x14ac:dyDescent="0.25"/>
    <row r="894" spans="2:19" ht="15.75" hidden="1" thickBot="1" x14ac:dyDescent="0.3"/>
    <row r="895" spans="2:19" s="26" customFormat="1" ht="15.75" hidden="1" thickBot="1" x14ac:dyDescent="0.3">
      <c r="B895" s="410" t="str">
        <f>CONCATENATE("Comparator 10: ",NameComparator10)</f>
        <v xml:space="preserve">Comparator 10: </v>
      </c>
      <c r="C895" s="411"/>
      <c r="D895" s="411"/>
      <c r="E895" s="411"/>
      <c r="F895" s="411"/>
      <c r="G895" s="412"/>
    </row>
    <row r="896" spans="2:19" s="26" customFormat="1" hidden="1" x14ac:dyDescent="0.25">
      <c r="B896" s="227"/>
      <c r="C896" s="227"/>
      <c r="D896" s="227"/>
      <c r="F896" s="303"/>
      <c r="G896" s="303"/>
      <c r="H896" s="303"/>
      <c r="I896" s="303"/>
      <c r="J896" s="303"/>
    </row>
    <row r="897" spans="1:22" s="26" customFormat="1" hidden="1" x14ac:dyDescent="0.25"/>
    <row r="898" spans="1:22" s="26" customFormat="1" ht="28.5" hidden="1" customHeight="1" thickBot="1" x14ac:dyDescent="0.3">
      <c r="B898" s="334" t="s">
        <v>118</v>
      </c>
      <c r="C898" s="334"/>
      <c r="D898" s="334"/>
      <c r="E898" s="334"/>
      <c r="K898" s="408" t="s">
        <v>209</v>
      </c>
      <c r="L898" s="408"/>
      <c r="M898" s="408"/>
      <c r="N898" s="408"/>
      <c r="O898" s="408"/>
      <c r="P898" s="225"/>
      <c r="Q898" s="225"/>
      <c r="R898" s="225"/>
      <c r="S898" s="225"/>
      <c r="T898" s="225"/>
      <c r="U898" s="225"/>
      <c r="V898" s="225"/>
    </row>
    <row r="899" spans="1:22" s="26" customFormat="1" ht="18.95" hidden="1" customHeight="1" thickBot="1" x14ac:dyDescent="0.3">
      <c r="B899" s="465" t="s">
        <v>119</v>
      </c>
      <c r="C899" s="466"/>
      <c r="D899" s="466"/>
      <c r="E899" s="466"/>
      <c r="F899" s="466"/>
      <c r="G899" s="466"/>
      <c r="H899" s="466"/>
      <c r="I899" s="467"/>
      <c r="K899" s="408"/>
      <c r="L899" s="408"/>
      <c r="M899" s="408"/>
      <c r="N899" s="408"/>
      <c r="O899" s="408"/>
      <c r="P899" s="225"/>
      <c r="Q899" s="225"/>
      <c r="R899" s="225"/>
      <c r="S899" s="225"/>
      <c r="T899" s="225"/>
      <c r="U899" s="225"/>
      <c r="V899" s="225"/>
    </row>
    <row r="900" spans="1:22" s="26" customFormat="1" ht="15.75" hidden="1" thickBot="1" x14ac:dyDescent="0.3">
      <c r="B900" s="295"/>
      <c r="C900" s="296"/>
      <c r="D900" s="296"/>
      <c r="E900" s="296"/>
      <c r="F900" s="466" t="s">
        <v>120</v>
      </c>
      <c r="G900" s="466"/>
      <c r="H900" s="466"/>
      <c r="I900" s="467"/>
      <c r="K900" s="14"/>
    </row>
    <row r="901" spans="1:22" s="26" customFormat="1" ht="15.75" hidden="1" thickBot="1" x14ac:dyDescent="0.3">
      <c r="B901" s="472" t="s">
        <v>174</v>
      </c>
      <c r="C901" s="473"/>
      <c r="D901" s="473"/>
      <c r="E901" s="474"/>
      <c r="F901" s="149"/>
      <c r="G901" s="149"/>
      <c r="H901" s="149"/>
      <c r="I901" s="149"/>
      <c r="K901" s="14" t="s">
        <v>180</v>
      </c>
    </row>
    <row r="902" spans="1:22" s="26" customFormat="1" ht="30" hidden="1" customHeight="1" thickBot="1" x14ac:dyDescent="0.3">
      <c r="B902" s="472" t="s">
        <v>106</v>
      </c>
      <c r="C902" s="473"/>
      <c r="D902" s="473"/>
      <c r="E902" s="474"/>
      <c r="F902" s="235"/>
      <c r="G902" s="235"/>
      <c r="H902" s="235"/>
      <c r="I902" s="235"/>
      <c r="J902" s="26" t="s">
        <v>104</v>
      </c>
      <c r="K902" s="408" t="s">
        <v>181</v>
      </c>
      <c r="L902" s="408"/>
      <c r="M902" s="408"/>
      <c r="N902" s="408"/>
      <c r="O902" s="408"/>
      <c r="P902" s="21"/>
      <c r="Q902" s="21"/>
      <c r="R902" s="21"/>
      <c r="S902" s="21"/>
      <c r="T902" s="21"/>
    </row>
    <row r="903" spans="1:22" s="26" customFormat="1" ht="15.75" hidden="1" thickBot="1" x14ac:dyDescent="0.3">
      <c r="A903" s="14"/>
      <c r="B903" s="472" t="s">
        <v>107</v>
      </c>
      <c r="C903" s="473"/>
      <c r="D903" s="473"/>
      <c r="E903" s="474"/>
      <c r="F903" s="151"/>
      <c r="G903" s="151"/>
      <c r="H903" s="151"/>
      <c r="I903" s="151"/>
      <c r="J903" s="236"/>
      <c r="K903" s="110" t="s">
        <v>182</v>
      </c>
      <c r="N903" s="21"/>
      <c r="O903" s="21"/>
      <c r="P903" s="21"/>
      <c r="Q903" s="21"/>
      <c r="R903" s="21"/>
      <c r="S903" s="21"/>
      <c r="T903" s="21"/>
    </row>
    <row r="904" spans="1:22" s="26" customFormat="1" ht="15.75" hidden="1" thickBot="1" x14ac:dyDescent="0.3">
      <c r="A904" s="15"/>
      <c r="B904" s="472" t="s">
        <v>108</v>
      </c>
      <c r="C904" s="473"/>
      <c r="D904" s="473"/>
      <c r="E904" s="474"/>
      <c r="F904" s="489"/>
      <c r="G904" s="490"/>
      <c r="H904" s="490"/>
      <c r="I904" s="491"/>
      <c r="J904" s="237" t="s">
        <v>104</v>
      </c>
      <c r="K904" s="110" t="s">
        <v>210</v>
      </c>
    </row>
    <row r="905" spans="1:22" s="26" customFormat="1" ht="15.75" hidden="1" thickBot="1" x14ac:dyDescent="0.3">
      <c r="A905" s="15"/>
      <c r="B905" s="472" t="s">
        <v>74</v>
      </c>
      <c r="C905" s="473"/>
      <c r="D905" s="473"/>
      <c r="E905" s="474"/>
      <c r="F905" s="492"/>
      <c r="G905" s="493"/>
      <c r="H905" s="493"/>
      <c r="I905" s="494"/>
      <c r="J905" s="237" t="s">
        <v>104</v>
      </c>
      <c r="K905" s="110" t="s">
        <v>184</v>
      </c>
    </row>
    <row r="906" spans="1:22" s="26" customFormat="1" ht="15.75" hidden="1" thickBot="1" x14ac:dyDescent="0.3">
      <c r="B906" s="472" t="s">
        <v>75</v>
      </c>
      <c r="C906" s="473"/>
      <c r="D906" s="473"/>
      <c r="E906" s="474"/>
      <c r="F906" s="492"/>
      <c r="G906" s="493"/>
      <c r="H906" s="493"/>
      <c r="I906" s="494"/>
      <c r="J906" s="26" t="s">
        <v>104</v>
      </c>
      <c r="K906" s="110" t="s">
        <v>185</v>
      </c>
    </row>
    <row r="907" spans="1:22" s="26" customFormat="1" ht="15.75" hidden="1" thickBot="1" x14ac:dyDescent="0.3">
      <c r="B907" s="472" t="s">
        <v>76</v>
      </c>
      <c r="C907" s="473"/>
      <c r="D907" s="473"/>
      <c r="E907" s="474"/>
      <c r="F907" s="492"/>
      <c r="G907" s="493"/>
      <c r="H907" s="493"/>
      <c r="I907" s="494"/>
      <c r="J907" s="237" t="s">
        <v>104</v>
      </c>
      <c r="K907" s="110" t="s">
        <v>219</v>
      </c>
    </row>
    <row r="908" spans="1:22" s="26" customFormat="1" ht="15.75" hidden="1" thickBot="1" x14ac:dyDescent="0.3">
      <c r="B908" s="472" t="s">
        <v>172</v>
      </c>
      <c r="C908" s="473"/>
      <c r="D908" s="473"/>
      <c r="E908" s="474"/>
      <c r="F908" s="492"/>
      <c r="G908" s="493"/>
      <c r="H908" s="493"/>
      <c r="I908" s="494"/>
      <c r="J908" s="237" t="s">
        <v>104</v>
      </c>
      <c r="K908" s="110" t="s">
        <v>217</v>
      </c>
    </row>
    <row r="909" spans="1:22" s="26" customFormat="1" ht="15.75" hidden="1" thickBot="1" x14ac:dyDescent="0.3">
      <c r="B909" s="472" t="s">
        <v>173</v>
      </c>
      <c r="C909" s="473"/>
      <c r="D909" s="473"/>
      <c r="E909" s="474"/>
      <c r="F909" s="492"/>
      <c r="G909" s="493"/>
      <c r="H909" s="493"/>
      <c r="I909" s="494"/>
      <c r="J909" s="237" t="s">
        <v>104</v>
      </c>
      <c r="K909" s="110" t="s">
        <v>218</v>
      </c>
    </row>
    <row r="910" spans="1:22" s="26" customFormat="1" ht="30" hidden="1" customHeight="1" x14ac:dyDescent="0.25">
      <c r="B910" s="112"/>
      <c r="C910" s="112"/>
      <c r="D910" s="112"/>
      <c r="E910" s="303"/>
      <c r="F910" s="303"/>
      <c r="G910" s="238"/>
      <c r="H910" s="303"/>
      <c r="I910" s="303"/>
      <c r="J910" s="239"/>
      <c r="K910" s="110"/>
    </row>
    <row r="911" spans="1:22" s="26" customFormat="1" ht="15.75" hidden="1" thickBot="1" x14ac:dyDescent="0.3">
      <c r="B911" s="334" t="s">
        <v>171</v>
      </c>
      <c r="C911" s="334"/>
      <c r="D911" s="334"/>
      <c r="E911" s="334"/>
      <c r="F911" s="303"/>
      <c r="G911" s="303"/>
      <c r="H911" s="303"/>
      <c r="I911" s="303"/>
      <c r="J911" s="239"/>
      <c r="K911" s="404" t="s">
        <v>195</v>
      </c>
      <c r="L911" s="404"/>
      <c r="M911" s="404"/>
      <c r="N911" s="404"/>
      <c r="O911" s="404"/>
      <c r="P911" s="292"/>
      <c r="Q911" s="292"/>
      <c r="R911" s="292"/>
      <c r="S911" s="292"/>
      <c r="T911" s="292"/>
      <c r="U911" s="292"/>
      <c r="V911" s="292"/>
    </row>
    <row r="912" spans="1:22" s="26" customFormat="1" ht="29.1" hidden="1" customHeight="1" thickBot="1" x14ac:dyDescent="0.3">
      <c r="B912" s="465" t="s">
        <v>121</v>
      </c>
      <c r="C912" s="466"/>
      <c r="D912" s="466"/>
      <c r="E912" s="466"/>
      <c r="F912" s="466"/>
      <c r="G912" s="466"/>
      <c r="H912" s="466"/>
      <c r="I912" s="467"/>
      <c r="J912" s="239"/>
      <c r="K912" s="404"/>
      <c r="L912" s="404"/>
      <c r="M912" s="404"/>
      <c r="N912" s="404"/>
      <c r="O912" s="404"/>
      <c r="P912" s="292"/>
      <c r="Q912" s="292"/>
      <c r="R912" s="292"/>
      <c r="S912" s="292"/>
      <c r="T912" s="292"/>
      <c r="U912" s="292"/>
      <c r="V912" s="292"/>
    </row>
    <row r="913" spans="1:15" s="26" customFormat="1" ht="30" hidden="1" customHeight="1" thickBot="1" x14ac:dyDescent="0.3">
      <c r="B913" s="472" t="s">
        <v>122</v>
      </c>
      <c r="C913" s="473"/>
      <c r="D913" s="473"/>
      <c r="E913" s="474"/>
      <c r="F913" s="468"/>
      <c r="G913" s="469"/>
      <c r="H913" s="470"/>
      <c r="I913" s="471"/>
      <c r="J913" s="239"/>
      <c r="K913" s="408" t="s">
        <v>186</v>
      </c>
      <c r="L913" s="408"/>
      <c r="M913" s="408"/>
      <c r="N913" s="408"/>
      <c r="O913" s="408"/>
    </row>
    <row r="914" spans="1:15" s="26" customFormat="1" ht="23.1" hidden="1" customHeight="1" thickBot="1" x14ac:dyDescent="0.3">
      <c r="B914" s="472" t="str">
        <f>B901</f>
        <v>Pack Identification</v>
      </c>
      <c r="C914" s="473"/>
      <c r="D914" s="473"/>
      <c r="E914" s="474"/>
      <c r="F914" s="192" t="str">
        <f>IF(ISBLANK(F901),"",F901)</f>
        <v/>
      </c>
      <c r="G914" s="192" t="str">
        <f t="shared" ref="G914:I914" si="66">IF(ISBLANK(G901),"",G901)</f>
        <v/>
      </c>
      <c r="H914" s="192" t="str">
        <f t="shared" si="66"/>
        <v/>
      </c>
      <c r="I914" s="192" t="str">
        <f t="shared" si="66"/>
        <v/>
      </c>
      <c r="J914" s="239"/>
      <c r="K914" s="408"/>
      <c r="L914" s="408"/>
      <c r="M914" s="408"/>
      <c r="N914" s="408"/>
      <c r="O914" s="408"/>
    </row>
    <row r="915" spans="1:15" s="26" customFormat="1" ht="15.75" hidden="1" thickBot="1" x14ac:dyDescent="0.3">
      <c r="B915" s="512" t="s">
        <v>123</v>
      </c>
      <c r="C915" s="513"/>
      <c r="D915" s="513"/>
      <c r="E915" s="514"/>
      <c r="F915" s="145"/>
      <c r="G915" s="154"/>
      <c r="H915" s="154"/>
      <c r="I915" s="154"/>
      <c r="J915" s="239"/>
      <c r="K915" s="408" t="s">
        <v>187</v>
      </c>
      <c r="L915" s="408"/>
      <c r="M915" s="408"/>
      <c r="N915" s="408"/>
      <c r="O915" s="408"/>
    </row>
    <row r="916" spans="1:15" s="26" customFormat="1" ht="75.75" hidden="1" customHeight="1" x14ac:dyDescent="0.25">
      <c r="B916" s="304"/>
      <c r="C916" s="304"/>
      <c r="D916" s="304"/>
      <c r="E916" s="304"/>
      <c r="F916" s="303"/>
      <c r="G916" s="303"/>
      <c r="H916" s="303"/>
      <c r="I916" s="303"/>
      <c r="J916" s="239"/>
      <c r="K916" s="408"/>
      <c r="L916" s="408"/>
      <c r="M916" s="408"/>
      <c r="N916" s="408"/>
      <c r="O916" s="408"/>
    </row>
    <row r="917" spans="1:15" s="26" customFormat="1" hidden="1" x14ac:dyDescent="0.25">
      <c r="B917" s="511"/>
      <c r="C917" s="511"/>
      <c r="D917" s="511"/>
      <c r="E917" s="511"/>
      <c r="K917" s="408"/>
      <c r="L917" s="408"/>
      <c r="M917" s="408"/>
      <c r="N917" s="408"/>
      <c r="O917" s="408"/>
    </row>
    <row r="918" spans="1:15" s="26" customFormat="1" hidden="1" x14ac:dyDescent="0.25">
      <c r="B918" s="303"/>
      <c r="C918" s="303"/>
      <c r="D918" s="303"/>
      <c r="E918" s="303"/>
      <c r="O918" s="21"/>
    </row>
    <row r="919" spans="1:15" s="26" customFormat="1" hidden="1" x14ac:dyDescent="0.25">
      <c r="A919" s="155"/>
      <c r="B919" s="308" t="s">
        <v>124</v>
      </c>
      <c r="C919" s="290"/>
      <c r="D919" s="66"/>
      <c r="E919" s="66"/>
      <c r="F919" s="390"/>
      <c r="G919" s="390"/>
      <c r="H919" s="390"/>
      <c r="I919" s="390"/>
      <c r="O919" s="21"/>
    </row>
    <row r="920" spans="1:15" s="26" customFormat="1" hidden="1" x14ac:dyDescent="0.25">
      <c r="A920" s="14" t="s">
        <v>125</v>
      </c>
      <c r="B920" s="290"/>
      <c r="C920" s="290"/>
      <c r="D920" s="66"/>
      <c r="E920" s="66"/>
      <c r="F920" s="290"/>
      <c r="G920" s="290"/>
      <c r="H920" s="290"/>
      <c r="I920" s="290"/>
      <c r="O920" s="21"/>
    </row>
    <row r="921" spans="1:15" s="26" customFormat="1" ht="15.75" hidden="1" thickBot="1" x14ac:dyDescent="0.3">
      <c r="B921" s="66"/>
      <c r="C921" s="66"/>
      <c r="D921" s="66"/>
      <c r="E921" s="66"/>
      <c r="F921" s="390" t="s">
        <v>126</v>
      </c>
      <c r="G921" s="390"/>
      <c r="H921" s="390"/>
      <c r="I921" s="390"/>
      <c r="O921" s="21"/>
    </row>
    <row r="922" spans="1:15" s="26" customFormat="1" ht="15.75" hidden="1" thickBot="1" x14ac:dyDescent="0.3">
      <c r="B922" s="66"/>
      <c r="C922" s="66"/>
      <c r="D922" s="66"/>
      <c r="E922" s="66"/>
      <c r="F922" s="156" t="str">
        <f>IF(F901="","",F901)</f>
        <v/>
      </c>
      <c r="G922" s="156" t="str">
        <f>IF(G901="","",G901)</f>
        <v/>
      </c>
      <c r="H922" s="156" t="str">
        <f>IF(H901="","",H901)</f>
        <v/>
      </c>
      <c r="I922" s="156" t="str">
        <f>IF(I901="","",I901)</f>
        <v/>
      </c>
      <c r="O922" s="21"/>
    </row>
    <row r="923" spans="1:15" s="26" customFormat="1" hidden="1" x14ac:dyDescent="0.25">
      <c r="A923" s="91" t="s">
        <v>77</v>
      </c>
      <c r="B923" s="475" t="s">
        <v>82</v>
      </c>
      <c r="C923" s="476"/>
      <c r="D923" s="476"/>
      <c r="E923" s="240"/>
      <c r="F923" s="241" t="str">
        <f>IF(OR(F902="",F903="",F904=""),"",IF(F902="Price to Wholesaler",F903,IF(F902="Reimbursement Price",(F925/(1+E924)*1),"Error")))</f>
        <v/>
      </c>
      <c r="G923" s="241" t="str">
        <f>IF(OR(G902="",G903="",F904=""),"",IF(G902="Price to Wholesaler",G903,IF(G902="Reimbursement Price",(G925/(1+E924)*1),"Error")))</f>
        <v/>
      </c>
      <c r="H923" s="241" t="str">
        <f>IF(OR(H902="",H903="",F904=""),"",IF(H902="Price to Wholesaler",H903,IF(H902="Reimbursement Price",(H925/(1+E924)*1),"Error")))</f>
        <v/>
      </c>
      <c r="I923" s="241" t="str">
        <f>IF(OR(I902="",I903="",F904=""),"",IF(I902="Price to Wholesaler",I903,IF(I902="Reimbursement Price",(I925/(1+E924)*1),"Error")))</f>
        <v/>
      </c>
      <c r="O923" s="21"/>
    </row>
    <row r="924" spans="1:15" s="26" customFormat="1" hidden="1" x14ac:dyDescent="0.25">
      <c r="A924" s="297" t="s">
        <v>78</v>
      </c>
      <c r="B924" s="477" t="s">
        <v>83</v>
      </c>
      <c r="C924" s="478"/>
      <c r="D924" s="478"/>
      <c r="E924" s="93" t="str">
        <f>IF(OR(F904=""),"",IF(AND(F904="CDS",F905="Yes"),CYF,IF(AND(F904="CDS",F905="No"),CNF,IF(F904="HT",CHT,IF(F904="Hosp",CHO,"Error")))))</f>
        <v/>
      </c>
      <c r="F924" s="242" t="str">
        <f>IF(OR(F904="",F903="",F902=""),"",F923*E924)</f>
        <v/>
      </c>
      <c r="G924" s="242" t="str">
        <f>IF(OR(F904="",G903="",G902=""),"",G923*E924)</f>
        <v/>
      </c>
      <c r="H924" s="242" t="str">
        <f>IF(OR(F904="",H903="",H902=""),"",H923*E924)</f>
        <v/>
      </c>
      <c r="I924" s="242" t="str">
        <f>IF(OR(F904="",I903="",I902=""),"",I923*E924)</f>
        <v/>
      </c>
      <c r="O924" s="21"/>
    </row>
    <row r="925" spans="1:15" s="26" customFormat="1" hidden="1" x14ac:dyDescent="0.25">
      <c r="A925" s="297" t="s">
        <v>79</v>
      </c>
      <c r="B925" s="477" t="str">
        <f>IF(F904="Hosp","Hospital Price", "Reimbursement Price")</f>
        <v>Reimbursement Price</v>
      </c>
      <c r="C925" s="478"/>
      <c r="D925" s="478"/>
      <c r="E925" s="243" t="str">
        <f>IF(F902="Price to Wholesaler","A+B","")</f>
        <v/>
      </c>
      <c r="F925" s="242" t="str">
        <f>IF(F902="Reimbursement Price",F903,IF(ISBLANK(E924),"",IF(F902="Price to Wholesaler",(F923+F924),IF(F902="","","Error"))))</f>
        <v/>
      </c>
      <c r="G925" s="242" t="str">
        <f>IF(G902="Reimbursement Price",G903,IF(ISBLANK(E924),"",IF(G902="Price to Wholesaler",(G923+G924),IF(G902="","","Error"))))</f>
        <v/>
      </c>
      <c r="H925" s="242" t="str">
        <f>IF(H902="Reimbursement Price",H903,IF(ISBLANK(E924),"",IF(H902="Price to Wholesaler",(H923+H924),IF(H902="","","Error"))))</f>
        <v/>
      </c>
      <c r="I925" s="242" t="str">
        <f>IF(I902="Reimbursement Price",I903,IF(ISBLANK(E924),"",IF(I902="Price to Wholesaler",(I923+I924),IF(I902="","","Error"))))</f>
        <v/>
      </c>
      <c r="O925" s="21"/>
    </row>
    <row r="926" spans="1:15" s="26" customFormat="1" hidden="1" x14ac:dyDescent="0.25">
      <c r="A926" s="297" t="s">
        <v>80</v>
      </c>
      <c r="B926" s="477" t="s">
        <v>214</v>
      </c>
      <c r="C926" s="478"/>
      <c r="D926" s="478"/>
      <c r="E926" s="268" t="str">
        <f>IF(OR(F907="",AND(F907="Yes",F908=""),AND(F907="No",F909="")),"",IF(AND(F907="No",F909="Patented Exclusive or Off Patent Exclusive and subject to clause 10 of Framework Agreement"),MR,IF(AND(F907="No",F909="Off Patent Non-Exclusive or Generic"),"None",IF(AND(F907="Yes",F908="Biosimilar"),"None",IF(AND(F907="Yes",F908="Patented or Off Patent Exclusive"),MR,IF(AND(F907="Yes",F908="Off Patent Non-Exclusive 12.5% Rebate incorporated into Price to Wholesaler"),"None",IF(AND(F907="Yes",F908="Off Patent Non-Exclusive 12.5% Rebate"),MRB,"Error")))))))</f>
        <v/>
      </c>
      <c r="F926" s="242" t="str">
        <f>IF(OR(F907="",AND(F907="Yes",F908=""),AND(F907="No",F909=""),F902="",ISBLANK(F903)),"",IF(E926="None",0,(E926*F923)))</f>
        <v/>
      </c>
      <c r="G926" s="242" t="str">
        <f>IF(OR(F907="",AND(F907="Yes",F908=""),AND(F907="No",F909=""),G902="",ISBLANK(G903)),"",IF(E926="None",0,(E926*G923)))</f>
        <v/>
      </c>
      <c r="H926" s="242" t="str">
        <f>IF(OR(F907="",AND(F907="Yes",F908=""),AND(F907="No",F909=""),H902="",ISBLANK(H903)),"",IF(E926="None",0,(E926*H923)))</f>
        <v/>
      </c>
      <c r="I926" s="242" t="str">
        <f>IF(OR(F907="",AND(F907="Yes",F908=""),AND(F907="No",F909=""),I902="",ISBLANK(I903)),"",IF(E926="None",0,(E926*I923)))</f>
        <v/>
      </c>
      <c r="O926" s="21"/>
    </row>
    <row r="927" spans="1:15" s="26" customFormat="1" ht="15.75" hidden="1" thickBot="1" x14ac:dyDescent="0.3">
      <c r="A927" s="298" t="s">
        <v>81</v>
      </c>
      <c r="B927" s="479" t="s">
        <v>94</v>
      </c>
      <c r="C927" s="480"/>
      <c r="D927" s="480"/>
      <c r="E927" s="160" t="str">
        <f>IF(F906="","",IF(F906="Yes",0,VT))</f>
        <v/>
      </c>
      <c r="F927" s="244" t="str">
        <f>IF(OR($B906="",F903="",ISBLANK(F903)),"",($E927*F925))</f>
        <v/>
      </c>
      <c r="G927" s="244" t="str">
        <f t="shared" ref="G927:I927" si="67">IF(OR($B906="",G903="",ISBLANK(G903)),"",($E927*G925))</f>
        <v/>
      </c>
      <c r="H927" s="244" t="str">
        <f t="shared" si="67"/>
        <v/>
      </c>
      <c r="I927" s="244" t="str">
        <f t="shared" si="67"/>
        <v/>
      </c>
      <c r="O927" s="21"/>
    </row>
    <row r="928" spans="1:15" s="26" customFormat="1" ht="15.75" hidden="1" thickBot="1" x14ac:dyDescent="0.3">
      <c r="A928" s="299" t="s">
        <v>127</v>
      </c>
      <c r="B928" s="481" t="s">
        <v>128</v>
      </c>
      <c r="C928" s="481"/>
      <c r="D928" s="481"/>
      <c r="E928" s="299"/>
      <c r="F928" s="245" t="str">
        <f>IF(OR(F902="",$F904="",$F906="",$F907=""),"",SUM(F925:F927))</f>
        <v/>
      </c>
      <c r="G928" s="245" t="str">
        <f t="shared" ref="G928:I928" si="68">IF(OR(G902="",$F904="",$F906="",$F907=""),"",SUM(G925:G927))</f>
        <v/>
      </c>
      <c r="H928" s="245" t="str">
        <f t="shared" si="68"/>
        <v/>
      </c>
      <c r="I928" s="245" t="str">
        <f t="shared" si="68"/>
        <v/>
      </c>
      <c r="O928" s="21"/>
    </row>
    <row r="929" spans="1:20" s="26" customFormat="1" ht="15.75" hidden="1" thickBot="1" x14ac:dyDescent="0.3">
      <c r="A929" s="299" t="s">
        <v>129</v>
      </c>
      <c r="B929" s="482" t="s">
        <v>130</v>
      </c>
      <c r="C929" s="482"/>
      <c r="D929" s="482"/>
      <c r="E929" s="245"/>
      <c r="F929" s="245" t="str">
        <f>IF(OR(F902="",$F904="",$F906="",$F907=""),"",SUM(F925:F926))</f>
        <v/>
      </c>
      <c r="G929" s="245" t="str">
        <f t="shared" ref="G929:I929" si="69">IF(OR(G902="",$F904="",$F906="",$F907=""),"",SUM(G925:G926))</f>
        <v/>
      </c>
      <c r="H929" s="245" t="str">
        <f t="shared" si="69"/>
        <v/>
      </c>
      <c r="I929" s="245" t="str">
        <f t="shared" si="69"/>
        <v/>
      </c>
      <c r="O929" s="21"/>
    </row>
    <row r="930" spans="1:20" s="26" customFormat="1" hidden="1" x14ac:dyDescent="0.25">
      <c r="B930" s="66"/>
      <c r="C930" s="66"/>
      <c r="D930" s="66"/>
      <c r="E930" s="66"/>
      <c r="K930" s="26" t="s">
        <v>131</v>
      </c>
      <c r="O930" s="21"/>
    </row>
    <row r="931" spans="1:20" s="26" customFormat="1" hidden="1" x14ac:dyDescent="0.25">
      <c r="A931" s="155" t="s">
        <v>132</v>
      </c>
      <c r="B931" s="66"/>
      <c r="C931" s="66"/>
      <c r="D931" s="66"/>
      <c r="E931" s="66"/>
      <c r="F931" s="246"/>
      <c r="G931" s="246"/>
      <c r="H931" s="246"/>
      <c r="I931" s="246"/>
      <c r="O931" s="21"/>
    </row>
    <row r="932" spans="1:20" s="26" customFormat="1" hidden="1" x14ac:dyDescent="0.25">
      <c r="A932" s="125"/>
      <c r="B932" s="125" t="s">
        <v>133</v>
      </c>
      <c r="C932" s="125"/>
      <c r="D932" s="125"/>
      <c r="E932" s="125"/>
      <c r="F932" s="125"/>
      <c r="G932" s="125"/>
      <c r="H932" s="125"/>
      <c r="O932" s="21"/>
    </row>
    <row r="933" spans="1:20" s="26" customFormat="1" hidden="1" x14ac:dyDescent="0.25">
      <c r="B933" s="21" t="s">
        <v>134</v>
      </c>
      <c r="C933" s="229"/>
      <c r="D933" s="229"/>
      <c r="E933" s="66"/>
      <c r="O933" s="21"/>
    </row>
    <row r="934" spans="1:20" s="26" customFormat="1" ht="15.75" hidden="1" thickBot="1" x14ac:dyDescent="0.3">
      <c r="B934" s="165"/>
      <c r="C934" s="229"/>
      <c r="D934" s="229"/>
      <c r="E934" s="66"/>
      <c r="O934" s="21"/>
    </row>
    <row r="935" spans="1:20" s="26" customFormat="1" ht="15.75" hidden="1" thickBot="1" x14ac:dyDescent="0.3">
      <c r="B935" s="230"/>
      <c r="C935" s="66"/>
      <c r="D935" s="66"/>
      <c r="E935" s="66"/>
      <c r="G935" s="293" t="s">
        <v>135</v>
      </c>
      <c r="H935" s="293" t="s">
        <v>136</v>
      </c>
      <c r="O935" s="21"/>
    </row>
    <row r="936" spans="1:20" s="26" customFormat="1" hidden="1" x14ac:dyDescent="0.25">
      <c r="B936" s="483" t="s">
        <v>137</v>
      </c>
      <c r="C936" s="484"/>
      <c r="D936" s="484"/>
      <c r="E936" s="484"/>
      <c r="F936" s="485"/>
      <c r="G936" s="247" t="str">
        <f>IF(F904="","",IF(F904="CDS","per dispensing",IF(F904="HT","per month",IF(F904="Hosp","No Fee", ERROR))))</f>
        <v/>
      </c>
      <c r="H936" s="248" t="str">
        <f>IF(F904="","",IF(F904="CDS",DF,IF(F904="HT",PC,IF(F904="Hosp","No Fee",ERROR))))</f>
        <v/>
      </c>
      <c r="I936" s="26" t="s">
        <v>138</v>
      </c>
      <c r="O936" s="21"/>
    </row>
    <row r="937" spans="1:20" s="26" customFormat="1" ht="15.75" hidden="1" thickBot="1" x14ac:dyDescent="0.3">
      <c r="B937" s="486" t="s">
        <v>92</v>
      </c>
      <c r="C937" s="487"/>
      <c r="D937" s="487"/>
      <c r="E937" s="487"/>
      <c r="F937" s="488"/>
      <c r="G937" s="249" t="str">
        <f>IF(OR(F904="",F906=""),"",IF(F904="Hosp","No Fee",IF(F904="HT","No VAT",IF(AND(F904="CDS",F906="No"),VT,"No VAT"))))</f>
        <v/>
      </c>
      <c r="H937" s="250" t="str">
        <f>IF(OR(F906="",F904="Hosp"),"",IF(OR(F906="Yes",F904="HT"),0,H936*G937))</f>
        <v/>
      </c>
      <c r="O937" s="21"/>
    </row>
    <row r="938" spans="1:20" s="26" customFormat="1" hidden="1" x14ac:dyDescent="0.25">
      <c r="B938" s="230"/>
      <c r="C938" s="66"/>
      <c r="D938" s="66"/>
      <c r="E938" s="66"/>
      <c r="O938" s="21"/>
    </row>
    <row r="939" spans="1:20" s="26" customFormat="1" hidden="1" x14ac:dyDescent="0.25">
      <c r="B939" s="230"/>
      <c r="C939" s="66"/>
      <c r="D939" s="66"/>
      <c r="E939" s="66"/>
      <c r="O939" s="21"/>
    </row>
    <row r="940" spans="1:20" s="26" customFormat="1" ht="33.950000000000003" hidden="1" customHeight="1" thickBot="1" x14ac:dyDescent="0.3">
      <c r="A940" s="165" t="s">
        <v>193</v>
      </c>
      <c r="B940" s="230"/>
      <c r="C940" s="66"/>
      <c r="D940" s="66"/>
      <c r="E940" s="66"/>
      <c r="K940" s="408" t="s">
        <v>197</v>
      </c>
      <c r="L940" s="408"/>
      <c r="M940" s="408"/>
      <c r="N940" s="408"/>
      <c r="O940" s="408"/>
      <c r="P940" s="195"/>
      <c r="Q940" s="195"/>
      <c r="R940" s="195"/>
      <c r="S940" s="195"/>
      <c r="T940" s="195"/>
    </row>
    <row r="941" spans="1:20" s="26" customFormat="1" ht="17.100000000000001" hidden="1" customHeight="1" thickBot="1" x14ac:dyDescent="0.3">
      <c r="A941" s="14" t="s">
        <v>194</v>
      </c>
      <c r="B941" s="230"/>
      <c r="C941" s="66"/>
      <c r="D941" s="66"/>
      <c r="E941" s="66"/>
      <c r="G941" s="293" t="s">
        <v>101</v>
      </c>
      <c r="H941" s="293" t="s">
        <v>136</v>
      </c>
      <c r="K941" s="408" t="str">
        <f>IF(F904="HT","For High tech, if a treatment cycle =28 days the corresponding pharmacy fee is =62.03*12/365.25*28.  The pharmacy fee remains the same regardless of the number of products dispensed that month.",IF(F904="CDS","For CDS, if 2 packets of the same pack presentation are required per treatment cycle, one dispensing fee applies (€5.48). If multiple pack presentations are required, multiple dispensing fees apply",""))</f>
        <v/>
      </c>
      <c r="L941" s="408"/>
      <c r="M941" s="408"/>
      <c r="N941" s="408"/>
      <c r="O941" s="408"/>
      <c r="P941" s="195"/>
      <c r="Q941" s="195"/>
      <c r="R941" s="195"/>
      <c r="S941" s="195"/>
      <c r="T941" s="195"/>
    </row>
    <row r="942" spans="1:20" s="26" customFormat="1" ht="16.5" hidden="1" customHeight="1" x14ac:dyDescent="0.25">
      <c r="A942" s="170" t="s">
        <v>139</v>
      </c>
      <c r="B942" s="504" t="s">
        <v>140</v>
      </c>
      <c r="C942" s="504"/>
      <c r="D942" s="504"/>
      <c r="E942" s="504"/>
      <c r="F942" s="504"/>
      <c r="G942" s="251"/>
      <c r="H942" s="252"/>
      <c r="K942" s="408"/>
      <c r="L942" s="408"/>
      <c r="M942" s="408"/>
      <c r="N942" s="408"/>
      <c r="O942" s="408"/>
      <c r="P942" s="195"/>
      <c r="Q942" s="195"/>
      <c r="R942" s="195"/>
      <c r="S942" s="195"/>
      <c r="T942" s="195"/>
    </row>
    <row r="943" spans="1:20" s="26" customFormat="1" hidden="1" x14ac:dyDescent="0.25">
      <c r="A943" s="173" t="s">
        <v>141</v>
      </c>
      <c r="B943" s="505" t="s">
        <v>142</v>
      </c>
      <c r="C943" s="505"/>
      <c r="D943" s="505"/>
      <c r="E943" s="505"/>
      <c r="F943" s="505"/>
      <c r="G943" s="253"/>
      <c r="H943" s="254"/>
      <c r="K943" s="14" t="s">
        <v>188</v>
      </c>
      <c r="O943" s="21"/>
    </row>
    <row r="944" spans="1:20" s="26" customFormat="1" hidden="1" x14ac:dyDescent="0.25">
      <c r="A944" s="173" t="s">
        <v>143</v>
      </c>
      <c r="B944" s="505" t="s">
        <v>144</v>
      </c>
      <c r="C944" s="505"/>
      <c r="D944" s="505"/>
      <c r="E944" s="505"/>
      <c r="F944" s="505"/>
      <c r="G944" s="253"/>
      <c r="H944" s="254"/>
      <c r="K944" s="14" t="s">
        <v>189</v>
      </c>
      <c r="O944" s="21"/>
    </row>
    <row r="945" spans="1:15" s="26" customFormat="1" hidden="1" x14ac:dyDescent="0.25">
      <c r="A945" s="173" t="s">
        <v>145</v>
      </c>
      <c r="B945" s="505" t="s">
        <v>146</v>
      </c>
      <c r="C945" s="505"/>
      <c r="D945" s="505"/>
      <c r="E945" s="505"/>
      <c r="F945" s="505"/>
      <c r="G945" s="255"/>
      <c r="H945" s="256" t="str">
        <f>IF(ISBLANK(H942),"",SUM(H942:H944))</f>
        <v/>
      </c>
      <c r="O945" s="21"/>
    </row>
    <row r="946" spans="1:15" s="26" customFormat="1" ht="15.75" hidden="1" thickBot="1" x14ac:dyDescent="0.3">
      <c r="A946" s="178" t="s">
        <v>147</v>
      </c>
      <c r="B946" s="515" t="s">
        <v>196</v>
      </c>
      <c r="C946" s="515"/>
      <c r="D946" s="515"/>
      <c r="E946" s="515"/>
      <c r="F946" s="515"/>
      <c r="G946" s="257"/>
      <c r="H946" s="250" t="str">
        <f>IF(ISBLANK(H942),"",SUM(H942:H943))</f>
        <v/>
      </c>
      <c r="O946" s="21"/>
    </row>
    <row r="947" spans="1:15" s="26" customFormat="1" hidden="1" x14ac:dyDescent="0.25">
      <c r="B947" s="66"/>
      <c r="C947" s="66"/>
      <c r="D947" s="66"/>
      <c r="E947" s="66"/>
      <c r="O947" s="21"/>
    </row>
    <row r="948" spans="1:15" s="26" customFormat="1" hidden="1" x14ac:dyDescent="0.25">
      <c r="B948" s="66"/>
      <c r="C948" s="66"/>
      <c r="D948" s="66"/>
      <c r="E948" s="66"/>
      <c r="O948" s="21"/>
    </row>
    <row r="949" spans="1:15" s="26" customFormat="1" hidden="1" x14ac:dyDescent="0.25">
      <c r="A949" s="155" t="s">
        <v>148</v>
      </c>
      <c r="B949" s="66"/>
      <c r="C949" s="66"/>
      <c r="D949" s="66"/>
      <c r="E949" s="66"/>
      <c r="O949" s="21"/>
    </row>
    <row r="950" spans="1:15" s="26" customFormat="1" ht="15.75" hidden="1" thickBot="1" x14ac:dyDescent="0.3">
      <c r="B950" s="66"/>
      <c r="C950" s="66"/>
      <c r="D950" s="66"/>
      <c r="E950" s="66"/>
      <c r="O950" s="21"/>
    </row>
    <row r="951" spans="1:15" s="26" customFormat="1" ht="29.1" hidden="1" customHeight="1" x14ac:dyDescent="0.25">
      <c r="A951" s="65"/>
      <c r="B951" s="303"/>
      <c r="C951" s="303"/>
      <c r="D951" s="303"/>
      <c r="E951" s="303"/>
      <c r="F951" s="506" t="s">
        <v>149</v>
      </c>
      <c r="G951" s="180" t="s">
        <v>150</v>
      </c>
      <c r="H951" s="508" t="s">
        <v>151</v>
      </c>
      <c r="I951" s="180" t="s">
        <v>152</v>
      </c>
      <c r="J951" s="66"/>
      <c r="K951" s="408" t="s">
        <v>190</v>
      </c>
      <c r="L951" s="408"/>
      <c r="M951" s="408"/>
      <c r="N951" s="408"/>
      <c r="O951" s="408"/>
    </row>
    <row r="952" spans="1:15" s="26" customFormat="1" hidden="1" x14ac:dyDescent="0.25">
      <c r="A952" s="65"/>
      <c r="B952" s="303"/>
      <c r="C952" s="303"/>
      <c r="D952" s="303"/>
      <c r="E952" s="303"/>
      <c r="F952" s="507"/>
      <c r="G952" s="253"/>
      <c r="H952" s="509"/>
      <c r="I952" s="182"/>
      <c r="J952" s="66"/>
      <c r="K952" s="408"/>
      <c r="L952" s="408"/>
      <c r="M952" s="408"/>
      <c r="N952" s="408"/>
      <c r="O952" s="408"/>
    </row>
    <row r="953" spans="1:15" s="26" customFormat="1" ht="15.75" hidden="1" thickBot="1" x14ac:dyDescent="0.3">
      <c r="A953" s="65"/>
      <c r="B953" s="303"/>
      <c r="C953" s="303"/>
      <c r="D953" s="303"/>
      <c r="E953" s="303"/>
      <c r="F953" s="507"/>
      <c r="G953" s="183" t="s">
        <v>153</v>
      </c>
      <c r="H953" s="510"/>
      <c r="I953" s="184"/>
      <c r="J953" s="66"/>
      <c r="K953" s="408"/>
      <c r="L953" s="408"/>
      <c r="M953" s="408"/>
      <c r="N953" s="408"/>
      <c r="O953" s="408"/>
    </row>
    <row r="954" spans="1:15" s="26" customFormat="1" hidden="1" x14ac:dyDescent="0.25">
      <c r="A954" s="247" t="s">
        <v>77</v>
      </c>
      <c r="B954" s="463" t="str">
        <f>B923</f>
        <v>Price to Wholesaler</v>
      </c>
      <c r="C954" s="463"/>
      <c r="D954" s="463"/>
      <c r="E954" s="463"/>
      <c r="F954" s="256">
        <f>SUMPRODUCT(F923:I923,F915:I915)</f>
        <v>0</v>
      </c>
      <c r="G954" s="256">
        <f>F954*G952</f>
        <v>0</v>
      </c>
      <c r="H954" s="256" t="str">
        <f>IF(H913="Days",F954/F913*365.25,IF(H913="Months",F954/F913*12,""))</f>
        <v/>
      </c>
      <c r="I954" s="256" t="str">
        <f>IF(AND(H913="Days",I953="Days"),F954/F913*I952,IF(AND(H913="Months",I953="Months"),F954/F913*I952,IF(AND(H913="Days",I953="Months"),F954/F913*30.4375*I952,IF(AND(H913="Months",I953="Days"),F954/F913/30.4375*I952,""))))</f>
        <v/>
      </c>
      <c r="O954" s="21"/>
    </row>
    <row r="955" spans="1:15" s="26" customFormat="1" hidden="1" x14ac:dyDescent="0.25">
      <c r="A955" s="255" t="s">
        <v>78</v>
      </c>
      <c r="B955" s="464" t="str">
        <f>B924</f>
        <v>Wholesale Mark-up</v>
      </c>
      <c r="C955" s="464"/>
      <c r="D955" s="464"/>
      <c r="E955" s="464"/>
      <c r="F955" s="256">
        <f>SUMPRODUCT(F924:I924,F915:I915)</f>
        <v>0</v>
      </c>
      <c r="G955" s="256">
        <f>F955*G952</f>
        <v>0</v>
      </c>
      <c r="H955" s="256" t="str">
        <f>IF(H913="Days",F955/F913*365.25,IF(H913="Months",F955/F913*12,""))</f>
        <v/>
      </c>
      <c r="I955" s="256" t="str">
        <f>IF(AND(H913="Days",I953="Days"),F955/F913*I952,IF(AND(H913="Months",I953="Months"),F955/F913*I952,IF(AND(H913="Days",I953="Months"),F955/F913*30.4375*I952,IF(AND(H913="Months",I953="Days"),F955/F913/30.4375*I952,""))))</f>
        <v/>
      </c>
      <c r="O955" s="21"/>
    </row>
    <row r="956" spans="1:15" s="26" customFormat="1" hidden="1" x14ac:dyDescent="0.25">
      <c r="A956" s="255" t="s">
        <v>79</v>
      </c>
      <c r="B956" s="294" t="str">
        <f>B925</f>
        <v>Reimbursement Price</v>
      </c>
      <c r="C956" s="300"/>
      <c r="D956" s="301"/>
      <c r="E956" s="302"/>
      <c r="F956" s="256">
        <f>SUMPRODUCT(F925:I925,F915:I915)</f>
        <v>0</v>
      </c>
      <c r="G956" s="256">
        <f>F956*G952</f>
        <v>0</v>
      </c>
      <c r="H956" s="256" t="str">
        <f>IF(H913="Days",F956/F913*365.25,IF(H913="Months",F956/F913*12,""))</f>
        <v/>
      </c>
      <c r="I956" s="256" t="str">
        <f>IF(AND(H913="Days",I953="Days"),F956/F913*I952,IF(AND(H913="Months",I953="Months"),F956/F913*I952,IF(AND(H913="Days",I953="Months"),F956/F913*30.4375*I952,IF(AND(H913="Months",I953="Days"),F956/F913/30.4375*I952,""))))</f>
        <v/>
      </c>
      <c r="O956" s="21"/>
    </row>
    <row r="957" spans="1:15" s="26" customFormat="1" hidden="1" x14ac:dyDescent="0.25">
      <c r="A957" s="255" t="s">
        <v>80</v>
      </c>
      <c r="B957" s="495" t="str">
        <f>B926</f>
        <v>Framework Agreement Rebate</v>
      </c>
      <c r="C957" s="496"/>
      <c r="D957" s="496"/>
      <c r="E957" s="497"/>
      <c r="F957" s="256">
        <f>SUMPRODUCT(F926:I926,F915:I915)</f>
        <v>0</v>
      </c>
      <c r="G957" s="256">
        <f>F957*G952</f>
        <v>0</v>
      </c>
      <c r="H957" s="256" t="str">
        <f>IF(H913="Days",F957/F913*365.25,IF(H913="Months",F957/F913*12,""))</f>
        <v/>
      </c>
      <c r="I957" s="256" t="str">
        <f>IF(AND(H913="Days",I953="Days"),F957/F913*I952,IF(AND(H913="Months",I953="Months"),F957/F913*I952,IF(AND(H913="Days",I953="Months"),F957/F913*30.4375*I952,IF(AND(H913="Months",I953="Days"),F957/F913/30.4375*I952,""))))</f>
        <v/>
      </c>
      <c r="O957" s="21"/>
    </row>
    <row r="958" spans="1:15" s="26" customFormat="1" hidden="1" x14ac:dyDescent="0.25">
      <c r="A958" s="255" t="s">
        <v>81</v>
      </c>
      <c r="B958" s="495" t="str">
        <f>B927</f>
        <v xml:space="preserve">VAT on Drug Cost </v>
      </c>
      <c r="C958" s="496"/>
      <c r="D958" s="496"/>
      <c r="E958" s="497"/>
      <c r="F958" s="256">
        <f>SUMPRODUCT(F927:I927,F915:I915)</f>
        <v>0</v>
      </c>
      <c r="G958" s="256">
        <f>F958*G952</f>
        <v>0</v>
      </c>
      <c r="H958" s="256" t="str">
        <f>IF(H913="Days",F958/F913*365.25,IF(H913="Months",F958/F913*12,""))</f>
        <v/>
      </c>
      <c r="I958" s="256" t="str">
        <f>IF(AND(H913="Days",I953="Days"),F958/F913*I952,IF(AND(H913="Months",I953="Months"),F958/F913*I952,IF(AND(H913="Days",I953="Months"),F958/F913*30.4375*I952,IF(AND(H913="Months",I953="Days"),F958/F913/30.4375*I952,""))))</f>
        <v/>
      </c>
      <c r="O958" s="21"/>
    </row>
    <row r="959" spans="1:15" s="26" customFormat="1" hidden="1" x14ac:dyDescent="0.25">
      <c r="A959" s="255" t="s">
        <v>154</v>
      </c>
      <c r="B959" s="495" t="s">
        <v>155</v>
      </c>
      <c r="C959" s="496"/>
      <c r="D959" s="496"/>
      <c r="E959" s="497"/>
      <c r="F959" s="256" t="str">
        <f>IF(H945="","",H945)</f>
        <v/>
      </c>
      <c r="G959" s="256" t="str">
        <f>IF(F959="","",F959*G952)</f>
        <v/>
      </c>
      <c r="H959" s="256" t="str">
        <f>IF(F959="","",IF(H913="Days",F959/F913*365.25,IF(H913="Months",F959/F913*12,"")))</f>
        <v/>
      </c>
      <c r="I959" s="256" t="str">
        <f>IF(F959="","",IF(AND(H913="Days",I953="Days"),F959/F913*I952,IF(AND(H913="Months",I953="Months"),F959/F913*I952,IF(AND(H913="Days",I953="Months"),F959/F913*30.4375*I952,IF(AND(H913="Months",I953="Days"),F959/F913/30.4375*I952,"")))))</f>
        <v/>
      </c>
      <c r="O959" s="21"/>
    </row>
    <row r="960" spans="1:15" s="26" customFormat="1" hidden="1" x14ac:dyDescent="0.25">
      <c r="A960" s="255" t="s">
        <v>156</v>
      </c>
      <c r="B960" s="495" t="s">
        <v>157</v>
      </c>
      <c r="C960" s="496"/>
      <c r="D960" s="496"/>
      <c r="E960" s="497"/>
      <c r="F960" s="256" t="str">
        <f>IF(H946="","",H946)</f>
        <v/>
      </c>
      <c r="G960" s="256" t="str">
        <f>IF(F960="","",F960*G952)</f>
        <v/>
      </c>
      <c r="H960" s="256" t="str">
        <f>IF(F960="","",IF(H913="Days",F960/F913*365.25,IF(H913="Months",F960/F913*12,"")))</f>
        <v/>
      </c>
      <c r="I960" s="256" t="str">
        <f>IF(F960="","",IF(AND(H913="Days",I953="Days"),F960/F913*I952,IF(AND(H913="Months",I953="Months"),F960/F913*I952,IF(AND(H913="Days",I953="Months"),F960/F913*30.4375*I952,IF(AND(H913="Months",I953="Days"),F960/F913/30.4375*I952,"")))))</f>
        <v/>
      </c>
      <c r="O960" s="21"/>
    </row>
    <row r="961" spans="1:19" s="155" customFormat="1" hidden="1" x14ac:dyDescent="0.25">
      <c r="A961" s="186" t="s">
        <v>158</v>
      </c>
      <c r="B961" s="498" t="s">
        <v>159</v>
      </c>
      <c r="C961" s="499"/>
      <c r="D961" s="499"/>
      <c r="E961" s="500"/>
      <c r="F961" s="187">
        <f>SUM(F956:F959)</f>
        <v>0</v>
      </c>
      <c r="G961" s="187">
        <f t="shared" ref="G961:I961" si="70">SUM(G956:G959)</f>
        <v>0</v>
      </c>
      <c r="H961" s="187">
        <f t="shared" si="70"/>
        <v>0</v>
      </c>
      <c r="I961" s="187">
        <f t="shared" si="70"/>
        <v>0</v>
      </c>
      <c r="K961" s="98" t="s">
        <v>191</v>
      </c>
      <c r="O961" s="189"/>
    </row>
    <row r="962" spans="1:19" s="26" customFormat="1" ht="15.75" hidden="1" thickBot="1" x14ac:dyDescent="0.3">
      <c r="A962" s="257" t="s">
        <v>160</v>
      </c>
      <c r="B962" s="501" t="s">
        <v>161</v>
      </c>
      <c r="C962" s="502"/>
      <c r="D962" s="502"/>
      <c r="E962" s="503"/>
      <c r="F962" s="250">
        <f>IF(F960="",SUM(F956+F957),F956+F957+F960)</f>
        <v>0</v>
      </c>
      <c r="G962" s="250">
        <f t="shared" ref="G962" si="71">IF(G960="",SUM(G956+G957),G956+G957+G960)</f>
        <v>0</v>
      </c>
      <c r="H962" s="250" t="e">
        <f>IF(H960="",SUM(H956+H957),H956+H957+H960)</f>
        <v>#VALUE!</v>
      </c>
      <c r="I962" s="250" t="e">
        <f t="shared" ref="I962" si="72">IF(I960="",SUM(I956+I957),I956+I957+I960)</f>
        <v>#VALUE!</v>
      </c>
      <c r="K962" s="14" t="s">
        <v>192</v>
      </c>
      <c r="O962" s="21"/>
    </row>
    <row r="963" spans="1:19" s="26" customFormat="1" hidden="1" x14ac:dyDescent="0.25">
      <c r="B963" s="229"/>
      <c r="C963" s="66"/>
      <c r="D963" s="66"/>
      <c r="E963" s="66"/>
      <c r="O963" s="21"/>
    </row>
    <row r="964" spans="1:19" s="26" customFormat="1" hidden="1" x14ac:dyDescent="0.25"/>
    <row r="965" spans="1:19" s="26" customFormat="1" hidden="1" x14ac:dyDescent="0.25">
      <c r="B965" s="308" t="s">
        <v>101</v>
      </c>
      <c r="C965" s="308"/>
      <c r="D965" s="308"/>
      <c r="E965" s="308"/>
    </row>
    <row r="966" spans="1:19" s="26" customFormat="1" ht="15.75" hidden="1" customHeight="1" x14ac:dyDescent="0.25"/>
    <row r="967" spans="1:19" s="26" customFormat="1" hidden="1" x14ac:dyDescent="0.25">
      <c r="B967" s="234"/>
      <c r="C967" s="234"/>
      <c r="D967" s="234"/>
      <c r="E967" s="234"/>
      <c r="F967" s="234"/>
      <c r="G967" s="234"/>
      <c r="H967" s="234"/>
      <c r="I967" s="234"/>
      <c r="J967" s="234"/>
      <c r="K967" s="234"/>
      <c r="L967" s="234"/>
      <c r="M967" s="234"/>
      <c r="N967" s="234"/>
      <c r="O967" s="234"/>
      <c r="P967" s="234"/>
      <c r="Q967" s="234"/>
      <c r="R967" s="234"/>
      <c r="S967" s="234"/>
    </row>
    <row r="968" spans="1:19" s="26" customFormat="1" hidden="1" x14ac:dyDescent="0.25">
      <c r="B968" s="234"/>
      <c r="C968" s="234"/>
      <c r="D968" s="234"/>
      <c r="E968" s="234"/>
      <c r="F968" s="234"/>
      <c r="G968" s="234"/>
      <c r="H968" s="234"/>
      <c r="I968" s="234"/>
      <c r="J968" s="234"/>
      <c r="K968" s="234"/>
      <c r="L968" s="234"/>
      <c r="M968" s="234"/>
      <c r="N968" s="234"/>
      <c r="O968" s="234"/>
      <c r="P968" s="234"/>
      <c r="Q968" s="234"/>
      <c r="R968" s="234"/>
      <c r="S968" s="234"/>
    </row>
    <row r="969" spans="1:19" s="26" customFormat="1" hidden="1" x14ac:dyDescent="0.25">
      <c r="B969" s="234"/>
      <c r="C969" s="234"/>
      <c r="D969" s="234"/>
      <c r="E969" s="234"/>
      <c r="F969" s="234"/>
      <c r="G969" s="234"/>
      <c r="H969" s="234"/>
      <c r="I969" s="234"/>
      <c r="J969" s="234"/>
      <c r="K969" s="234"/>
      <c r="L969" s="234"/>
      <c r="M969" s="234"/>
      <c r="N969" s="234"/>
      <c r="O969" s="234"/>
      <c r="P969" s="234"/>
      <c r="Q969" s="234"/>
      <c r="R969" s="234"/>
      <c r="S969" s="234"/>
    </row>
    <row r="970" spans="1:19" s="26" customFormat="1" hidden="1" x14ac:dyDescent="0.25">
      <c r="B970" s="234"/>
      <c r="C970" s="234"/>
      <c r="D970" s="234"/>
      <c r="E970" s="234"/>
      <c r="F970" s="234"/>
      <c r="G970" s="234"/>
      <c r="H970" s="234"/>
      <c r="I970" s="234"/>
      <c r="J970" s="234"/>
      <c r="K970" s="234"/>
      <c r="L970" s="234"/>
      <c r="M970" s="234"/>
      <c r="N970" s="234"/>
      <c r="O970" s="234"/>
      <c r="P970" s="234"/>
      <c r="Q970" s="234"/>
      <c r="R970" s="234"/>
      <c r="S970" s="234"/>
    </row>
    <row r="971" spans="1:19" s="26" customFormat="1" hidden="1" x14ac:dyDescent="0.25">
      <c r="B971" s="234"/>
      <c r="C971" s="234"/>
      <c r="D971" s="234"/>
      <c r="E971" s="234"/>
      <c r="F971" s="234"/>
      <c r="G971" s="234"/>
      <c r="H971" s="234"/>
      <c r="I971" s="234"/>
      <c r="J971" s="234"/>
      <c r="K971" s="234"/>
      <c r="L971" s="234"/>
      <c r="M971" s="234"/>
      <c r="N971" s="234"/>
      <c r="O971" s="234"/>
      <c r="P971" s="234"/>
      <c r="Q971" s="234"/>
      <c r="R971" s="234"/>
      <c r="S971" s="234"/>
    </row>
    <row r="972" spans="1:19" s="26" customFormat="1" hidden="1" x14ac:dyDescent="0.25">
      <c r="B972" s="234"/>
      <c r="C972" s="234"/>
      <c r="D972" s="234"/>
      <c r="E972" s="234"/>
      <c r="F972" s="234"/>
      <c r="G972" s="234"/>
      <c r="H972" s="234"/>
      <c r="I972" s="234"/>
      <c r="J972" s="234"/>
      <c r="K972" s="234"/>
      <c r="L972" s="234"/>
      <c r="M972" s="234"/>
      <c r="N972" s="234"/>
      <c r="O972" s="234"/>
      <c r="P972" s="234"/>
      <c r="Q972" s="234"/>
      <c r="R972" s="234"/>
      <c r="S972" s="234"/>
    </row>
    <row r="973" spans="1:19" s="26" customFormat="1" hidden="1" x14ac:dyDescent="0.25">
      <c r="B973" s="234"/>
      <c r="C973" s="234"/>
      <c r="D973" s="234"/>
      <c r="E973" s="234"/>
      <c r="F973" s="234"/>
      <c r="G973" s="234"/>
      <c r="H973" s="234"/>
      <c r="I973" s="234"/>
      <c r="J973" s="234"/>
      <c r="K973" s="234"/>
      <c r="L973" s="234"/>
      <c r="M973" s="234"/>
      <c r="N973" s="234"/>
      <c r="O973" s="234"/>
      <c r="P973" s="234"/>
      <c r="Q973" s="234"/>
      <c r="R973" s="234"/>
      <c r="S973" s="234"/>
    </row>
    <row r="974" spans="1:19" s="26" customFormat="1" hidden="1" x14ac:dyDescent="0.25">
      <c r="B974" s="234"/>
      <c r="C974" s="234"/>
      <c r="D974" s="234"/>
      <c r="E974" s="234"/>
      <c r="F974" s="234"/>
      <c r="G974" s="234"/>
      <c r="H974" s="234"/>
      <c r="I974" s="234"/>
      <c r="J974" s="234"/>
      <c r="K974" s="234"/>
      <c r="L974" s="234"/>
      <c r="M974" s="234"/>
      <c r="N974" s="234"/>
      <c r="O974" s="234"/>
      <c r="P974" s="234"/>
      <c r="Q974" s="234"/>
      <c r="R974" s="234"/>
      <c r="S974" s="234"/>
    </row>
    <row r="975" spans="1:19" s="26" customFormat="1" hidden="1" x14ac:dyDescent="0.25">
      <c r="B975" s="234"/>
      <c r="C975" s="234"/>
      <c r="D975" s="234"/>
      <c r="E975" s="234"/>
      <c r="F975" s="234"/>
      <c r="G975" s="234"/>
      <c r="H975" s="234"/>
      <c r="I975" s="234"/>
      <c r="J975" s="234"/>
      <c r="K975" s="234"/>
      <c r="L975" s="234"/>
      <c r="M975" s="234"/>
      <c r="N975" s="234"/>
      <c r="O975" s="234"/>
      <c r="P975" s="234"/>
      <c r="Q975" s="234"/>
      <c r="R975" s="234"/>
      <c r="S975" s="234"/>
    </row>
    <row r="976" spans="1:19" s="26" customFormat="1" hidden="1" x14ac:dyDescent="0.25">
      <c r="B976" s="234"/>
      <c r="C976" s="234"/>
      <c r="D976" s="234"/>
      <c r="E976" s="234"/>
      <c r="F976" s="234"/>
      <c r="G976" s="234"/>
      <c r="H976" s="234"/>
      <c r="I976" s="234"/>
      <c r="J976" s="234"/>
      <c r="K976" s="234"/>
      <c r="L976" s="234"/>
      <c r="M976" s="234"/>
      <c r="N976" s="234"/>
      <c r="O976" s="234"/>
      <c r="P976" s="234"/>
      <c r="Q976" s="234"/>
      <c r="R976" s="234"/>
      <c r="S976" s="234"/>
    </row>
    <row r="977" spans="1:22" hidden="1" x14ac:dyDescent="0.25"/>
    <row r="978" spans="1:22" hidden="1" x14ac:dyDescent="0.25"/>
    <row r="979" spans="1:22" ht="15.75" hidden="1" thickBot="1" x14ac:dyDescent="0.3"/>
    <row r="980" spans="1:22" s="26" customFormat="1" ht="15.75" hidden="1" thickBot="1" x14ac:dyDescent="0.3">
      <c r="B980" s="410" t="str">
        <f>CONCATENATE("Comparator 11: ",NameComparator11)</f>
        <v xml:space="preserve">Comparator 11: </v>
      </c>
      <c r="C980" s="411"/>
      <c r="D980" s="411"/>
      <c r="E980" s="411"/>
      <c r="F980" s="411"/>
      <c r="G980" s="412"/>
    </row>
    <row r="981" spans="1:22" s="26" customFormat="1" hidden="1" x14ac:dyDescent="0.25">
      <c r="B981" s="227"/>
      <c r="C981" s="227"/>
      <c r="D981" s="227"/>
      <c r="F981" s="303"/>
      <c r="G981" s="303"/>
      <c r="H981" s="303"/>
      <c r="I981" s="303"/>
      <c r="J981" s="303"/>
    </row>
    <row r="982" spans="1:22" s="26" customFormat="1" hidden="1" x14ac:dyDescent="0.25"/>
    <row r="983" spans="1:22" s="26" customFormat="1" ht="28.5" hidden="1" customHeight="1" thickBot="1" x14ac:dyDescent="0.3">
      <c r="B983" s="334" t="s">
        <v>118</v>
      </c>
      <c r="C983" s="334"/>
      <c r="D983" s="334"/>
      <c r="E983" s="334"/>
      <c r="K983" s="408" t="s">
        <v>209</v>
      </c>
      <c r="L983" s="408"/>
      <c r="M983" s="408"/>
      <c r="N983" s="408"/>
      <c r="O983" s="408"/>
      <c r="P983" s="225"/>
      <c r="Q983" s="225"/>
      <c r="R983" s="225"/>
      <c r="S983" s="225"/>
      <c r="T983" s="225"/>
      <c r="U983" s="225"/>
      <c r="V983" s="225"/>
    </row>
    <row r="984" spans="1:22" s="26" customFormat="1" ht="18.95" hidden="1" customHeight="1" thickBot="1" x14ac:dyDescent="0.3">
      <c r="B984" s="465" t="s">
        <v>119</v>
      </c>
      <c r="C984" s="466"/>
      <c r="D984" s="466"/>
      <c r="E984" s="466"/>
      <c r="F984" s="466"/>
      <c r="G984" s="466"/>
      <c r="H984" s="466"/>
      <c r="I984" s="467"/>
      <c r="K984" s="408"/>
      <c r="L984" s="408"/>
      <c r="M984" s="408"/>
      <c r="N984" s="408"/>
      <c r="O984" s="408"/>
      <c r="P984" s="225"/>
      <c r="Q984" s="225"/>
      <c r="R984" s="225"/>
      <c r="S984" s="225"/>
      <c r="T984" s="225"/>
      <c r="U984" s="225"/>
      <c r="V984" s="225"/>
    </row>
    <row r="985" spans="1:22" s="26" customFormat="1" ht="15.75" hidden="1" thickBot="1" x14ac:dyDescent="0.3">
      <c r="B985" s="295"/>
      <c r="C985" s="296"/>
      <c r="D985" s="296"/>
      <c r="E985" s="296"/>
      <c r="F985" s="466" t="s">
        <v>120</v>
      </c>
      <c r="G985" s="466"/>
      <c r="H985" s="466"/>
      <c r="I985" s="467"/>
      <c r="K985" s="14"/>
    </row>
    <row r="986" spans="1:22" s="26" customFormat="1" ht="15.75" hidden="1" thickBot="1" x14ac:dyDescent="0.3">
      <c r="B986" s="472" t="s">
        <v>174</v>
      </c>
      <c r="C986" s="473"/>
      <c r="D986" s="473"/>
      <c r="E986" s="474"/>
      <c r="F986" s="149"/>
      <c r="G986" s="149"/>
      <c r="H986" s="149"/>
      <c r="I986" s="149"/>
      <c r="K986" s="14" t="s">
        <v>180</v>
      </c>
    </row>
    <row r="987" spans="1:22" s="26" customFormat="1" ht="30" hidden="1" customHeight="1" thickBot="1" x14ac:dyDescent="0.3">
      <c r="B987" s="472" t="s">
        <v>106</v>
      </c>
      <c r="C987" s="473"/>
      <c r="D987" s="473"/>
      <c r="E987" s="474"/>
      <c r="F987" s="235"/>
      <c r="G987" s="235"/>
      <c r="H987" s="235"/>
      <c r="I987" s="235"/>
      <c r="J987" s="26" t="s">
        <v>104</v>
      </c>
      <c r="K987" s="408" t="s">
        <v>181</v>
      </c>
      <c r="L987" s="408"/>
      <c r="M987" s="408"/>
      <c r="N987" s="408"/>
      <c r="O987" s="408"/>
      <c r="P987" s="21"/>
      <c r="Q987" s="21"/>
      <c r="R987" s="21"/>
      <c r="S987" s="21"/>
      <c r="T987" s="21"/>
    </row>
    <row r="988" spans="1:22" s="26" customFormat="1" ht="15.75" hidden="1" thickBot="1" x14ac:dyDescent="0.3">
      <c r="A988" s="14"/>
      <c r="B988" s="472" t="s">
        <v>107</v>
      </c>
      <c r="C988" s="473"/>
      <c r="D988" s="473"/>
      <c r="E988" s="474"/>
      <c r="F988" s="151"/>
      <c r="G988" s="151"/>
      <c r="H988" s="151"/>
      <c r="I988" s="151"/>
      <c r="J988" s="236"/>
      <c r="K988" s="110" t="s">
        <v>182</v>
      </c>
      <c r="N988" s="21"/>
      <c r="O988" s="21"/>
      <c r="P988" s="21"/>
      <c r="Q988" s="21"/>
      <c r="R988" s="21"/>
      <c r="S988" s="21"/>
      <c r="T988" s="21"/>
    </row>
    <row r="989" spans="1:22" s="26" customFormat="1" ht="15.75" hidden="1" thickBot="1" x14ac:dyDescent="0.3">
      <c r="A989" s="15"/>
      <c r="B989" s="472" t="s">
        <v>108</v>
      </c>
      <c r="C989" s="473"/>
      <c r="D989" s="473"/>
      <c r="E989" s="474"/>
      <c r="F989" s="489"/>
      <c r="G989" s="490"/>
      <c r="H989" s="490"/>
      <c r="I989" s="491"/>
      <c r="J989" s="237" t="s">
        <v>104</v>
      </c>
      <c r="K989" s="110" t="s">
        <v>210</v>
      </c>
    </row>
    <row r="990" spans="1:22" s="26" customFormat="1" ht="15.75" hidden="1" thickBot="1" x14ac:dyDescent="0.3">
      <c r="A990" s="15"/>
      <c r="B990" s="472" t="s">
        <v>74</v>
      </c>
      <c r="C990" s="473"/>
      <c r="D990" s="473"/>
      <c r="E990" s="474"/>
      <c r="F990" s="492"/>
      <c r="G990" s="493"/>
      <c r="H990" s="493"/>
      <c r="I990" s="494"/>
      <c r="J990" s="237" t="s">
        <v>104</v>
      </c>
      <c r="K990" s="110" t="s">
        <v>184</v>
      </c>
    </row>
    <row r="991" spans="1:22" s="26" customFormat="1" ht="15.75" hidden="1" thickBot="1" x14ac:dyDescent="0.3">
      <c r="B991" s="472" t="s">
        <v>75</v>
      </c>
      <c r="C991" s="473"/>
      <c r="D991" s="473"/>
      <c r="E991" s="474"/>
      <c r="F991" s="492"/>
      <c r="G991" s="493"/>
      <c r="H991" s="493"/>
      <c r="I991" s="494"/>
      <c r="J991" s="26" t="s">
        <v>104</v>
      </c>
      <c r="K991" s="110" t="s">
        <v>185</v>
      </c>
    </row>
    <row r="992" spans="1:22" s="26" customFormat="1" ht="15.75" hidden="1" thickBot="1" x14ac:dyDescent="0.3">
      <c r="B992" s="472" t="s">
        <v>76</v>
      </c>
      <c r="C992" s="473"/>
      <c r="D992" s="473"/>
      <c r="E992" s="474"/>
      <c r="F992" s="492"/>
      <c r="G992" s="493"/>
      <c r="H992" s="493"/>
      <c r="I992" s="494"/>
      <c r="J992" s="237" t="s">
        <v>104</v>
      </c>
      <c r="K992" s="110" t="s">
        <v>219</v>
      </c>
    </row>
    <row r="993" spans="1:22" s="26" customFormat="1" ht="15.75" hidden="1" thickBot="1" x14ac:dyDescent="0.3">
      <c r="B993" s="472" t="s">
        <v>172</v>
      </c>
      <c r="C993" s="473"/>
      <c r="D993" s="473"/>
      <c r="E993" s="474"/>
      <c r="F993" s="492"/>
      <c r="G993" s="493"/>
      <c r="H993" s="493"/>
      <c r="I993" s="494"/>
      <c r="J993" s="237" t="s">
        <v>104</v>
      </c>
      <c r="K993" s="110" t="s">
        <v>217</v>
      </c>
    </row>
    <row r="994" spans="1:22" s="26" customFormat="1" ht="15.75" hidden="1" thickBot="1" x14ac:dyDescent="0.3">
      <c r="B994" s="472" t="s">
        <v>173</v>
      </c>
      <c r="C994" s="473"/>
      <c r="D994" s="473"/>
      <c r="E994" s="474"/>
      <c r="F994" s="492"/>
      <c r="G994" s="493"/>
      <c r="H994" s="493"/>
      <c r="I994" s="494"/>
      <c r="J994" s="237" t="s">
        <v>104</v>
      </c>
      <c r="K994" s="110" t="s">
        <v>218</v>
      </c>
    </row>
    <row r="995" spans="1:22" s="26" customFormat="1" ht="30" hidden="1" customHeight="1" x14ac:dyDescent="0.25">
      <c r="B995" s="112"/>
      <c r="C995" s="112"/>
      <c r="D995" s="112"/>
      <c r="E995" s="303"/>
      <c r="F995" s="303"/>
      <c r="G995" s="238"/>
      <c r="H995" s="303"/>
      <c r="I995" s="303"/>
      <c r="J995" s="239"/>
      <c r="K995" s="110"/>
    </row>
    <row r="996" spans="1:22" s="26" customFormat="1" ht="15.75" hidden="1" thickBot="1" x14ac:dyDescent="0.3">
      <c r="B996" s="334" t="s">
        <v>171</v>
      </c>
      <c r="C996" s="334"/>
      <c r="D996" s="334"/>
      <c r="E996" s="334"/>
      <c r="F996" s="303"/>
      <c r="G996" s="303"/>
      <c r="H996" s="303"/>
      <c r="I996" s="303"/>
      <c r="J996" s="239"/>
      <c r="K996" s="404" t="s">
        <v>195</v>
      </c>
      <c r="L996" s="404"/>
      <c r="M996" s="404"/>
      <c r="N996" s="404"/>
      <c r="O996" s="404"/>
      <c r="P996" s="292"/>
      <c r="Q996" s="292"/>
      <c r="R996" s="292"/>
      <c r="S996" s="292"/>
      <c r="T996" s="292"/>
      <c r="U996" s="292"/>
      <c r="V996" s="292"/>
    </row>
    <row r="997" spans="1:22" s="26" customFormat="1" ht="29.1" hidden="1" customHeight="1" thickBot="1" x14ac:dyDescent="0.3">
      <c r="B997" s="465" t="s">
        <v>121</v>
      </c>
      <c r="C997" s="466"/>
      <c r="D997" s="466"/>
      <c r="E997" s="466"/>
      <c r="F997" s="466"/>
      <c r="G997" s="466"/>
      <c r="H997" s="466"/>
      <c r="I997" s="467"/>
      <c r="J997" s="239"/>
      <c r="K997" s="404"/>
      <c r="L997" s="404"/>
      <c r="M997" s="404"/>
      <c r="N997" s="404"/>
      <c r="O997" s="404"/>
      <c r="P997" s="292"/>
      <c r="Q997" s="292"/>
      <c r="R997" s="292"/>
      <c r="S997" s="292"/>
      <c r="T997" s="292"/>
      <c r="U997" s="292"/>
      <c r="V997" s="292"/>
    </row>
    <row r="998" spans="1:22" s="26" customFormat="1" ht="30" hidden="1" customHeight="1" thickBot="1" x14ac:dyDescent="0.3">
      <c r="B998" s="472" t="s">
        <v>122</v>
      </c>
      <c r="C998" s="473"/>
      <c r="D998" s="473"/>
      <c r="E998" s="474"/>
      <c r="F998" s="468"/>
      <c r="G998" s="469"/>
      <c r="H998" s="470"/>
      <c r="I998" s="471"/>
      <c r="J998" s="239"/>
      <c r="K998" s="408" t="s">
        <v>186</v>
      </c>
      <c r="L998" s="408"/>
      <c r="M998" s="408"/>
      <c r="N998" s="408"/>
      <c r="O998" s="408"/>
    </row>
    <row r="999" spans="1:22" s="26" customFormat="1" ht="23.1" hidden="1" customHeight="1" thickBot="1" x14ac:dyDescent="0.3">
      <c r="B999" s="472" t="str">
        <f>B986</f>
        <v>Pack Identification</v>
      </c>
      <c r="C999" s="473"/>
      <c r="D999" s="473"/>
      <c r="E999" s="474"/>
      <c r="F999" s="192" t="str">
        <f>IF(ISBLANK(F986),"",F986)</f>
        <v/>
      </c>
      <c r="G999" s="192" t="str">
        <f t="shared" ref="G999:I999" si="73">IF(ISBLANK(G986),"",G986)</f>
        <v/>
      </c>
      <c r="H999" s="192" t="str">
        <f t="shared" si="73"/>
        <v/>
      </c>
      <c r="I999" s="192" t="str">
        <f t="shared" si="73"/>
        <v/>
      </c>
      <c r="J999" s="239"/>
      <c r="K999" s="408"/>
      <c r="L999" s="408"/>
      <c r="M999" s="408"/>
      <c r="N999" s="408"/>
      <c r="O999" s="408"/>
    </row>
    <row r="1000" spans="1:22" s="26" customFormat="1" ht="15.75" hidden="1" thickBot="1" x14ac:dyDescent="0.3">
      <c r="B1000" s="512" t="s">
        <v>123</v>
      </c>
      <c r="C1000" s="513"/>
      <c r="D1000" s="513"/>
      <c r="E1000" s="514"/>
      <c r="F1000" s="145"/>
      <c r="G1000" s="154"/>
      <c r="H1000" s="154"/>
      <c r="I1000" s="154"/>
      <c r="J1000" s="239"/>
      <c r="K1000" s="408" t="s">
        <v>187</v>
      </c>
      <c r="L1000" s="408"/>
      <c r="M1000" s="408"/>
      <c r="N1000" s="408"/>
      <c r="O1000" s="408"/>
    </row>
    <row r="1001" spans="1:22" s="26" customFormat="1" ht="75.75" hidden="1" customHeight="1" x14ac:dyDescent="0.25">
      <c r="B1001" s="304"/>
      <c r="C1001" s="304"/>
      <c r="D1001" s="304"/>
      <c r="E1001" s="304"/>
      <c r="F1001" s="303"/>
      <c r="G1001" s="303"/>
      <c r="H1001" s="303"/>
      <c r="I1001" s="303"/>
      <c r="J1001" s="239"/>
      <c r="K1001" s="408"/>
      <c r="L1001" s="408"/>
      <c r="M1001" s="408"/>
      <c r="N1001" s="408"/>
      <c r="O1001" s="408"/>
    </row>
    <row r="1002" spans="1:22" s="26" customFormat="1" hidden="1" x14ac:dyDescent="0.25">
      <c r="B1002" s="511"/>
      <c r="C1002" s="511"/>
      <c r="D1002" s="511"/>
      <c r="E1002" s="511"/>
      <c r="K1002" s="408"/>
      <c r="L1002" s="408"/>
      <c r="M1002" s="408"/>
      <c r="N1002" s="408"/>
      <c r="O1002" s="408"/>
    </row>
    <row r="1003" spans="1:22" s="26" customFormat="1" hidden="1" x14ac:dyDescent="0.25">
      <c r="B1003" s="303"/>
      <c r="C1003" s="303"/>
      <c r="D1003" s="303"/>
      <c r="E1003" s="303"/>
      <c r="O1003" s="21"/>
    </row>
    <row r="1004" spans="1:22" s="26" customFormat="1" hidden="1" x14ac:dyDescent="0.25">
      <c r="A1004" s="155"/>
      <c r="B1004" s="308" t="s">
        <v>124</v>
      </c>
      <c r="C1004" s="290"/>
      <c r="D1004" s="66"/>
      <c r="E1004" s="66"/>
      <c r="F1004" s="390"/>
      <c r="G1004" s="390"/>
      <c r="H1004" s="390"/>
      <c r="I1004" s="390"/>
      <c r="O1004" s="21"/>
    </row>
    <row r="1005" spans="1:22" s="26" customFormat="1" hidden="1" x14ac:dyDescent="0.25">
      <c r="A1005" s="14" t="s">
        <v>125</v>
      </c>
      <c r="B1005" s="290"/>
      <c r="C1005" s="290"/>
      <c r="D1005" s="66"/>
      <c r="E1005" s="66"/>
      <c r="F1005" s="290"/>
      <c r="G1005" s="290"/>
      <c r="H1005" s="290"/>
      <c r="I1005" s="290"/>
      <c r="O1005" s="21"/>
    </row>
    <row r="1006" spans="1:22" s="26" customFormat="1" ht="15.75" hidden="1" thickBot="1" x14ac:dyDescent="0.3">
      <c r="B1006" s="66"/>
      <c r="C1006" s="66"/>
      <c r="D1006" s="66"/>
      <c r="E1006" s="66"/>
      <c r="F1006" s="390" t="s">
        <v>126</v>
      </c>
      <c r="G1006" s="390"/>
      <c r="H1006" s="390"/>
      <c r="I1006" s="390"/>
      <c r="O1006" s="21"/>
    </row>
    <row r="1007" spans="1:22" s="26" customFormat="1" ht="15.75" hidden="1" thickBot="1" x14ac:dyDescent="0.3">
      <c r="B1007" s="66"/>
      <c r="C1007" s="66"/>
      <c r="D1007" s="66"/>
      <c r="E1007" s="66"/>
      <c r="F1007" s="156" t="str">
        <f>IF(F986="","",F986)</f>
        <v/>
      </c>
      <c r="G1007" s="156" t="str">
        <f>IF(G986="","",G986)</f>
        <v/>
      </c>
      <c r="H1007" s="156" t="str">
        <f>IF(H986="","",H986)</f>
        <v/>
      </c>
      <c r="I1007" s="156" t="str">
        <f>IF(I986="","",I986)</f>
        <v/>
      </c>
      <c r="O1007" s="21"/>
    </row>
    <row r="1008" spans="1:22" s="26" customFormat="1" hidden="1" x14ac:dyDescent="0.25">
      <c r="A1008" s="91" t="s">
        <v>77</v>
      </c>
      <c r="B1008" s="475" t="s">
        <v>82</v>
      </c>
      <c r="C1008" s="476"/>
      <c r="D1008" s="476"/>
      <c r="E1008" s="240"/>
      <c r="F1008" s="241" t="str">
        <f>IF(OR(F987="",F988="",F989=""),"",IF(F987="Price to Wholesaler",F988,IF(F987="Reimbursement Price",(F1010/(1+E1009)*1),"Error")))</f>
        <v/>
      </c>
      <c r="G1008" s="241" t="str">
        <f>IF(OR(G987="",G988="",F989=""),"",IF(G987="Price to Wholesaler",G988,IF(G987="Reimbursement Price",(G1010/(1+E1009)*1),"Error")))</f>
        <v/>
      </c>
      <c r="H1008" s="241" t="str">
        <f>IF(OR(H987="",H988="",F989=""),"",IF(H987="Price to Wholesaler",H988,IF(H987="Reimbursement Price",(H1010/(1+E1009)*1),"Error")))</f>
        <v/>
      </c>
      <c r="I1008" s="241" t="str">
        <f>IF(OR(I987="",I988="",F989=""),"",IF(I987="Price to Wholesaler",I988,IF(I987="Reimbursement Price",(I1010/(1+E1009)*1),"Error")))</f>
        <v/>
      </c>
      <c r="O1008" s="21"/>
    </row>
    <row r="1009" spans="1:15" s="26" customFormat="1" hidden="1" x14ac:dyDescent="0.25">
      <c r="A1009" s="297" t="s">
        <v>78</v>
      </c>
      <c r="B1009" s="477" t="s">
        <v>83</v>
      </c>
      <c r="C1009" s="478"/>
      <c r="D1009" s="478"/>
      <c r="E1009" s="93" t="str">
        <f>IF(OR(F989=""),"",IF(AND(F989="CDS",F990="Yes"),CYF,IF(AND(F989="CDS",F990="No"),CNF,IF(F989="HT",CHT,IF(F989="Hosp",CHO,"Error")))))</f>
        <v/>
      </c>
      <c r="F1009" s="242" t="str">
        <f>IF(OR(F989="",F988="",F987=""),"",F1008*E1009)</f>
        <v/>
      </c>
      <c r="G1009" s="242" t="str">
        <f>IF(OR(F989="",G988="",G987=""),"",G1008*E1009)</f>
        <v/>
      </c>
      <c r="H1009" s="242" t="str">
        <f>IF(OR(F989="",H988="",H987=""),"",H1008*E1009)</f>
        <v/>
      </c>
      <c r="I1009" s="242" t="str">
        <f>IF(OR(F989="",I988="",I987=""),"",I1008*E1009)</f>
        <v/>
      </c>
      <c r="O1009" s="21"/>
    </row>
    <row r="1010" spans="1:15" s="26" customFormat="1" hidden="1" x14ac:dyDescent="0.25">
      <c r="A1010" s="297" t="s">
        <v>79</v>
      </c>
      <c r="B1010" s="477" t="str">
        <f>IF(F989="Hosp","Hospital Price", "Reimbursement Price")</f>
        <v>Reimbursement Price</v>
      </c>
      <c r="C1010" s="478"/>
      <c r="D1010" s="478"/>
      <c r="E1010" s="243" t="str">
        <f>IF(F987="Price to Wholesaler","A+B","")</f>
        <v/>
      </c>
      <c r="F1010" s="242" t="str">
        <f>IF(F987="Reimbursement Price",F988,IF(ISBLANK(E1009),"",IF(F987="Price to Wholesaler",(F1008+F1009),IF(F987="","","Error"))))</f>
        <v/>
      </c>
      <c r="G1010" s="242" t="str">
        <f>IF(G987="Reimbursement Price",G988,IF(ISBLANK(E1009),"",IF(G987="Price to Wholesaler",(G1008+G1009),IF(G987="","","Error"))))</f>
        <v/>
      </c>
      <c r="H1010" s="242" t="str">
        <f>IF(H987="Reimbursement Price",H988,IF(ISBLANK(E1009),"",IF(H987="Price to Wholesaler",(H1008+H1009),IF(H987="","","Error"))))</f>
        <v/>
      </c>
      <c r="I1010" s="242" t="str">
        <f>IF(I987="Reimbursement Price",I988,IF(ISBLANK(E1009),"",IF(I987="Price to Wholesaler",(I1008+I1009),IF(I987="","","Error"))))</f>
        <v/>
      </c>
      <c r="O1010" s="21"/>
    </row>
    <row r="1011" spans="1:15" s="26" customFormat="1" hidden="1" x14ac:dyDescent="0.25">
      <c r="A1011" s="297" t="s">
        <v>80</v>
      </c>
      <c r="B1011" s="477" t="s">
        <v>214</v>
      </c>
      <c r="C1011" s="478"/>
      <c r="D1011" s="478"/>
      <c r="E1011" s="268" t="str">
        <f>IF(OR(F992="",AND(F992="Yes",F993=""),AND(F992="No",F994="")),"",IF(AND(F992="No",F994="Patented Exclusive or Off Patent Exclusive and subject to clause 10 of Framework Agreement"),MR,IF(AND(F992="No",F994="Off Patent Non-Exclusive or Generic"),"None",IF(AND(F992="Yes",F993="Biosimilar"),"None",IF(AND(F992="Yes",F993="Patented or Off Patent Exclusive"),MR,IF(AND(F992="Yes",F993="Off Patent Non-Exclusive 12.5% Rebate incorporated into Price to Wholesaler"),"None",IF(AND(F992="Yes",F993="Off Patent Non-Exclusive 12.5% Rebate"),MRB,"Error")))))))</f>
        <v/>
      </c>
      <c r="F1011" s="242" t="str">
        <f>IF(OR(F992="",AND(F992="Yes",F993=""),AND(F992="No",F994=""),F987="",ISBLANK(F988)),"",IF(E1011="None",0,(E1011*F1008)))</f>
        <v/>
      </c>
      <c r="G1011" s="242" t="str">
        <f>IF(OR(F992="",AND(F992="Yes",F993=""),AND(F992="No",F994=""),G987="",ISBLANK(G988)),"",IF(E1011="None",0,(E1011*G1008)))</f>
        <v/>
      </c>
      <c r="H1011" s="242" t="str">
        <f>IF(OR(F992="",AND(F992="Yes",F993=""),AND(F992="No",F994=""),H987="",ISBLANK(H988)),"",IF(E1011="None",0,(E1011*H1008)))</f>
        <v/>
      </c>
      <c r="I1011" s="242" t="str">
        <f>IF(OR(F992="",AND(F992="Yes",F993=""),AND(F992="No",F994=""),I987="",ISBLANK(I988)),"",IF(E1011="None",0,(E1011*I1008)))</f>
        <v/>
      </c>
      <c r="O1011" s="21"/>
    </row>
    <row r="1012" spans="1:15" s="26" customFormat="1" ht="15.75" hidden="1" thickBot="1" x14ac:dyDescent="0.3">
      <c r="A1012" s="298" t="s">
        <v>81</v>
      </c>
      <c r="B1012" s="479" t="s">
        <v>94</v>
      </c>
      <c r="C1012" s="480"/>
      <c r="D1012" s="480"/>
      <c r="E1012" s="160" t="str">
        <f>IF(F991="","",IF(F991="Yes",0,VT))</f>
        <v/>
      </c>
      <c r="F1012" s="244" t="str">
        <f>IF(OR($B991="",F988="",ISBLANK(F988)),"",($E1012*F1010))</f>
        <v/>
      </c>
      <c r="G1012" s="244" t="str">
        <f t="shared" ref="G1012:I1012" si="74">IF(OR($B991="",G988="",ISBLANK(G988)),"",($E1012*G1010))</f>
        <v/>
      </c>
      <c r="H1012" s="244" t="str">
        <f t="shared" si="74"/>
        <v/>
      </c>
      <c r="I1012" s="244" t="str">
        <f t="shared" si="74"/>
        <v/>
      </c>
      <c r="O1012" s="21"/>
    </row>
    <row r="1013" spans="1:15" s="26" customFormat="1" ht="15.75" hidden="1" thickBot="1" x14ac:dyDescent="0.3">
      <c r="A1013" s="299" t="s">
        <v>127</v>
      </c>
      <c r="B1013" s="481" t="s">
        <v>128</v>
      </c>
      <c r="C1013" s="481"/>
      <c r="D1013" s="481"/>
      <c r="E1013" s="299"/>
      <c r="F1013" s="245" t="str">
        <f>IF(OR(F987="",$F989="",$F991="",$F992=""),"",SUM(F1010:F1012))</f>
        <v/>
      </c>
      <c r="G1013" s="245" t="str">
        <f t="shared" ref="G1013:I1013" si="75">IF(OR(G987="",$F989="",$F991="",$F992=""),"",SUM(G1010:G1012))</f>
        <v/>
      </c>
      <c r="H1013" s="245" t="str">
        <f t="shared" si="75"/>
        <v/>
      </c>
      <c r="I1013" s="245" t="str">
        <f t="shared" si="75"/>
        <v/>
      </c>
      <c r="O1013" s="21"/>
    </row>
    <row r="1014" spans="1:15" s="26" customFormat="1" ht="15.75" hidden="1" thickBot="1" x14ac:dyDescent="0.3">
      <c r="A1014" s="299" t="s">
        <v>129</v>
      </c>
      <c r="B1014" s="482" t="s">
        <v>130</v>
      </c>
      <c r="C1014" s="482"/>
      <c r="D1014" s="482"/>
      <c r="E1014" s="245"/>
      <c r="F1014" s="245" t="str">
        <f>IF(OR(F987="",$F989="",$F991="",$F992=""),"",SUM(F1010:F1011))</f>
        <v/>
      </c>
      <c r="G1014" s="245" t="str">
        <f t="shared" ref="G1014:I1014" si="76">IF(OR(G987="",$F989="",$F991="",$F992=""),"",SUM(G1010:G1011))</f>
        <v/>
      </c>
      <c r="H1014" s="245" t="str">
        <f t="shared" si="76"/>
        <v/>
      </c>
      <c r="I1014" s="245" t="str">
        <f t="shared" si="76"/>
        <v/>
      </c>
      <c r="O1014" s="21"/>
    </row>
    <row r="1015" spans="1:15" s="26" customFormat="1" hidden="1" x14ac:dyDescent="0.25">
      <c r="B1015" s="66"/>
      <c r="C1015" s="66"/>
      <c r="D1015" s="66"/>
      <c r="E1015" s="66"/>
      <c r="K1015" s="26" t="s">
        <v>131</v>
      </c>
      <c r="O1015" s="21"/>
    </row>
    <row r="1016" spans="1:15" s="26" customFormat="1" hidden="1" x14ac:dyDescent="0.25">
      <c r="A1016" s="155" t="s">
        <v>132</v>
      </c>
      <c r="B1016" s="66"/>
      <c r="C1016" s="66"/>
      <c r="D1016" s="66"/>
      <c r="E1016" s="66"/>
      <c r="F1016" s="246"/>
      <c r="G1016" s="246"/>
      <c r="H1016" s="246"/>
      <c r="I1016" s="246"/>
      <c r="O1016" s="21"/>
    </row>
    <row r="1017" spans="1:15" s="26" customFormat="1" hidden="1" x14ac:dyDescent="0.25">
      <c r="A1017" s="125"/>
      <c r="B1017" s="125" t="s">
        <v>133</v>
      </c>
      <c r="C1017" s="125"/>
      <c r="D1017" s="125"/>
      <c r="E1017" s="125"/>
      <c r="F1017" s="125"/>
      <c r="G1017" s="125"/>
      <c r="H1017" s="125"/>
      <c r="O1017" s="21"/>
    </row>
    <row r="1018" spans="1:15" s="26" customFormat="1" hidden="1" x14ac:dyDescent="0.25">
      <c r="B1018" s="21" t="s">
        <v>134</v>
      </c>
      <c r="C1018" s="229"/>
      <c r="D1018" s="229"/>
      <c r="E1018" s="66"/>
      <c r="O1018" s="21"/>
    </row>
    <row r="1019" spans="1:15" s="26" customFormat="1" ht="15.75" hidden="1" thickBot="1" x14ac:dyDescent="0.3">
      <c r="B1019" s="165"/>
      <c r="C1019" s="229"/>
      <c r="D1019" s="229"/>
      <c r="E1019" s="66"/>
      <c r="O1019" s="21"/>
    </row>
    <row r="1020" spans="1:15" s="26" customFormat="1" ht="15.75" hidden="1" thickBot="1" x14ac:dyDescent="0.3">
      <c r="B1020" s="230"/>
      <c r="C1020" s="66"/>
      <c r="D1020" s="66"/>
      <c r="E1020" s="66"/>
      <c r="G1020" s="293" t="s">
        <v>135</v>
      </c>
      <c r="H1020" s="293" t="s">
        <v>136</v>
      </c>
      <c r="O1020" s="21"/>
    </row>
    <row r="1021" spans="1:15" s="26" customFormat="1" hidden="1" x14ac:dyDescent="0.25">
      <c r="B1021" s="483" t="s">
        <v>137</v>
      </c>
      <c r="C1021" s="484"/>
      <c r="D1021" s="484"/>
      <c r="E1021" s="484"/>
      <c r="F1021" s="485"/>
      <c r="G1021" s="247" t="str">
        <f>IF(F989="","",IF(F989="CDS","per dispensing",IF(F989="HT","per month",IF(F989="Hosp","No Fee", ERROR))))</f>
        <v/>
      </c>
      <c r="H1021" s="248" t="str">
        <f>IF(F989="","",IF(F989="CDS",DF,IF(F989="HT",PC,IF(F989="Hosp","No Fee",ERROR))))</f>
        <v/>
      </c>
      <c r="I1021" s="26" t="s">
        <v>138</v>
      </c>
      <c r="O1021" s="21"/>
    </row>
    <row r="1022" spans="1:15" s="26" customFormat="1" ht="15.75" hidden="1" thickBot="1" x14ac:dyDescent="0.3">
      <c r="B1022" s="486" t="s">
        <v>92</v>
      </c>
      <c r="C1022" s="487"/>
      <c r="D1022" s="487"/>
      <c r="E1022" s="487"/>
      <c r="F1022" s="488"/>
      <c r="G1022" s="249" t="str">
        <f>IF(OR(F989="",F991=""),"",IF(F989="Hosp","No Fee",IF(F989="HT","No VAT",IF(AND(F989="CDS",F991="No"),VT,"No VAT"))))</f>
        <v/>
      </c>
      <c r="H1022" s="250" t="str">
        <f>IF(OR(F991="",F989="Hosp"),"",IF(OR(F991="Yes",F989="HT"),0,H1021*G1022))</f>
        <v/>
      </c>
      <c r="O1022" s="21"/>
    </row>
    <row r="1023" spans="1:15" s="26" customFormat="1" hidden="1" x14ac:dyDescent="0.25">
      <c r="B1023" s="230"/>
      <c r="C1023" s="66"/>
      <c r="D1023" s="66"/>
      <c r="E1023" s="66"/>
      <c r="O1023" s="21"/>
    </row>
    <row r="1024" spans="1:15" s="26" customFormat="1" hidden="1" x14ac:dyDescent="0.25">
      <c r="B1024" s="230"/>
      <c r="C1024" s="66"/>
      <c r="D1024" s="66"/>
      <c r="E1024" s="66"/>
      <c r="O1024" s="21"/>
    </row>
    <row r="1025" spans="1:20" s="26" customFormat="1" ht="33.950000000000003" hidden="1" customHeight="1" thickBot="1" x14ac:dyDescent="0.3">
      <c r="A1025" s="165" t="s">
        <v>193</v>
      </c>
      <c r="B1025" s="230"/>
      <c r="C1025" s="66"/>
      <c r="D1025" s="66"/>
      <c r="E1025" s="66"/>
      <c r="K1025" s="408" t="s">
        <v>197</v>
      </c>
      <c r="L1025" s="408"/>
      <c r="M1025" s="408"/>
      <c r="N1025" s="408"/>
      <c r="O1025" s="408"/>
      <c r="P1025" s="195"/>
      <c r="Q1025" s="195"/>
      <c r="R1025" s="195"/>
      <c r="S1025" s="195"/>
      <c r="T1025" s="195"/>
    </row>
    <row r="1026" spans="1:20" s="26" customFormat="1" ht="17.100000000000001" hidden="1" customHeight="1" thickBot="1" x14ac:dyDescent="0.3">
      <c r="A1026" s="14" t="s">
        <v>194</v>
      </c>
      <c r="B1026" s="230"/>
      <c r="C1026" s="66"/>
      <c r="D1026" s="66"/>
      <c r="E1026" s="66"/>
      <c r="G1026" s="293" t="s">
        <v>101</v>
      </c>
      <c r="H1026" s="293" t="s">
        <v>136</v>
      </c>
      <c r="K1026" s="408" t="str">
        <f>IF(F989="HT","For High tech, if a treatment cycle =28 days the corresponding pharmacy fee is =62.03*12/365.25*28.  The pharmacy fee remains the same regardless of the number of products dispensed that month.",IF(F989="CDS","For CDS, if 2 packets of the same pack presentation are required per treatment cycle, one dispensing fee applies (€5.48). If multiple pack presentations are required, multiple dispensing fees apply",""))</f>
        <v/>
      </c>
      <c r="L1026" s="408"/>
      <c r="M1026" s="408"/>
      <c r="N1026" s="408"/>
      <c r="O1026" s="408"/>
      <c r="P1026" s="195"/>
      <c r="Q1026" s="195"/>
      <c r="R1026" s="195"/>
      <c r="S1026" s="195"/>
      <c r="T1026" s="195"/>
    </row>
    <row r="1027" spans="1:20" s="26" customFormat="1" ht="16.5" hidden="1" customHeight="1" x14ac:dyDescent="0.25">
      <c r="A1027" s="170" t="s">
        <v>139</v>
      </c>
      <c r="B1027" s="504" t="s">
        <v>140</v>
      </c>
      <c r="C1027" s="504"/>
      <c r="D1027" s="504"/>
      <c r="E1027" s="504"/>
      <c r="F1027" s="504"/>
      <c r="G1027" s="251"/>
      <c r="H1027" s="252"/>
      <c r="K1027" s="408"/>
      <c r="L1027" s="408"/>
      <c r="M1027" s="408"/>
      <c r="N1027" s="408"/>
      <c r="O1027" s="408"/>
      <c r="P1027" s="195"/>
      <c r="Q1027" s="195"/>
      <c r="R1027" s="195"/>
      <c r="S1027" s="195"/>
      <c r="T1027" s="195"/>
    </row>
    <row r="1028" spans="1:20" s="26" customFormat="1" hidden="1" x14ac:dyDescent="0.25">
      <c r="A1028" s="173" t="s">
        <v>141</v>
      </c>
      <c r="B1028" s="505" t="s">
        <v>142</v>
      </c>
      <c r="C1028" s="505"/>
      <c r="D1028" s="505"/>
      <c r="E1028" s="505"/>
      <c r="F1028" s="505"/>
      <c r="G1028" s="253"/>
      <c r="H1028" s="254"/>
      <c r="K1028" s="14" t="s">
        <v>188</v>
      </c>
      <c r="O1028" s="21"/>
    </row>
    <row r="1029" spans="1:20" s="26" customFormat="1" hidden="1" x14ac:dyDescent="0.25">
      <c r="A1029" s="173" t="s">
        <v>143</v>
      </c>
      <c r="B1029" s="505" t="s">
        <v>144</v>
      </c>
      <c r="C1029" s="505"/>
      <c r="D1029" s="505"/>
      <c r="E1029" s="505"/>
      <c r="F1029" s="505"/>
      <c r="G1029" s="253"/>
      <c r="H1029" s="254"/>
      <c r="K1029" s="14" t="s">
        <v>189</v>
      </c>
      <c r="O1029" s="21"/>
    </row>
    <row r="1030" spans="1:20" s="26" customFormat="1" hidden="1" x14ac:dyDescent="0.25">
      <c r="A1030" s="173" t="s">
        <v>145</v>
      </c>
      <c r="B1030" s="505" t="s">
        <v>146</v>
      </c>
      <c r="C1030" s="505"/>
      <c r="D1030" s="505"/>
      <c r="E1030" s="505"/>
      <c r="F1030" s="505"/>
      <c r="G1030" s="255"/>
      <c r="H1030" s="256" t="str">
        <f>IF(ISBLANK(H1027),"",SUM(H1027:H1029))</f>
        <v/>
      </c>
      <c r="O1030" s="21"/>
    </row>
    <row r="1031" spans="1:20" s="26" customFormat="1" ht="15.75" hidden="1" thickBot="1" x14ac:dyDescent="0.3">
      <c r="A1031" s="178" t="s">
        <v>147</v>
      </c>
      <c r="B1031" s="515" t="s">
        <v>196</v>
      </c>
      <c r="C1031" s="515"/>
      <c r="D1031" s="515"/>
      <c r="E1031" s="515"/>
      <c r="F1031" s="515"/>
      <c r="G1031" s="257"/>
      <c r="H1031" s="250" t="str">
        <f>IF(ISBLANK(H1027),"",SUM(H1027:H1028))</f>
        <v/>
      </c>
      <c r="O1031" s="21"/>
    </row>
    <row r="1032" spans="1:20" s="26" customFormat="1" hidden="1" x14ac:dyDescent="0.25">
      <c r="B1032" s="66"/>
      <c r="C1032" s="66"/>
      <c r="D1032" s="66"/>
      <c r="E1032" s="66"/>
      <c r="O1032" s="21"/>
    </row>
    <row r="1033" spans="1:20" s="26" customFormat="1" hidden="1" x14ac:dyDescent="0.25">
      <c r="B1033" s="66"/>
      <c r="C1033" s="66"/>
      <c r="D1033" s="66"/>
      <c r="E1033" s="66"/>
      <c r="O1033" s="21"/>
    </row>
    <row r="1034" spans="1:20" s="26" customFormat="1" hidden="1" x14ac:dyDescent="0.25">
      <c r="A1034" s="155" t="s">
        <v>148</v>
      </c>
      <c r="B1034" s="66"/>
      <c r="C1034" s="66"/>
      <c r="D1034" s="66"/>
      <c r="E1034" s="66"/>
      <c r="O1034" s="21"/>
    </row>
    <row r="1035" spans="1:20" s="26" customFormat="1" ht="15.75" hidden="1" thickBot="1" x14ac:dyDescent="0.3">
      <c r="B1035" s="66"/>
      <c r="C1035" s="66"/>
      <c r="D1035" s="66"/>
      <c r="E1035" s="66"/>
      <c r="O1035" s="21"/>
    </row>
    <row r="1036" spans="1:20" s="26" customFormat="1" ht="29.1" hidden="1" customHeight="1" x14ac:dyDescent="0.25">
      <c r="A1036" s="65"/>
      <c r="B1036" s="303"/>
      <c r="C1036" s="303"/>
      <c r="D1036" s="303"/>
      <c r="E1036" s="303"/>
      <c r="F1036" s="506" t="s">
        <v>149</v>
      </c>
      <c r="G1036" s="180" t="s">
        <v>150</v>
      </c>
      <c r="H1036" s="508" t="s">
        <v>151</v>
      </c>
      <c r="I1036" s="180" t="s">
        <v>152</v>
      </c>
      <c r="J1036" s="66"/>
      <c r="K1036" s="408" t="s">
        <v>190</v>
      </c>
      <c r="L1036" s="408"/>
      <c r="M1036" s="408"/>
      <c r="N1036" s="408"/>
      <c r="O1036" s="408"/>
    </row>
    <row r="1037" spans="1:20" s="26" customFormat="1" hidden="1" x14ac:dyDescent="0.25">
      <c r="A1037" s="65"/>
      <c r="B1037" s="303"/>
      <c r="C1037" s="303"/>
      <c r="D1037" s="303"/>
      <c r="E1037" s="303"/>
      <c r="F1037" s="507"/>
      <c r="G1037" s="253"/>
      <c r="H1037" s="509"/>
      <c r="I1037" s="182"/>
      <c r="J1037" s="66"/>
      <c r="K1037" s="408"/>
      <c r="L1037" s="408"/>
      <c r="M1037" s="408"/>
      <c r="N1037" s="408"/>
      <c r="O1037" s="408"/>
    </row>
    <row r="1038" spans="1:20" s="26" customFormat="1" ht="15.75" hidden="1" thickBot="1" x14ac:dyDescent="0.3">
      <c r="A1038" s="65"/>
      <c r="B1038" s="303"/>
      <c r="C1038" s="303"/>
      <c r="D1038" s="303"/>
      <c r="E1038" s="303"/>
      <c r="F1038" s="507"/>
      <c r="G1038" s="183" t="s">
        <v>153</v>
      </c>
      <c r="H1038" s="510"/>
      <c r="I1038" s="184"/>
      <c r="J1038" s="66"/>
      <c r="K1038" s="408"/>
      <c r="L1038" s="408"/>
      <c r="M1038" s="408"/>
      <c r="N1038" s="408"/>
      <c r="O1038" s="408"/>
    </row>
    <row r="1039" spans="1:20" s="26" customFormat="1" hidden="1" x14ac:dyDescent="0.25">
      <c r="A1039" s="247" t="s">
        <v>77</v>
      </c>
      <c r="B1039" s="463" t="str">
        <f>B1008</f>
        <v>Price to Wholesaler</v>
      </c>
      <c r="C1039" s="463"/>
      <c r="D1039" s="463"/>
      <c r="E1039" s="463"/>
      <c r="F1039" s="256">
        <f>SUMPRODUCT(F1008:I1008,F1000:I1000)</f>
        <v>0</v>
      </c>
      <c r="G1039" s="256">
        <f>F1039*G1037</f>
        <v>0</v>
      </c>
      <c r="H1039" s="256" t="str">
        <f>IF(H998="Days",F1039/F998*365.25,IF(H998="Months",F1039/F998*12,""))</f>
        <v/>
      </c>
      <c r="I1039" s="256" t="str">
        <f>IF(AND(H998="Days",I1038="Days"),F1039/F998*I1037,IF(AND(H998="Months",I1038="Months"),F1039/F998*I1037,IF(AND(H998="Days",I1038="Months"),F1039/F998*30.4375*I1037,IF(AND(H998="Months",I1038="Days"),F1039/F998/30.4375*I1037,""))))</f>
        <v/>
      </c>
      <c r="O1039" s="21"/>
    </row>
    <row r="1040" spans="1:20" s="26" customFormat="1" hidden="1" x14ac:dyDescent="0.25">
      <c r="A1040" s="255" t="s">
        <v>78</v>
      </c>
      <c r="B1040" s="464" t="str">
        <f>B1009</f>
        <v>Wholesale Mark-up</v>
      </c>
      <c r="C1040" s="464"/>
      <c r="D1040" s="464"/>
      <c r="E1040" s="464"/>
      <c r="F1040" s="256">
        <f>SUMPRODUCT(F1009:I1009,F1000:I1000)</f>
        <v>0</v>
      </c>
      <c r="G1040" s="256">
        <f>F1040*G1037</f>
        <v>0</v>
      </c>
      <c r="H1040" s="256" t="str">
        <f>IF(H998="Days",F1040/F998*365.25,IF(H998="Months",F1040/F998*12,""))</f>
        <v/>
      </c>
      <c r="I1040" s="256" t="str">
        <f>IF(AND(H998="Days",I1038="Days"),F1040/F998*I1037,IF(AND(H998="Months",I1038="Months"),F1040/F998*I1037,IF(AND(H998="Days",I1038="Months"),F1040/F998*30.4375*I1037,IF(AND(H998="Months",I1038="Days"),F1040/F998/30.4375*I1037,""))))</f>
        <v/>
      </c>
      <c r="O1040" s="21"/>
    </row>
    <row r="1041" spans="1:19" s="26" customFormat="1" hidden="1" x14ac:dyDescent="0.25">
      <c r="A1041" s="255" t="s">
        <v>79</v>
      </c>
      <c r="B1041" s="294" t="str">
        <f>B1010</f>
        <v>Reimbursement Price</v>
      </c>
      <c r="C1041" s="300"/>
      <c r="D1041" s="301"/>
      <c r="E1041" s="302"/>
      <c r="F1041" s="256">
        <f>SUMPRODUCT(F1010:I1010,F1000:I1000)</f>
        <v>0</v>
      </c>
      <c r="G1041" s="256">
        <f>F1041*G1037</f>
        <v>0</v>
      </c>
      <c r="H1041" s="256" t="str">
        <f>IF(H998="Days",F1041/F998*365.25,IF(H998="Months",F1041/F998*12,""))</f>
        <v/>
      </c>
      <c r="I1041" s="256" t="str">
        <f>IF(AND(H998="Days",I1038="Days"),F1041/F998*I1037,IF(AND(H998="Months",I1038="Months"),F1041/F998*I1037,IF(AND(H998="Days",I1038="Months"),F1041/F998*30.4375*I1037,IF(AND(H998="Months",I1038="Days"),F1041/F998/30.4375*I1037,""))))</f>
        <v/>
      </c>
      <c r="O1041" s="21"/>
    </row>
    <row r="1042" spans="1:19" s="26" customFormat="1" hidden="1" x14ac:dyDescent="0.25">
      <c r="A1042" s="255" t="s">
        <v>80</v>
      </c>
      <c r="B1042" s="495" t="str">
        <f>B1011</f>
        <v>Framework Agreement Rebate</v>
      </c>
      <c r="C1042" s="496"/>
      <c r="D1042" s="496"/>
      <c r="E1042" s="497"/>
      <c r="F1042" s="256">
        <f>SUMPRODUCT(F1011:I1011,F1000:I1000)</f>
        <v>0</v>
      </c>
      <c r="G1042" s="256">
        <f>F1042*G1037</f>
        <v>0</v>
      </c>
      <c r="H1042" s="256" t="str">
        <f>IF(H998="Days",F1042/F998*365.25,IF(H998="Months",F1042/F998*12,""))</f>
        <v/>
      </c>
      <c r="I1042" s="256" t="str">
        <f>IF(AND(H998="Days",I1038="Days"),F1042/F998*I1037,IF(AND(H998="Months",I1038="Months"),F1042/F998*I1037,IF(AND(H998="Days",I1038="Months"),F1042/F998*30.4375*I1037,IF(AND(H998="Months",I1038="Days"),F1042/F998/30.4375*I1037,""))))</f>
        <v/>
      </c>
      <c r="O1042" s="21"/>
    </row>
    <row r="1043" spans="1:19" s="26" customFormat="1" hidden="1" x14ac:dyDescent="0.25">
      <c r="A1043" s="255" t="s">
        <v>81</v>
      </c>
      <c r="B1043" s="495" t="str">
        <f>B1012</f>
        <v xml:space="preserve">VAT on Drug Cost </v>
      </c>
      <c r="C1043" s="496"/>
      <c r="D1043" s="496"/>
      <c r="E1043" s="497"/>
      <c r="F1043" s="256">
        <f>SUMPRODUCT(F1012:I1012,F1000:I1000)</f>
        <v>0</v>
      </c>
      <c r="G1043" s="256">
        <f>F1043*G1037</f>
        <v>0</v>
      </c>
      <c r="H1043" s="256" t="str">
        <f>IF(H998="Days",F1043/F998*365.25,IF(H998="Months",F1043/F998*12,""))</f>
        <v/>
      </c>
      <c r="I1043" s="256" t="str">
        <f>IF(AND(H998="Days",I1038="Days"),F1043/F998*I1037,IF(AND(H998="Months",I1038="Months"),F1043/F998*I1037,IF(AND(H998="Days",I1038="Months"),F1043/F998*30.4375*I1037,IF(AND(H998="Months",I1038="Days"),F1043/F998/30.4375*I1037,""))))</f>
        <v/>
      </c>
      <c r="O1043" s="21"/>
    </row>
    <row r="1044" spans="1:19" s="26" customFormat="1" hidden="1" x14ac:dyDescent="0.25">
      <c r="A1044" s="255" t="s">
        <v>154</v>
      </c>
      <c r="B1044" s="495" t="s">
        <v>155</v>
      </c>
      <c r="C1044" s="496"/>
      <c r="D1044" s="496"/>
      <c r="E1044" s="497"/>
      <c r="F1044" s="256" t="str">
        <f>IF(H1030="","",H1030)</f>
        <v/>
      </c>
      <c r="G1044" s="256" t="str">
        <f>IF(F1044="","",F1044*G1037)</f>
        <v/>
      </c>
      <c r="H1044" s="256" t="str">
        <f>IF(F1044="","",IF(H998="Days",F1044/F998*365.25,IF(H998="Months",F1044/F998*12,"")))</f>
        <v/>
      </c>
      <c r="I1044" s="256" t="str">
        <f>IF(F1044="","",IF(AND(H998="Days",I1038="Days"),F1044/F998*I1037,IF(AND(H998="Months",I1038="Months"),F1044/F998*I1037,IF(AND(H998="Days",I1038="Months"),F1044/F998*30.4375*I1037,IF(AND(H998="Months",I1038="Days"),F1044/F998/30.4375*I1037,"")))))</f>
        <v/>
      </c>
      <c r="O1044" s="21"/>
    </row>
    <row r="1045" spans="1:19" s="26" customFormat="1" hidden="1" x14ac:dyDescent="0.25">
      <c r="A1045" s="255" t="s">
        <v>156</v>
      </c>
      <c r="B1045" s="495" t="s">
        <v>157</v>
      </c>
      <c r="C1045" s="496"/>
      <c r="D1045" s="496"/>
      <c r="E1045" s="497"/>
      <c r="F1045" s="256" t="str">
        <f>IF(H1031="","",H1031)</f>
        <v/>
      </c>
      <c r="G1045" s="256" t="str">
        <f>IF(F1045="","",F1045*G1037)</f>
        <v/>
      </c>
      <c r="H1045" s="256" t="str">
        <f>IF(F1045="","",IF(H998="Days",F1045/F998*365.25,IF(H998="Months",F1045/F998*12,"")))</f>
        <v/>
      </c>
      <c r="I1045" s="256" t="str">
        <f>IF(F1045="","",IF(AND(H998="Days",I1038="Days"),F1045/F998*I1037,IF(AND(H998="Months",I1038="Months"),F1045/F998*I1037,IF(AND(H998="Days",I1038="Months"),F1045/F998*30.4375*I1037,IF(AND(H998="Months",I1038="Days"),F1045/F998/30.4375*I1037,"")))))</f>
        <v/>
      </c>
      <c r="O1045" s="21"/>
    </row>
    <row r="1046" spans="1:19" s="155" customFormat="1" hidden="1" x14ac:dyDescent="0.25">
      <c r="A1046" s="186" t="s">
        <v>158</v>
      </c>
      <c r="B1046" s="498" t="s">
        <v>159</v>
      </c>
      <c r="C1046" s="499"/>
      <c r="D1046" s="499"/>
      <c r="E1046" s="500"/>
      <c r="F1046" s="187">
        <f>SUM(F1041:F1044)</f>
        <v>0</v>
      </c>
      <c r="G1046" s="187">
        <f t="shared" ref="G1046:I1046" si="77">SUM(G1041:G1044)</f>
        <v>0</v>
      </c>
      <c r="H1046" s="187">
        <f t="shared" si="77"/>
        <v>0</v>
      </c>
      <c r="I1046" s="187">
        <f t="shared" si="77"/>
        <v>0</v>
      </c>
      <c r="K1046" s="98" t="s">
        <v>191</v>
      </c>
      <c r="O1046" s="189"/>
    </row>
    <row r="1047" spans="1:19" s="26" customFormat="1" ht="15.75" hidden="1" thickBot="1" x14ac:dyDescent="0.3">
      <c r="A1047" s="257" t="s">
        <v>160</v>
      </c>
      <c r="B1047" s="501" t="s">
        <v>161</v>
      </c>
      <c r="C1047" s="502"/>
      <c r="D1047" s="502"/>
      <c r="E1047" s="503"/>
      <c r="F1047" s="250">
        <f>IF(F1045="",SUM(F1041+F1042),F1041+F1042+F1045)</f>
        <v>0</v>
      </c>
      <c r="G1047" s="250">
        <f t="shared" ref="G1047" si="78">IF(G1045="",SUM(G1041+G1042),G1041+G1042+G1045)</f>
        <v>0</v>
      </c>
      <c r="H1047" s="250" t="e">
        <f>IF(H1045="",SUM(H1041+H1042),H1041+H1042+H1045)</f>
        <v>#VALUE!</v>
      </c>
      <c r="I1047" s="250" t="e">
        <f t="shared" ref="I1047" si="79">IF(I1045="",SUM(I1041+I1042),I1041+I1042+I1045)</f>
        <v>#VALUE!</v>
      </c>
      <c r="K1047" s="14" t="s">
        <v>192</v>
      </c>
      <c r="O1047" s="21"/>
    </row>
    <row r="1048" spans="1:19" s="26" customFormat="1" hidden="1" x14ac:dyDescent="0.25">
      <c r="B1048" s="229"/>
      <c r="C1048" s="66"/>
      <c r="D1048" s="66"/>
      <c r="E1048" s="66"/>
      <c r="O1048" s="21"/>
    </row>
    <row r="1049" spans="1:19" s="26" customFormat="1" hidden="1" x14ac:dyDescent="0.25"/>
    <row r="1050" spans="1:19" s="26" customFormat="1" hidden="1" x14ac:dyDescent="0.25">
      <c r="B1050" s="308" t="s">
        <v>101</v>
      </c>
      <c r="C1050" s="308"/>
      <c r="D1050" s="308"/>
      <c r="E1050" s="308"/>
    </row>
    <row r="1051" spans="1:19" s="26" customFormat="1" ht="15.75" hidden="1" customHeight="1" x14ac:dyDescent="0.25"/>
    <row r="1052" spans="1:19" s="26" customFormat="1" hidden="1" x14ac:dyDescent="0.25">
      <c r="B1052" s="234"/>
      <c r="C1052" s="234"/>
      <c r="D1052" s="234"/>
      <c r="E1052" s="234"/>
      <c r="F1052" s="234"/>
      <c r="G1052" s="234"/>
      <c r="H1052" s="234"/>
      <c r="I1052" s="234"/>
      <c r="J1052" s="234"/>
      <c r="K1052" s="234"/>
      <c r="L1052" s="234"/>
      <c r="M1052" s="234"/>
      <c r="N1052" s="234"/>
      <c r="O1052" s="234"/>
      <c r="P1052" s="234"/>
      <c r="Q1052" s="234"/>
      <c r="R1052" s="234"/>
      <c r="S1052" s="234"/>
    </row>
    <row r="1053" spans="1:19" s="26" customFormat="1" hidden="1" x14ac:dyDescent="0.25">
      <c r="B1053" s="234"/>
      <c r="C1053" s="234"/>
      <c r="D1053" s="234"/>
      <c r="E1053" s="234"/>
      <c r="F1053" s="234"/>
      <c r="G1053" s="234"/>
      <c r="H1053" s="234"/>
      <c r="I1053" s="234"/>
      <c r="J1053" s="234"/>
      <c r="K1053" s="234"/>
      <c r="L1053" s="234"/>
      <c r="M1053" s="234"/>
      <c r="N1053" s="234"/>
      <c r="O1053" s="234"/>
      <c r="P1053" s="234"/>
      <c r="Q1053" s="234"/>
      <c r="R1053" s="234"/>
      <c r="S1053" s="234"/>
    </row>
    <row r="1054" spans="1:19" s="26" customFormat="1" hidden="1" x14ac:dyDescent="0.25">
      <c r="B1054" s="234"/>
      <c r="C1054" s="234"/>
      <c r="D1054" s="234"/>
      <c r="E1054" s="234"/>
      <c r="F1054" s="234"/>
      <c r="G1054" s="234"/>
      <c r="H1054" s="234"/>
      <c r="I1054" s="234"/>
      <c r="J1054" s="234"/>
      <c r="K1054" s="234"/>
      <c r="L1054" s="234"/>
      <c r="M1054" s="234"/>
      <c r="N1054" s="234"/>
      <c r="O1054" s="234"/>
      <c r="P1054" s="234"/>
      <c r="Q1054" s="234"/>
      <c r="R1054" s="234"/>
      <c r="S1054" s="234"/>
    </row>
    <row r="1055" spans="1:19" s="26" customFormat="1" hidden="1" x14ac:dyDescent="0.25">
      <c r="B1055" s="234"/>
      <c r="C1055" s="234"/>
      <c r="D1055" s="234"/>
      <c r="E1055" s="234"/>
      <c r="F1055" s="234"/>
      <c r="G1055" s="234"/>
      <c r="H1055" s="234"/>
      <c r="I1055" s="234"/>
      <c r="J1055" s="234"/>
      <c r="K1055" s="234"/>
      <c r="L1055" s="234"/>
      <c r="M1055" s="234"/>
      <c r="N1055" s="234"/>
      <c r="O1055" s="234"/>
      <c r="P1055" s="234"/>
      <c r="Q1055" s="234"/>
      <c r="R1055" s="234"/>
      <c r="S1055" s="234"/>
    </row>
    <row r="1056" spans="1:19" s="26" customFormat="1" hidden="1" x14ac:dyDescent="0.25">
      <c r="B1056" s="234"/>
      <c r="C1056" s="234"/>
      <c r="D1056" s="234"/>
      <c r="E1056" s="234"/>
      <c r="F1056" s="234"/>
      <c r="G1056" s="234"/>
      <c r="H1056" s="234"/>
      <c r="I1056" s="234"/>
      <c r="J1056" s="234"/>
      <c r="K1056" s="234"/>
      <c r="L1056" s="234"/>
      <c r="M1056" s="234"/>
      <c r="N1056" s="234"/>
      <c r="O1056" s="234"/>
      <c r="P1056" s="234"/>
      <c r="Q1056" s="234"/>
      <c r="R1056" s="234"/>
      <c r="S1056" s="234"/>
    </row>
    <row r="1057" spans="2:22" s="26" customFormat="1" hidden="1" x14ac:dyDescent="0.25">
      <c r="B1057" s="234"/>
      <c r="C1057" s="234"/>
      <c r="D1057" s="234"/>
      <c r="E1057" s="234"/>
      <c r="F1057" s="234"/>
      <c r="G1057" s="234"/>
      <c r="H1057" s="234"/>
      <c r="I1057" s="234"/>
      <c r="J1057" s="234"/>
      <c r="K1057" s="234"/>
      <c r="L1057" s="234"/>
      <c r="M1057" s="234"/>
      <c r="N1057" s="234"/>
      <c r="O1057" s="234"/>
      <c r="P1057" s="234"/>
      <c r="Q1057" s="234"/>
      <c r="R1057" s="234"/>
      <c r="S1057" s="234"/>
    </row>
    <row r="1058" spans="2:22" s="26" customFormat="1" hidden="1" x14ac:dyDescent="0.25">
      <c r="B1058" s="234"/>
      <c r="C1058" s="234"/>
      <c r="D1058" s="234"/>
      <c r="E1058" s="234"/>
      <c r="F1058" s="234"/>
      <c r="G1058" s="234"/>
      <c r="H1058" s="234"/>
      <c r="I1058" s="234"/>
      <c r="J1058" s="234"/>
      <c r="K1058" s="234"/>
      <c r="L1058" s="234"/>
      <c r="M1058" s="234"/>
      <c r="N1058" s="234"/>
      <c r="O1058" s="234"/>
      <c r="P1058" s="234"/>
      <c r="Q1058" s="234"/>
      <c r="R1058" s="234"/>
      <c r="S1058" s="234"/>
    </row>
    <row r="1059" spans="2:22" s="26" customFormat="1" hidden="1" x14ac:dyDescent="0.25">
      <c r="B1059" s="234"/>
      <c r="C1059" s="234"/>
      <c r="D1059" s="234"/>
      <c r="E1059" s="234"/>
      <c r="F1059" s="234"/>
      <c r="G1059" s="234"/>
      <c r="H1059" s="234"/>
      <c r="I1059" s="234"/>
      <c r="J1059" s="234"/>
      <c r="K1059" s="234"/>
      <c r="L1059" s="234"/>
      <c r="M1059" s="234"/>
      <c r="N1059" s="234"/>
      <c r="O1059" s="234"/>
      <c r="P1059" s="234"/>
      <c r="Q1059" s="234"/>
      <c r="R1059" s="234"/>
      <c r="S1059" s="234"/>
    </row>
    <row r="1060" spans="2:22" s="26" customFormat="1" hidden="1" x14ac:dyDescent="0.25">
      <c r="B1060" s="234"/>
      <c r="C1060" s="234"/>
      <c r="D1060" s="234"/>
      <c r="E1060" s="234"/>
      <c r="F1060" s="234"/>
      <c r="G1060" s="234"/>
      <c r="H1060" s="234"/>
      <c r="I1060" s="234"/>
      <c r="J1060" s="234"/>
      <c r="K1060" s="234"/>
      <c r="L1060" s="234"/>
      <c r="M1060" s="234"/>
      <c r="N1060" s="234"/>
      <c r="O1060" s="234"/>
      <c r="P1060" s="234"/>
      <c r="Q1060" s="234"/>
      <c r="R1060" s="234"/>
      <c r="S1060" s="234"/>
    </row>
    <row r="1061" spans="2:22" s="26" customFormat="1" hidden="1" x14ac:dyDescent="0.25">
      <c r="B1061" s="234"/>
      <c r="C1061" s="234"/>
      <c r="D1061" s="234"/>
      <c r="E1061" s="234"/>
      <c r="F1061" s="234"/>
      <c r="G1061" s="234"/>
      <c r="H1061" s="234"/>
      <c r="I1061" s="234"/>
      <c r="J1061" s="234"/>
      <c r="K1061" s="234"/>
      <c r="L1061" s="234"/>
      <c r="M1061" s="234"/>
      <c r="N1061" s="234"/>
      <c r="O1061" s="234"/>
      <c r="P1061" s="234"/>
      <c r="Q1061" s="234"/>
      <c r="R1061" s="234"/>
      <c r="S1061" s="234"/>
    </row>
    <row r="1062" spans="2:22" hidden="1" x14ac:dyDescent="0.25"/>
    <row r="1063" spans="2:22" hidden="1" x14ac:dyDescent="0.25"/>
    <row r="1064" spans="2:22" ht="15.75" hidden="1" thickBot="1" x14ac:dyDescent="0.3"/>
    <row r="1065" spans="2:22" s="26" customFormat="1" ht="15.75" hidden="1" thickBot="1" x14ac:dyDescent="0.3">
      <c r="B1065" s="410" t="str">
        <f>CONCATENATE("Comparator 12: ",NameComparator12)</f>
        <v xml:space="preserve">Comparator 12: </v>
      </c>
      <c r="C1065" s="411"/>
      <c r="D1065" s="411"/>
      <c r="E1065" s="411"/>
      <c r="F1065" s="411"/>
      <c r="G1065" s="412"/>
    </row>
    <row r="1066" spans="2:22" s="26" customFormat="1" hidden="1" x14ac:dyDescent="0.25">
      <c r="B1066" s="227"/>
      <c r="C1066" s="227"/>
      <c r="D1066" s="227"/>
      <c r="F1066" s="303"/>
      <c r="G1066" s="303"/>
      <c r="H1066" s="303"/>
      <c r="I1066" s="303"/>
      <c r="J1066" s="303"/>
    </row>
    <row r="1067" spans="2:22" s="26" customFormat="1" hidden="1" x14ac:dyDescent="0.25"/>
    <row r="1068" spans="2:22" s="26" customFormat="1" ht="28.5" hidden="1" customHeight="1" thickBot="1" x14ac:dyDescent="0.3">
      <c r="B1068" s="334" t="s">
        <v>118</v>
      </c>
      <c r="C1068" s="334"/>
      <c r="D1068" s="334"/>
      <c r="E1068" s="334"/>
      <c r="K1068" s="408" t="s">
        <v>209</v>
      </c>
      <c r="L1068" s="408"/>
      <c r="M1068" s="408"/>
      <c r="N1068" s="408"/>
      <c r="O1068" s="408"/>
      <c r="P1068" s="225"/>
      <c r="Q1068" s="225"/>
      <c r="R1068" s="225"/>
      <c r="S1068" s="225"/>
      <c r="T1068" s="225"/>
      <c r="U1068" s="225"/>
      <c r="V1068" s="225"/>
    </row>
    <row r="1069" spans="2:22" s="26" customFormat="1" ht="18.95" hidden="1" customHeight="1" thickBot="1" x14ac:dyDescent="0.3">
      <c r="B1069" s="465" t="s">
        <v>119</v>
      </c>
      <c r="C1069" s="466"/>
      <c r="D1069" s="466"/>
      <c r="E1069" s="466"/>
      <c r="F1069" s="466"/>
      <c r="G1069" s="466"/>
      <c r="H1069" s="466"/>
      <c r="I1069" s="467"/>
      <c r="K1069" s="408"/>
      <c r="L1069" s="408"/>
      <c r="M1069" s="408"/>
      <c r="N1069" s="408"/>
      <c r="O1069" s="408"/>
      <c r="P1069" s="225"/>
      <c r="Q1069" s="225"/>
      <c r="R1069" s="225"/>
      <c r="S1069" s="225"/>
      <c r="T1069" s="225"/>
      <c r="U1069" s="225"/>
      <c r="V1069" s="225"/>
    </row>
    <row r="1070" spans="2:22" s="26" customFormat="1" ht="15.75" hidden="1" thickBot="1" x14ac:dyDescent="0.3">
      <c r="B1070" s="295"/>
      <c r="C1070" s="296"/>
      <c r="D1070" s="296"/>
      <c r="E1070" s="296"/>
      <c r="F1070" s="466" t="s">
        <v>120</v>
      </c>
      <c r="G1070" s="466"/>
      <c r="H1070" s="466"/>
      <c r="I1070" s="467"/>
      <c r="K1070" s="14"/>
    </row>
    <row r="1071" spans="2:22" s="26" customFormat="1" ht="15.75" hidden="1" thickBot="1" x14ac:dyDescent="0.3">
      <c r="B1071" s="472" t="s">
        <v>174</v>
      </c>
      <c r="C1071" s="473"/>
      <c r="D1071" s="473"/>
      <c r="E1071" s="474"/>
      <c r="F1071" s="149"/>
      <c r="G1071" s="149"/>
      <c r="H1071" s="149"/>
      <c r="I1071" s="149"/>
      <c r="K1071" s="14" t="s">
        <v>180</v>
      </c>
    </row>
    <row r="1072" spans="2:22" s="26" customFormat="1" ht="30" hidden="1" customHeight="1" thickBot="1" x14ac:dyDescent="0.3">
      <c r="B1072" s="472" t="s">
        <v>106</v>
      </c>
      <c r="C1072" s="473"/>
      <c r="D1072" s="473"/>
      <c r="E1072" s="474"/>
      <c r="F1072" s="235"/>
      <c r="G1072" s="235"/>
      <c r="H1072" s="235"/>
      <c r="I1072" s="235"/>
      <c r="J1072" s="26" t="s">
        <v>104</v>
      </c>
      <c r="K1072" s="408" t="s">
        <v>181</v>
      </c>
      <c r="L1072" s="408"/>
      <c r="M1072" s="408"/>
      <c r="N1072" s="408"/>
      <c r="O1072" s="408"/>
      <c r="P1072" s="21"/>
      <c r="Q1072" s="21"/>
      <c r="R1072" s="21"/>
      <c r="S1072" s="21"/>
      <c r="T1072" s="21"/>
    </row>
    <row r="1073" spans="1:22" s="26" customFormat="1" ht="15.75" hidden="1" thickBot="1" x14ac:dyDescent="0.3">
      <c r="A1073" s="14"/>
      <c r="B1073" s="472" t="s">
        <v>107</v>
      </c>
      <c r="C1073" s="473"/>
      <c r="D1073" s="473"/>
      <c r="E1073" s="474"/>
      <c r="F1073" s="151"/>
      <c r="G1073" s="151"/>
      <c r="H1073" s="151"/>
      <c r="I1073" s="151"/>
      <c r="J1073" s="236"/>
      <c r="K1073" s="110" t="s">
        <v>182</v>
      </c>
      <c r="N1073" s="21"/>
      <c r="O1073" s="21"/>
      <c r="P1073" s="21"/>
      <c r="Q1073" s="21"/>
      <c r="R1073" s="21"/>
      <c r="S1073" s="21"/>
      <c r="T1073" s="21"/>
    </row>
    <row r="1074" spans="1:22" s="26" customFormat="1" ht="15.75" hidden="1" thickBot="1" x14ac:dyDescent="0.3">
      <c r="A1074" s="15"/>
      <c r="B1074" s="472" t="s">
        <v>108</v>
      </c>
      <c r="C1074" s="473"/>
      <c r="D1074" s="473"/>
      <c r="E1074" s="474"/>
      <c r="F1074" s="489"/>
      <c r="G1074" s="490"/>
      <c r="H1074" s="490"/>
      <c r="I1074" s="491"/>
      <c r="J1074" s="237" t="s">
        <v>104</v>
      </c>
      <c r="K1074" s="110" t="s">
        <v>210</v>
      </c>
    </row>
    <row r="1075" spans="1:22" s="26" customFormat="1" ht="15.75" hidden="1" thickBot="1" x14ac:dyDescent="0.3">
      <c r="A1075" s="15"/>
      <c r="B1075" s="472" t="s">
        <v>74</v>
      </c>
      <c r="C1075" s="473"/>
      <c r="D1075" s="473"/>
      <c r="E1075" s="474"/>
      <c r="F1075" s="492"/>
      <c r="G1075" s="493"/>
      <c r="H1075" s="493"/>
      <c r="I1075" s="494"/>
      <c r="J1075" s="237" t="s">
        <v>104</v>
      </c>
      <c r="K1075" s="110" t="s">
        <v>184</v>
      </c>
    </row>
    <row r="1076" spans="1:22" s="26" customFormat="1" ht="15.75" hidden="1" thickBot="1" x14ac:dyDescent="0.3">
      <c r="B1076" s="472" t="s">
        <v>75</v>
      </c>
      <c r="C1076" s="473"/>
      <c r="D1076" s="473"/>
      <c r="E1076" s="474"/>
      <c r="F1076" s="492"/>
      <c r="G1076" s="493"/>
      <c r="H1076" s="493"/>
      <c r="I1076" s="494"/>
      <c r="J1076" s="26" t="s">
        <v>104</v>
      </c>
      <c r="K1076" s="110" t="s">
        <v>185</v>
      </c>
    </row>
    <row r="1077" spans="1:22" s="26" customFormat="1" ht="15.75" hidden="1" thickBot="1" x14ac:dyDescent="0.3">
      <c r="B1077" s="472" t="s">
        <v>76</v>
      </c>
      <c r="C1077" s="473"/>
      <c r="D1077" s="473"/>
      <c r="E1077" s="474"/>
      <c r="F1077" s="492"/>
      <c r="G1077" s="493"/>
      <c r="H1077" s="493"/>
      <c r="I1077" s="494"/>
      <c r="J1077" s="237" t="s">
        <v>104</v>
      </c>
      <c r="K1077" s="110" t="s">
        <v>219</v>
      </c>
    </row>
    <row r="1078" spans="1:22" s="26" customFormat="1" ht="15.75" hidden="1" thickBot="1" x14ac:dyDescent="0.3">
      <c r="B1078" s="472" t="s">
        <v>172</v>
      </c>
      <c r="C1078" s="473"/>
      <c r="D1078" s="473"/>
      <c r="E1078" s="474"/>
      <c r="F1078" s="492"/>
      <c r="G1078" s="493"/>
      <c r="H1078" s="493"/>
      <c r="I1078" s="494"/>
      <c r="J1078" s="237" t="s">
        <v>104</v>
      </c>
      <c r="K1078" s="110" t="s">
        <v>217</v>
      </c>
    </row>
    <row r="1079" spans="1:22" s="26" customFormat="1" ht="15.75" hidden="1" thickBot="1" x14ac:dyDescent="0.3">
      <c r="B1079" s="472" t="s">
        <v>173</v>
      </c>
      <c r="C1079" s="473"/>
      <c r="D1079" s="473"/>
      <c r="E1079" s="474"/>
      <c r="F1079" s="492"/>
      <c r="G1079" s="493"/>
      <c r="H1079" s="493"/>
      <c r="I1079" s="494"/>
      <c r="J1079" s="237" t="s">
        <v>104</v>
      </c>
      <c r="K1079" s="110" t="s">
        <v>218</v>
      </c>
    </row>
    <row r="1080" spans="1:22" s="26" customFormat="1" ht="30" hidden="1" customHeight="1" x14ac:dyDescent="0.25">
      <c r="B1080" s="112"/>
      <c r="C1080" s="112"/>
      <c r="D1080" s="112"/>
      <c r="E1080" s="303"/>
      <c r="F1080" s="303"/>
      <c r="G1080" s="238"/>
      <c r="H1080" s="303"/>
      <c r="I1080" s="303"/>
      <c r="J1080" s="239"/>
      <c r="K1080" s="110"/>
    </row>
    <row r="1081" spans="1:22" s="26" customFormat="1" ht="15.75" hidden="1" thickBot="1" x14ac:dyDescent="0.3">
      <c r="B1081" s="334" t="s">
        <v>171</v>
      </c>
      <c r="C1081" s="334"/>
      <c r="D1081" s="334"/>
      <c r="E1081" s="334"/>
      <c r="F1081" s="303"/>
      <c r="G1081" s="303"/>
      <c r="H1081" s="303"/>
      <c r="I1081" s="303"/>
      <c r="J1081" s="239"/>
      <c r="K1081" s="404" t="s">
        <v>195</v>
      </c>
      <c r="L1081" s="404"/>
      <c r="M1081" s="404"/>
      <c r="N1081" s="404"/>
      <c r="O1081" s="404"/>
      <c r="P1081" s="292"/>
      <c r="Q1081" s="292"/>
      <c r="R1081" s="292"/>
      <c r="S1081" s="292"/>
      <c r="T1081" s="292"/>
      <c r="U1081" s="292"/>
      <c r="V1081" s="292"/>
    </row>
    <row r="1082" spans="1:22" s="26" customFormat="1" ht="29.1" hidden="1" customHeight="1" thickBot="1" x14ac:dyDescent="0.3">
      <c r="B1082" s="465" t="s">
        <v>121</v>
      </c>
      <c r="C1082" s="466"/>
      <c r="D1082" s="466"/>
      <c r="E1082" s="466"/>
      <c r="F1082" s="466"/>
      <c r="G1082" s="466"/>
      <c r="H1082" s="466"/>
      <c r="I1082" s="467"/>
      <c r="J1082" s="239"/>
      <c r="K1082" s="404"/>
      <c r="L1082" s="404"/>
      <c r="M1082" s="404"/>
      <c r="N1082" s="404"/>
      <c r="O1082" s="404"/>
      <c r="P1082" s="292"/>
      <c r="Q1082" s="292"/>
      <c r="R1082" s="292"/>
      <c r="S1082" s="292"/>
      <c r="T1082" s="292"/>
      <c r="U1082" s="292"/>
      <c r="V1082" s="292"/>
    </row>
    <row r="1083" spans="1:22" s="26" customFormat="1" ht="30" hidden="1" customHeight="1" thickBot="1" x14ac:dyDescent="0.3">
      <c r="B1083" s="472" t="s">
        <v>122</v>
      </c>
      <c r="C1083" s="473"/>
      <c r="D1083" s="473"/>
      <c r="E1083" s="474"/>
      <c r="F1083" s="468"/>
      <c r="G1083" s="469"/>
      <c r="H1083" s="470"/>
      <c r="I1083" s="471"/>
      <c r="J1083" s="239"/>
      <c r="K1083" s="408" t="s">
        <v>186</v>
      </c>
      <c r="L1083" s="408"/>
      <c r="M1083" s="408"/>
      <c r="N1083" s="408"/>
      <c r="O1083" s="408"/>
    </row>
    <row r="1084" spans="1:22" s="26" customFormat="1" ht="23.1" hidden="1" customHeight="1" thickBot="1" x14ac:dyDescent="0.3">
      <c r="B1084" s="472" t="str">
        <f>B1071</f>
        <v>Pack Identification</v>
      </c>
      <c r="C1084" s="473"/>
      <c r="D1084" s="473"/>
      <c r="E1084" s="474"/>
      <c r="F1084" s="192" t="str">
        <f>IF(ISBLANK(F1071),"",F1071)</f>
        <v/>
      </c>
      <c r="G1084" s="192" t="str">
        <f t="shared" ref="G1084:I1084" si="80">IF(ISBLANK(G1071),"",G1071)</f>
        <v/>
      </c>
      <c r="H1084" s="192" t="str">
        <f t="shared" si="80"/>
        <v/>
      </c>
      <c r="I1084" s="192" t="str">
        <f t="shared" si="80"/>
        <v/>
      </c>
      <c r="J1084" s="239"/>
      <c r="K1084" s="408"/>
      <c r="L1084" s="408"/>
      <c r="M1084" s="408"/>
      <c r="N1084" s="408"/>
      <c r="O1084" s="408"/>
    </row>
    <row r="1085" spans="1:22" s="26" customFormat="1" ht="15.75" hidden="1" thickBot="1" x14ac:dyDescent="0.3">
      <c r="B1085" s="512" t="s">
        <v>123</v>
      </c>
      <c r="C1085" s="513"/>
      <c r="D1085" s="513"/>
      <c r="E1085" s="514"/>
      <c r="F1085" s="145"/>
      <c r="G1085" s="154"/>
      <c r="H1085" s="154"/>
      <c r="I1085" s="154"/>
      <c r="J1085" s="239"/>
      <c r="K1085" s="408" t="s">
        <v>187</v>
      </c>
      <c r="L1085" s="408"/>
      <c r="M1085" s="408"/>
      <c r="N1085" s="408"/>
      <c r="O1085" s="408"/>
    </row>
    <row r="1086" spans="1:22" s="26" customFormat="1" ht="75.75" hidden="1" customHeight="1" x14ac:dyDescent="0.25">
      <c r="B1086" s="304"/>
      <c r="C1086" s="304"/>
      <c r="D1086" s="304"/>
      <c r="E1086" s="304"/>
      <c r="F1086" s="303"/>
      <c r="G1086" s="303"/>
      <c r="H1086" s="303"/>
      <c r="I1086" s="303"/>
      <c r="J1086" s="239"/>
      <c r="K1086" s="408"/>
      <c r="L1086" s="408"/>
      <c r="M1086" s="408"/>
      <c r="N1086" s="408"/>
      <c r="O1086" s="408"/>
    </row>
    <row r="1087" spans="1:22" s="26" customFormat="1" hidden="1" x14ac:dyDescent="0.25">
      <c r="B1087" s="511"/>
      <c r="C1087" s="511"/>
      <c r="D1087" s="511"/>
      <c r="E1087" s="511"/>
      <c r="K1087" s="408"/>
      <c r="L1087" s="408"/>
      <c r="M1087" s="408"/>
      <c r="N1087" s="408"/>
      <c r="O1087" s="408"/>
    </row>
    <row r="1088" spans="1:22" s="26" customFormat="1" hidden="1" x14ac:dyDescent="0.25">
      <c r="B1088" s="303"/>
      <c r="C1088" s="303"/>
      <c r="D1088" s="303"/>
      <c r="E1088" s="303"/>
      <c r="O1088" s="21"/>
    </row>
    <row r="1089" spans="1:15" s="26" customFormat="1" hidden="1" x14ac:dyDescent="0.25">
      <c r="A1089" s="155"/>
      <c r="B1089" s="308" t="s">
        <v>124</v>
      </c>
      <c r="C1089" s="290"/>
      <c r="D1089" s="66"/>
      <c r="E1089" s="66"/>
      <c r="F1089" s="390"/>
      <c r="G1089" s="390"/>
      <c r="H1089" s="390"/>
      <c r="I1089" s="390"/>
      <c r="O1089" s="21"/>
    </row>
    <row r="1090" spans="1:15" s="26" customFormat="1" hidden="1" x14ac:dyDescent="0.25">
      <c r="A1090" s="14" t="s">
        <v>125</v>
      </c>
      <c r="B1090" s="290"/>
      <c r="C1090" s="290"/>
      <c r="D1090" s="66"/>
      <c r="E1090" s="66"/>
      <c r="F1090" s="290"/>
      <c r="G1090" s="290"/>
      <c r="H1090" s="290"/>
      <c r="I1090" s="290"/>
      <c r="O1090" s="21"/>
    </row>
    <row r="1091" spans="1:15" s="26" customFormat="1" ht="15.75" hidden="1" thickBot="1" x14ac:dyDescent="0.3">
      <c r="B1091" s="66"/>
      <c r="C1091" s="66"/>
      <c r="D1091" s="66"/>
      <c r="E1091" s="66"/>
      <c r="F1091" s="390" t="s">
        <v>126</v>
      </c>
      <c r="G1091" s="390"/>
      <c r="H1091" s="390"/>
      <c r="I1091" s="390"/>
      <c r="O1091" s="21"/>
    </row>
    <row r="1092" spans="1:15" s="26" customFormat="1" ht="15.75" hidden="1" thickBot="1" x14ac:dyDescent="0.3">
      <c r="B1092" s="66"/>
      <c r="C1092" s="66"/>
      <c r="D1092" s="66"/>
      <c r="E1092" s="66"/>
      <c r="F1092" s="156" t="str">
        <f>IF(F1071="","",F1071)</f>
        <v/>
      </c>
      <c r="G1092" s="156" t="str">
        <f>IF(G1071="","",G1071)</f>
        <v/>
      </c>
      <c r="H1092" s="156" t="str">
        <f>IF(H1071="","",H1071)</f>
        <v/>
      </c>
      <c r="I1092" s="156" t="str">
        <f>IF(I1071="","",I1071)</f>
        <v/>
      </c>
      <c r="O1092" s="21"/>
    </row>
    <row r="1093" spans="1:15" s="26" customFormat="1" hidden="1" x14ac:dyDescent="0.25">
      <c r="A1093" s="91" t="s">
        <v>77</v>
      </c>
      <c r="B1093" s="475" t="s">
        <v>82</v>
      </c>
      <c r="C1093" s="476"/>
      <c r="D1093" s="476"/>
      <c r="E1093" s="240"/>
      <c r="F1093" s="241" t="str">
        <f>IF(OR(F1072="",F1073="",F1074=""),"",IF(F1072="Price to Wholesaler",F1073,IF(F1072="Reimbursement Price",(F1095/(1+E1094)*1),"Error")))</f>
        <v/>
      </c>
      <c r="G1093" s="241" t="str">
        <f>IF(OR(G1072="",G1073="",F1074=""),"",IF(G1072="Price to Wholesaler",G1073,IF(G1072="Reimbursement Price",(G1095/(1+E1094)*1),"Error")))</f>
        <v/>
      </c>
      <c r="H1093" s="241" t="str">
        <f>IF(OR(H1072="",H1073="",F1074=""),"",IF(H1072="Price to Wholesaler",H1073,IF(H1072="Reimbursement Price",(H1095/(1+E1094)*1),"Error")))</f>
        <v/>
      </c>
      <c r="I1093" s="241" t="str">
        <f>IF(OR(I1072="",I1073="",F1074=""),"",IF(I1072="Price to Wholesaler",I1073,IF(I1072="Reimbursement Price",(I1095/(1+E1094)*1),"Error")))</f>
        <v/>
      </c>
      <c r="O1093" s="21"/>
    </row>
    <row r="1094" spans="1:15" s="26" customFormat="1" hidden="1" x14ac:dyDescent="0.25">
      <c r="A1094" s="297" t="s">
        <v>78</v>
      </c>
      <c r="B1094" s="477" t="s">
        <v>83</v>
      </c>
      <c r="C1094" s="478"/>
      <c r="D1094" s="478"/>
      <c r="E1094" s="93" t="str">
        <f>IF(OR(F1074=""),"",IF(AND(F1074="CDS",F1075="Yes"),CYF,IF(AND(F1074="CDS",F1075="No"),CNF,IF(F1074="HT",CHT,IF(F1074="Hosp",CHO,"Error")))))</f>
        <v/>
      </c>
      <c r="F1094" s="242" t="str">
        <f>IF(OR(F1074="",F1073="",F1072=""),"",F1093*E1094)</f>
        <v/>
      </c>
      <c r="G1094" s="242" t="str">
        <f>IF(OR(F1074="",G1073="",G1072=""),"",G1093*E1094)</f>
        <v/>
      </c>
      <c r="H1094" s="242" t="str">
        <f>IF(OR(F1074="",H1073="",H1072=""),"",H1093*E1094)</f>
        <v/>
      </c>
      <c r="I1094" s="242" t="str">
        <f>IF(OR(F1074="",I1073="",I1072=""),"",I1093*E1094)</f>
        <v/>
      </c>
      <c r="O1094" s="21"/>
    </row>
    <row r="1095" spans="1:15" s="26" customFormat="1" hidden="1" x14ac:dyDescent="0.25">
      <c r="A1095" s="297" t="s">
        <v>79</v>
      </c>
      <c r="B1095" s="477" t="str">
        <f>IF(F1074="Hosp","Hospital Price", "Reimbursement Price")</f>
        <v>Reimbursement Price</v>
      </c>
      <c r="C1095" s="478"/>
      <c r="D1095" s="478"/>
      <c r="E1095" s="243" t="str">
        <f>IF(F1072="Price to Wholesaler","A+B","")</f>
        <v/>
      </c>
      <c r="F1095" s="242" t="str">
        <f>IF(F1072="Reimbursement Price",F1073,IF(ISBLANK(E1094),"",IF(F1072="Price to Wholesaler",(F1093+F1094),IF(F1072="","","Error"))))</f>
        <v/>
      </c>
      <c r="G1095" s="242" t="str">
        <f>IF(G1072="Reimbursement Price",G1073,IF(ISBLANK(E1094),"",IF(G1072="Price to Wholesaler",(G1093+G1094),IF(G1072="","","Error"))))</f>
        <v/>
      </c>
      <c r="H1095" s="242" t="str">
        <f>IF(H1072="Reimbursement Price",H1073,IF(ISBLANK(E1094),"",IF(H1072="Price to Wholesaler",(H1093+H1094),IF(H1072="","","Error"))))</f>
        <v/>
      </c>
      <c r="I1095" s="242" t="str">
        <f>IF(I1072="Reimbursement Price",I1073,IF(ISBLANK(E1094),"",IF(I1072="Price to Wholesaler",(I1093+I1094),IF(I1072="","","Error"))))</f>
        <v/>
      </c>
      <c r="O1095" s="21"/>
    </row>
    <row r="1096" spans="1:15" s="26" customFormat="1" hidden="1" x14ac:dyDescent="0.25">
      <c r="A1096" s="297" t="s">
        <v>80</v>
      </c>
      <c r="B1096" s="477" t="s">
        <v>214</v>
      </c>
      <c r="C1096" s="478"/>
      <c r="D1096" s="478"/>
      <c r="E1096" s="268" t="str">
        <f>IF(OR(F1077="",AND(F1077="Yes",F1078=""),AND(F1077="No",F1079="")),"",IF(AND(F1077="No",F1079="Patented Exclusive or Off Patent Exclusive and subject to clause 10 of Framework Agreement"),MR,IF(AND(F1077="No",F1079="Off Patent Non-Exclusive or Generic"),"None",IF(AND(F1077="Yes",F1078="Biosimilar"),"None",IF(AND(F1077="Yes",F1078="Patented or Off Patent Exclusive"),MR,IF(AND(F1077="Yes",F1078="Off Patent Non-Exclusive 12.5% Rebate incorporated into Price to Wholesaler"),"None",IF(AND(F1077="Yes",F1078="Off Patent Non-Exclusive 12.5% Rebate"),MRB,"Error")))))))</f>
        <v/>
      </c>
      <c r="F1096" s="242" t="str">
        <f>IF(OR(F1077="",AND(F1077="Yes",F1078=""),AND(F1077="No",F1079=""),F1072="",ISBLANK(F1073)),"",IF(E1096="None",0,(E1096*F1093)))</f>
        <v/>
      </c>
      <c r="G1096" s="242" t="str">
        <f>IF(OR(F1077="",AND(F1077="Yes",F1078=""),AND(F1077="No",F1079=""),G1072="",ISBLANK(G1073)),"",IF(E1096="None",0,(E1096*G1093)))</f>
        <v/>
      </c>
      <c r="H1096" s="242" t="str">
        <f>IF(OR(F1077="",AND(F1077="Yes",F1078=""),AND(F1077="No",F1079=""),H1072="",ISBLANK(H1073)),"",IF(E1096="None",0,(E1096*H1093)))</f>
        <v/>
      </c>
      <c r="I1096" s="242" t="str">
        <f>IF(OR(F1077="",AND(F1077="Yes",F1078=""),AND(F1077="No",F1079=""),I1072="",ISBLANK(I1073)),"",IF(E1096="None",0,(E1096*I1093)))</f>
        <v/>
      </c>
      <c r="O1096" s="21"/>
    </row>
    <row r="1097" spans="1:15" s="26" customFormat="1" ht="15.75" hidden="1" thickBot="1" x14ac:dyDescent="0.3">
      <c r="A1097" s="298" t="s">
        <v>81</v>
      </c>
      <c r="B1097" s="479" t="s">
        <v>94</v>
      </c>
      <c r="C1097" s="480"/>
      <c r="D1097" s="480"/>
      <c r="E1097" s="160" t="str">
        <f>IF(F1076="","",IF(F1076="Yes",0,VT))</f>
        <v/>
      </c>
      <c r="F1097" s="244" t="str">
        <f>IF(OR($B1076="",F1073="",ISBLANK(F1073)),"",($E1097*F1095))</f>
        <v/>
      </c>
      <c r="G1097" s="244" t="str">
        <f t="shared" ref="G1097:I1097" si="81">IF(OR($B1076="",G1073="",ISBLANK(G1073)),"",($E1097*G1095))</f>
        <v/>
      </c>
      <c r="H1097" s="244" t="str">
        <f t="shared" si="81"/>
        <v/>
      </c>
      <c r="I1097" s="244" t="str">
        <f t="shared" si="81"/>
        <v/>
      </c>
      <c r="O1097" s="21"/>
    </row>
    <row r="1098" spans="1:15" s="26" customFormat="1" ht="15.75" hidden="1" thickBot="1" x14ac:dyDescent="0.3">
      <c r="A1098" s="299" t="s">
        <v>127</v>
      </c>
      <c r="B1098" s="481" t="s">
        <v>128</v>
      </c>
      <c r="C1098" s="481"/>
      <c r="D1098" s="481"/>
      <c r="E1098" s="299"/>
      <c r="F1098" s="245" t="str">
        <f>IF(OR(F1072="",$F1074="",$F1076="",$F1077=""),"",SUM(F1095:F1097))</f>
        <v/>
      </c>
      <c r="G1098" s="245" t="str">
        <f t="shared" ref="G1098:I1098" si="82">IF(OR(G1072="",$F1074="",$F1076="",$F1077=""),"",SUM(G1095:G1097))</f>
        <v/>
      </c>
      <c r="H1098" s="245" t="str">
        <f t="shared" si="82"/>
        <v/>
      </c>
      <c r="I1098" s="245" t="str">
        <f t="shared" si="82"/>
        <v/>
      </c>
      <c r="O1098" s="21"/>
    </row>
    <row r="1099" spans="1:15" s="26" customFormat="1" ht="15.75" hidden="1" thickBot="1" x14ac:dyDescent="0.3">
      <c r="A1099" s="299" t="s">
        <v>129</v>
      </c>
      <c r="B1099" s="482" t="s">
        <v>130</v>
      </c>
      <c r="C1099" s="482"/>
      <c r="D1099" s="482"/>
      <c r="E1099" s="245"/>
      <c r="F1099" s="245" t="str">
        <f>IF(OR(F1072="",$F1074="",$F1076="",$F1077=""),"",SUM(F1095:F1096))</f>
        <v/>
      </c>
      <c r="G1099" s="245" t="str">
        <f t="shared" ref="G1099:I1099" si="83">IF(OR(G1072="",$F1074="",$F1076="",$F1077=""),"",SUM(G1095:G1096))</f>
        <v/>
      </c>
      <c r="H1099" s="245" t="str">
        <f t="shared" si="83"/>
        <v/>
      </c>
      <c r="I1099" s="245" t="str">
        <f t="shared" si="83"/>
        <v/>
      </c>
      <c r="O1099" s="21"/>
    </row>
    <row r="1100" spans="1:15" s="26" customFormat="1" hidden="1" x14ac:dyDescent="0.25">
      <c r="B1100" s="66"/>
      <c r="C1100" s="66"/>
      <c r="D1100" s="66"/>
      <c r="E1100" s="66"/>
      <c r="K1100" s="26" t="s">
        <v>131</v>
      </c>
      <c r="O1100" s="21"/>
    </row>
    <row r="1101" spans="1:15" s="26" customFormat="1" hidden="1" x14ac:dyDescent="0.25">
      <c r="A1101" s="155" t="s">
        <v>132</v>
      </c>
      <c r="B1101" s="66"/>
      <c r="C1101" s="66"/>
      <c r="D1101" s="66"/>
      <c r="E1101" s="66"/>
      <c r="F1101" s="246"/>
      <c r="G1101" s="246"/>
      <c r="H1101" s="246"/>
      <c r="I1101" s="246"/>
      <c r="O1101" s="21"/>
    </row>
    <row r="1102" spans="1:15" s="26" customFormat="1" hidden="1" x14ac:dyDescent="0.25">
      <c r="A1102" s="125"/>
      <c r="B1102" s="125" t="s">
        <v>133</v>
      </c>
      <c r="C1102" s="125"/>
      <c r="D1102" s="125"/>
      <c r="E1102" s="125"/>
      <c r="F1102" s="125"/>
      <c r="G1102" s="125"/>
      <c r="H1102" s="125"/>
      <c r="O1102" s="21"/>
    </row>
    <row r="1103" spans="1:15" s="26" customFormat="1" hidden="1" x14ac:dyDescent="0.25">
      <c r="B1103" s="21" t="s">
        <v>134</v>
      </c>
      <c r="C1103" s="229"/>
      <c r="D1103" s="229"/>
      <c r="E1103" s="66"/>
      <c r="O1103" s="21"/>
    </row>
    <row r="1104" spans="1:15" s="26" customFormat="1" ht="15.75" hidden="1" thickBot="1" x14ac:dyDescent="0.3">
      <c r="B1104" s="165"/>
      <c r="C1104" s="229"/>
      <c r="D1104" s="229"/>
      <c r="E1104" s="66"/>
      <c r="O1104" s="21"/>
    </row>
    <row r="1105" spans="1:20" s="26" customFormat="1" ht="15.75" hidden="1" thickBot="1" x14ac:dyDescent="0.3">
      <c r="B1105" s="230"/>
      <c r="C1105" s="66"/>
      <c r="D1105" s="66"/>
      <c r="E1105" s="66"/>
      <c r="G1105" s="293" t="s">
        <v>135</v>
      </c>
      <c r="H1105" s="293" t="s">
        <v>136</v>
      </c>
      <c r="O1105" s="21"/>
    </row>
    <row r="1106" spans="1:20" s="26" customFormat="1" hidden="1" x14ac:dyDescent="0.25">
      <c r="B1106" s="483" t="s">
        <v>137</v>
      </c>
      <c r="C1106" s="484"/>
      <c r="D1106" s="484"/>
      <c r="E1106" s="484"/>
      <c r="F1106" s="485"/>
      <c r="G1106" s="247" t="str">
        <f>IF(F1074="","",IF(F1074="CDS","per dispensing",IF(F1074="HT","per month",IF(F1074="Hosp","No Fee", ERROR))))</f>
        <v/>
      </c>
      <c r="H1106" s="248" t="str">
        <f>IF(F1074="","",IF(F1074="CDS",DF,IF(F1074="HT",PC,IF(F1074="Hosp","No Fee",ERROR))))</f>
        <v/>
      </c>
      <c r="I1106" s="26" t="s">
        <v>138</v>
      </c>
      <c r="O1106" s="21"/>
    </row>
    <row r="1107" spans="1:20" s="26" customFormat="1" ht="15.75" hidden="1" thickBot="1" x14ac:dyDescent="0.3">
      <c r="B1107" s="486" t="s">
        <v>92</v>
      </c>
      <c r="C1107" s="487"/>
      <c r="D1107" s="487"/>
      <c r="E1107" s="487"/>
      <c r="F1107" s="488"/>
      <c r="G1107" s="249" t="str">
        <f>IF(OR(F1074="",F1076=""),"",IF(F1074="Hosp","No Fee",IF(F1074="HT","No VAT",IF(AND(F1074="CDS",F1076="No"),VT,"No VAT"))))</f>
        <v/>
      </c>
      <c r="H1107" s="250" t="str">
        <f>IF(OR(F1076="",F1074="Hosp"),"",IF(OR(F1076="Yes",F1074="HT"),0,H1106*G1107))</f>
        <v/>
      </c>
      <c r="O1107" s="21"/>
    </row>
    <row r="1108" spans="1:20" s="26" customFormat="1" hidden="1" x14ac:dyDescent="0.25">
      <c r="B1108" s="230"/>
      <c r="C1108" s="66"/>
      <c r="D1108" s="66"/>
      <c r="E1108" s="66"/>
      <c r="O1108" s="21"/>
    </row>
    <row r="1109" spans="1:20" s="26" customFormat="1" hidden="1" x14ac:dyDescent="0.25">
      <c r="B1109" s="230"/>
      <c r="C1109" s="66"/>
      <c r="D1109" s="66"/>
      <c r="E1109" s="66"/>
      <c r="O1109" s="21"/>
    </row>
    <row r="1110" spans="1:20" s="26" customFormat="1" ht="33.950000000000003" hidden="1" customHeight="1" thickBot="1" x14ac:dyDescent="0.3">
      <c r="A1110" s="165" t="s">
        <v>193</v>
      </c>
      <c r="B1110" s="230"/>
      <c r="C1110" s="66"/>
      <c r="D1110" s="66"/>
      <c r="E1110" s="66"/>
      <c r="K1110" s="408" t="s">
        <v>197</v>
      </c>
      <c r="L1110" s="408"/>
      <c r="M1110" s="408"/>
      <c r="N1110" s="408"/>
      <c r="O1110" s="408"/>
      <c r="P1110" s="195"/>
      <c r="Q1110" s="195"/>
      <c r="R1110" s="195"/>
      <c r="S1110" s="195"/>
      <c r="T1110" s="195"/>
    </row>
    <row r="1111" spans="1:20" s="26" customFormat="1" ht="17.100000000000001" hidden="1" customHeight="1" thickBot="1" x14ac:dyDescent="0.3">
      <c r="A1111" s="14" t="s">
        <v>194</v>
      </c>
      <c r="B1111" s="230"/>
      <c r="C1111" s="66"/>
      <c r="D1111" s="66"/>
      <c r="E1111" s="66"/>
      <c r="G1111" s="293" t="s">
        <v>101</v>
      </c>
      <c r="H1111" s="293" t="s">
        <v>136</v>
      </c>
      <c r="K1111" s="408" t="str">
        <f>IF(F1074="HT","For High tech, if a treatment cycle =28 days the corresponding pharmacy fee is =62.03*12/365.25*28.  The pharmacy fee remains the same regardless of the number of products dispensed that month.",IF(F1074="CDS","For CDS, if 2 packets of the same pack presentation are required per treatment cycle, one dispensing fee applies (€5.48). If multiple pack presentations are required, multiple dispensing fees apply",""))</f>
        <v/>
      </c>
      <c r="L1111" s="408"/>
      <c r="M1111" s="408"/>
      <c r="N1111" s="408"/>
      <c r="O1111" s="408"/>
      <c r="P1111" s="195"/>
      <c r="Q1111" s="195"/>
      <c r="R1111" s="195"/>
      <c r="S1111" s="195"/>
      <c r="T1111" s="195"/>
    </row>
    <row r="1112" spans="1:20" s="26" customFormat="1" ht="16.5" hidden="1" customHeight="1" x14ac:dyDescent="0.25">
      <c r="A1112" s="170" t="s">
        <v>139</v>
      </c>
      <c r="B1112" s="504" t="s">
        <v>140</v>
      </c>
      <c r="C1112" s="504"/>
      <c r="D1112" s="504"/>
      <c r="E1112" s="504"/>
      <c r="F1112" s="504"/>
      <c r="G1112" s="251"/>
      <c r="H1112" s="252"/>
      <c r="K1112" s="408"/>
      <c r="L1112" s="408"/>
      <c r="M1112" s="408"/>
      <c r="N1112" s="408"/>
      <c r="O1112" s="408"/>
      <c r="P1112" s="195"/>
      <c r="Q1112" s="195"/>
      <c r="R1112" s="195"/>
      <c r="S1112" s="195"/>
      <c r="T1112" s="195"/>
    </row>
    <row r="1113" spans="1:20" s="26" customFormat="1" hidden="1" x14ac:dyDescent="0.25">
      <c r="A1113" s="173" t="s">
        <v>141</v>
      </c>
      <c r="B1113" s="505" t="s">
        <v>142</v>
      </c>
      <c r="C1113" s="505"/>
      <c r="D1113" s="505"/>
      <c r="E1113" s="505"/>
      <c r="F1113" s="505"/>
      <c r="G1113" s="253"/>
      <c r="H1113" s="254"/>
      <c r="K1113" s="14" t="s">
        <v>188</v>
      </c>
      <c r="O1113" s="21"/>
    </row>
    <row r="1114" spans="1:20" s="26" customFormat="1" hidden="1" x14ac:dyDescent="0.25">
      <c r="A1114" s="173" t="s">
        <v>143</v>
      </c>
      <c r="B1114" s="505" t="s">
        <v>144</v>
      </c>
      <c r="C1114" s="505"/>
      <c r="D1114" s="505"/>
      <c r="E1114" s="505"/>
      <c r="F1114" s="505"/>
      <c r="G1114" s="253"/>
      <c r="H1114" s="254"/>
      <c r="K1114" s="14" t="s">
        <v>189</v>
      </c>
      <c r="O1114" s="21"/>
    </row>
    <row r="1115" spans="1:20" s="26" customFormat="1" hidden="1" x14ac:dyDescent="0.25">
      <c r="A1115" s="173" t="s">
        <v>145</v>
      </c>
      <c r="B1115" s="505" t="s">
        <v>146</v>
      </c>
      <c r="C1115" s="505"/>
      <c r="D1115" s="505"/>
      <c r="E1115" s="505"/>
      <c r="F1115" s="505"/>
      <c r="G1115" s="255"/>
      <c r="H1115" s="256" t="str">
        <f>IF(ISBLANK(H1112),"",SUM(H1112:H1114))</f>
        <v/>
      </c>
      <c r="O1115" s="21"/>
    </row>
    <row r="1116" spans="1:20" s="26" customFormat="1" ht="15.75" hidden="1" thickBot="1" x14ac:dyDescent="0.3">
      <c r="A1116" s="178" t="s">
        <v>147</v>
      </c>
      <c r="B1116" s="515" t="s">
        <v>196</v>
      </c>
      <c r="C1116" s="515"/>
      <c r="D1116" s="515"/>
      <c r="E1116" s="515"/>
      <c r="F1116" s="515"/>
      <c r="G1116" s="257"/>
      <c r="H1116" s="250" t="str">
        <f>IF(ISBLANK(H1112),"",SUM(H1112:H1113))</f>
        <v/>
      </c>
      <c r="O1116" s="21"/>
    </row>
    <row r="1117" spans="1:20" s="26" customFormat="1" hidden="1" x14ac:dyDescent="0.25">
      <c r="B1117" s="66"/>
      <c r="C1117" s="66"/>
      <c r="D1117" s="66"/>
      <c r="E1117" s="66"/>
      <c r="O1117" s="21"/>
    </row>
    <row r="1118" spans="1:20" s="26" customFormat="1" hidden="1" x14ac:dyDescent="0.25">
      <c r="B1118" s="66"/>
      <c r="C1118" s="66"/>
      <c r="D1118" s="66"/>
      <c r="E1118" s="66"/>
      <c r="O1118" s="21"/>
    </row>
    <row r="1119" spans="1:20" s="26" customFormat="1" hidden="1" x14ac:dyDescent="0.25">
      <c r="A1119" s="155" t="s">
        <v>148</v>
      </c>
      <c r="B1119" s="66"/>
      <c r="C1119" s="66"/>
      <c r="D1119" s="66"/>
      <c r="E1119" s="66"/>
      <c r="O1119" s="21"/>
    </row>
    <row r="1120" spans="1:20" s="26" customFormat="1" ht="15.75" hidden="1" thickBot="1" x14ac:dyDescent="0.3">
      <c r="B1120" s="66"/>
      <c r="C1120" s="66"/>
      <c r="D1120" s="66"/>
      <c r="E1120" s="66"/>
      <c r="O1120" s="21"/>
    </row>
    <row r="1121" spans="1:15" s="26" customFormat="1" ht="29.1" hidden="1" customHeight="1" x14ac:dyDescent="0.25">
      <c r="A1121" s="65"/>
      <c r="B1121" s="303"/>
      <c r="C1121" s="303"/>
      <c r="D1121" s="303"/>
      <c r="E1121" s="303"/>
      <c r="F1121" s="506" t="s">
        <v>149</v>
      </c>
      <c r="G1121" s="180" t="s">
        <v>150</v>
      </c>
      <c r="H1121" s="508" t="s">
        <v>151</v>
      </c>
      <c r="I1121" s="180" t="s">
        <v>152</v>
      </c>
      <c r="J1121" s="66"/>
      <c r="K1121" s="408" t="s">
        <v>190</v>
      </c>
      <c r="L1121" s="408"/>
      <c r="M1121" s="408"/>
      <c r="N1121" s="408"/>
      <c r="O1121" s="408"/>
    </row>
    <row r="1122" spans="1:15" s="26" customFormat="1" hidden="1" x14ac:dyDescent="0.25">
      <c r="A1122" s="65"/>
      <c r="B1122" s="303"/>
      <c r="C1122" s="303"/>
      <c r="D1122" s="303"/>
      <c r="E1122" s="303"/>
      <c r="F1122" s="507"/>
      <c r="G1122" s="253"/>
      <c r="H1122" s="509"/>
      <c r="I1122" s="182"/>
      <c r="J1122" s="66"/>
      <c r="K1122" s="408"/>
      <c r="L1122" s="408"/>
      <c r="M1122" s="408"/>
      <c r="N1122" s="408"/>
      <c r="O1122" s="408"/>
    </row>
    <row r="1123" spans="1:15" s="26" customFormat="1" ht="15.75" hidden="1" thickBot="1" x14ac:dyDescent="0.3">
      <c r="A1123" s="65"/>
      <c r="B1123" s="303"/>
      <c r="C1123" s="303"/>
      <c r="D1123" s="303"/>
      <c r="E1123" s="303"/>
      <c r="F1123" s="507"/>
      <c r="G1123" s="183" t="s">
        <v>153</v>
      </c>
      <c r="H1123" s="510"/>
      <c r="I1123" s="184"/>
      <c r="J1123" s="66"/>
      <c r="K1123" s="408"/>
      <c r="L1123" s="408"/>
      <c r="M1123" s="408"/>
      <c r="N1123" s="408"/>
      <c r="O1123" s="408"/>
    </row>
    <row r="1124" spans="1:15" s="26" customFormat="1" hidden="1" x14ac:dyDescent="0.25">
      <c r="A1124" s="247" t="s">
        <v>77</v>
      </c>
      <c r="B1124" s="463" t="str">
        <f>B1093</f>
        <v>Price to Wholesaler</v>
      </c>
      <c r="C1124" s="463"/>
      <c r="D1124" s="463"/>
      <c r="E1124" s="463"/>
      <c r="F1124" s="256">
        <f>SUMPRODUCT(F1093:I1093,F1085:I1085)</f>
        <v>0</v>
      </c>
      <c r="G1124" s="256">
        <f>F1124*G1122</f>
        <v>0</v>
      </c>
      <c r="H1124" s="256" t="str">
        <f>IF(H1083="Days",F1124/F1083*365.25,IF(H1083="Months",F1124/F1083*12,""))</f>
        <v/>
      </c>
      <c r="I1124" s="256" t="str">
        <f>IF(AND(H1083="Days",I1123="Days"),F1124/F1083*I1122,IF(AND(H1083="Months",I1123="Months"),F1124/F1083*I1122,IF(AND(H1083="Days",I1123="Months"),F1124/F1083*30.4375*I1122,IF(AND(H1083="Months",I1123="Days"),F1124/F1083/30.4375*I1122,""))))</f>
        <v/>
      </c>
      <c r="O1124" s="21"/>
    </row>
    <row r="1125" spans="1:15" s="26" customFormat="1" hidden="1" x14ac:dyDescent="0.25">
      <c r="A1125" s="255" t="s">
        <v>78</v>
      </c>
      <c r="B1125" s="464" t="str">
        <f>B1094</f>
        <v>Wholesale Mark-up</v>
      </c>
      <c r="C1125" s="464"/>
      <c r="D1125" s="464"/>
      <c r="E1125" s="464"/>
      <c r="F1125" s="256">
        <f>SUMPRODUCT(F1094:I1094,F1085:I1085)</f>
        <v>0</v>
      </c>
      <c r="G1125" s="256">
        <f>F1125*G1122</f>
        <v>0</v>
      </c>
      <c r="H1125" s="256" t="str">
        <f>IF(H1083="Days",F1125/F1083*365.25,IF(H1083="Months",F1125/F1083*12,""))</f>
        <v/>
      </c>
      <c r="I1125" s="256" t="str">
        <f>IF(AND(H1083="Days",I1123="Days"),F1125/F1083*I1122,IF(AND(H1083="Months",I1123="Months"),F1125/F1083*I1122,IF(AND(H1083="Days",I1123="Months"),F1125/F1083*30.4375*I1122,IF(AND(H1083="Months",I1123="Days"),F1125/F1083/30.4375*I1122,""))))</f>
        <v/>
      </c>
      <c r="O1125" s="21"/>
    </row>
    <row r="1126" spans="1:15" s="26" customFormat="1" hidden="1" x14ac:dyDescent="0.25">
      <c r="A1126" s="255" t="s">
        <v>79</v>
      </c>
      <c r="B1126" s="294" t="str">
        <f>B1095</f>
        <v>Reimbursement Price</v>
      </c>
      <c r="C1126" s="300"/>
      <c r="D1126" s="301"/>
      <c r="E1126" s="302"/>
      <c r="F1126" s="256">
        <f>SUMPRODUCT(F1095:I1095,F1085:I1085)</f>
        <v>0</v>
      </c>
      <c r="G1126" s="256">
        <f>F1126*G1122</f>
        <v>0</v>
      </c>
      <c r="H1126" s="256" t="str">
        <f>IF(H1083="Days",F1126/F1083*365.25,IF(H1083="Months",F1126/F1083*12,""))</f>
        <v/>
      </c>
      <c r="I1126" s="256" t="str">
        <f>IF(AND(H1083="Days",I1123="Days"),F1126/F1083*I1122,IF(AND(H1083="Months",I1123="Months"),F1126/F1083*I1122,IF(AND(H1083="Days",I1123="Months"),F1126/F1083*30.4375*I1122,IF(AND(H1083="Months",I1123="Days"),F1126/F1083/30.4375*I1122,""))))</f>
        <v/>
      </c>
      <c r="O1126" s="21"/>
    </row>
    <row r="1127" spans="1:15" s="26" customFormat="1" hidden="1" x14ac:dyDescent="0.25">
      <c r="A1127" s="255" t="s">
        <v>80</v>
      </c>
      <c r="B1127" s="495" t="str">
        <f>B1096</f>
        <v>Framework Agreement Rebate</v>
      </c>
      <c r="C1127" s="496"/>
      <c r="D1127" s="496"/>
      <c r="E1127" s="497"/>
      <c r="F1127" s="256">
        <f>SUMPRODUCT(F1096:I1096,F1085:I1085)</f>
        <v>0</v>
      </c>
      <c r="G1127" s="256">
        <f>F1127*G1122</f>
        <v>0</v>
      </c>
      <c r="H1127" s="256" t="str">
        <f>IF(H1083="Days",F1127/F1083*365.25,IF(H1083="Months",F1127/F1083*12,""))</f>
        <v/>
      </c>
      <c r="I1127" s="256" t="str">
        <f>IF(AND(H1083="Days",I1123="Days"),F1127/F1083*I1122,IF(AND(H1083="Months",I1123="Months"),F1127/F1083*I1122,IF(AND(H1083="Days",I1123="Months"),F1127/F1083*30.4375*I1122,IF(AND(H1083="Months",I1123="Days"),F1127/F1083/30.4375*I1122,""))))</f>
        <v/>
      </c>
      <c r="O1127" s="21"/>
    </row>
    <row r="1128" spans="1:15" s="26" customFormat="1" hidden="1" x14ac:dyDescent="0.25">
      <c r="A1128" s="255" t="s">
        <v>81</v>
      </c>
      <c r="B1128" s="495" t="str">
        <f>B1097</f>
        <v xml:space="preserve">VAT on Drug Cost </v>
      </c>
      <c r="C1128" s="496"/>
      <c r="D1128" s="496"/>
      <c r="E1128" s="497"/>
      <c r="F1128" s="256">
        <f>SUMPRODUCT(F1097:I1097,F1085:I1085)</f>
        <v>0</v>
      </c>
      <c r="G1128" s="256">
        <f>F1128*G1122</f>
        <v>0</v>
      </c>
      <c r="H1128" s="256" t="str">
        <f>IF(H1083="Days",F1128/F1083*365.25,IF(H1083="Months",F1128/F1083*12,""))</f>
        <v/>
      </c>
      <c r="I1128" s="256" t="str">
        <f>IF(AND(H1083="Days",I1123="Days"),F1128/F1083*I1122,IF(AND(H1083="Months",I1123="Months"),F1128/F1083*I1122,IF(AND(H1083="Days",I1123="Months"),F1128/F1083*30.4375*I1122,IF(AND(H1083="Months",I1123="Days"),F1128/F1083/30.4375*I1122,""))))</f>
        <v/>
      </c>
      <c r="O1128" s="21"/>
    </row>
    <row r="1129" spans="1:15" s="26" customFormat="1" hidden="1" x14ac:dyDescent="0.25">
      <c r="A1129" s="255" t="s">
        <v>154</v>
      </c>
      <c r="B1129" s="495" t="s">
        <v>155</v>
      </c>
      <c r="C1129" s="496"/>
      <c r="D1129" s="496"/>
      <c r="E1129" s="497"/>
      <c r="F1129" s="256" t="str">
        <f>IF(H1115="","",H1115)</f>
        <v/>
      </c>
      <c r="G1129" s="256" t="str">
        <f>IF(F1129="","",F1129*G1122)</f>
        <v/>
      </c>
      <c r="H1129" s="256" t="str">
        <f>IF(F1129="","",IF(H1083="Days",F1129/F1083*365.25,IF(H1083="Months",F1129/F1083*12,"")))</f>
        <v/>
      </c>
      <c r="I1129" s="256" t="str">
        <f>IF(F1129="","",IF(AND(H1083="Days",I1123="Days"),F1129/F1083*I1122,IF(AND(H1083="Months",I1123="Months"),F1129/F1083*I1122,IF(AND(H1083="Days",I1123="Months"),F1129/F1083*30.4375*I1122,IF(AND(H1083="Months",I1123="Days"),F1129/F1083/30.4375*I1122,"")))))</f>
        <v/>
      </c>
      <c r="O1129" s="21"/>
    </row>
    <row r="1130" spans="1:15" s="26" customFormat="1" hidden="1" x14ac:dyDescent="0.25">
      <c r="A1130" s="255" t="s">
        <v>156</v>
      </c>
      <c r="B1130" s="495" t="s">
        <v>157</v>
      </c>
      <c r="C1130" s="496"/>
      <c r="D1130" s="496"/>
      <c r="E1130" s="497"/>
      <c r="F1130" s="256" t="str">
        <f>IF(H1116="","",H1116)</f>
        <v/>
      </c>
      <c r="G1130" s="256" t="str">
        <f>IF(F1130="","",F1130*G1122)</f>
        <v/>
      </c>
      <c r="H1130" s="256" t="str">
        <f>IF(F1130="","",IF(H1083="Days",F1130/F1083*365.25,IF(H1083="Months",F1130/F1083*12,"")))</f>
        <v/>
      </c>
      <c r="I1130" s="256" t="str">
        <f>IF(F1130="","",IF(AND(H1083="Days",I1123="Days"),F1130/F1083*I1122,IF(AND(H1083="Months",I1123="Months"),F1130/F1083*I1122,IF(AND(H1083="Days",I1123="Months"),F1130/F1083*30.4375*I1122,IF(AND(H1083="Months",I1123="Days"),F1130/F1083/30.4375*I1122,"")))))</f>
        <v/>
      </c>
      <c r="O1130" s="21"/>
    </row>
    <row r="1131" spans="1:15" s="155" customFormat="1" hidden="1" x14ac:dyDescent="0.25">
      <c r="A1131" s="186" t="s">
        <v>158</v>
      </c>
      <c r="B1131" s="498" t="s">
        <v>159</v>
      </c>
      <c r="C1131" s="499"/>
      <c r="D1131" s="499"/>
      <c r="E1131" s="500"/>
      <c r="F1131" s="187">
        <f>SUM(F1126:F1129)</f>
        <v>0</v>
      </c>
      <c r="G1131" s="187">
        <f t="shared" ref="G1131:I1131" si="84">SUM(G1126:G1129)</f>
        <v>0</v>
      </c>
      <c r="H1131" s="187">
        <f t="shared" si="84"/>
        <v>0</v>
      </c>
      <c r="I1131" s="187">
        <f t="shared" si="84"/>
        <v>0</v>
      </c>
      <c r="K1131" s="98" t="s">
        <v>191</v>
      </c>
      <c r="O1131" s="189"/>
    </row>
    <row r="1132" spans="1:15" s="26" customFormat="1" ht="15.75" hidden="1" thickBot="1" x14ac:dyDescent="0.3">
      <c r="A1132" s="257" t="s">
        <v>160</v>
      </c>
      <c r="B1132" s="501" t="s">
        <v>161</v>
      </c>
      <c r="C1132" s="502"/>
      <c r="D1132" s="502"/>
      <c r="E1132" s="503"/>
      <c r="F1132" s="250">
        <f>IF(F1130="",SUM(F1126+F1127),F1126+F1127+F1130)</f>
        <v>0</v>
      </c>
      <c r="G1132" s="250">
        <f t="shared" ref="G1132" si="85">IF(G1130="",SUM(G1126+G1127),G1126+G1127+G1130)</f>
        <v>0</v>
      </c>
      <c r="H1132" s="250" t="e">
        <f>IF(H1130="",SUM(H1126+H1127),H1126+H1127+H1130)</f>
        <v>#VALUE!</v>
      </c>
      <c r="I1132" s="250" t="e">
        <f t="shared" ref="I1132" si="86">IF(I1130="",SUM(I1126+I1127),I1126+I1127+I1130)</f>
        <v>#VALUE!</v>
      </c>
      <c r="K1132" s="14" t="s">
        <v>192</v>
      </c>
      <c r="O1132" s="21"/>
    </row>
    <row r="1133" spans="1:15" s="26" customFormat="1" hidden="1" x14ac:dyDescent="0.25">
      <c r="B1133" s="229"/>
      <c r="C1133" s="66"/>
      <c r="D1133" s="66"/>
      <c r="E1133" s="66"/>
      <c r="O1133" s="21"/>
    </row>
    <row r="1134" spans="1:15" s="26" customFormat="1" hidden="1" x14ac:dyDescent="0.25"/>
    <row r="1135" spans="1:15" s="26" customFormat="1" hidden="1" x14ac:dyDescent="0.25">
      <c r="B1135" s="308" t="s">
        <v>101</v>
      </c>
      <c r="C1135" s="308"/>
      <c r="D1135" s="308"/>
      <c r="E1135" s="308"/>
    </row>
    <row r="1136" spans="1:15" s="26" customFormat="1" ht="15.75" hidden="1" customHeight="1" x14ac:dyDescent="0.25"/>
    <row r="1137" spans="2:19" s="26" customFormat="1" hidden="1" x14ac:dyDescent="0.25">
      <c r="B1137" s="234"/>
      <c r="C1137" s="234"/>
      <c r="D1137" s="234"/>
      <c r="E1137" s="234"/>
      <c r="F1137" s="234"/>
      <c r="G1137" s="234"/>
      <c r="H1137" s="234"/>
      <c r="I1137" s="234"/>
      <c r="J1137" s="234"/>
      <c r="K1137" s="234"/>
      <c r="L1137" s="234"/>
      <c r="M1137" s="234"/>
      <c r="N1137" s="234"/>
      <c r="O1137" s="234"/>
      <c r="P1137" s="234"/>
      <c r="Q1137" s="234"/>
      <c r="R1137" s="234"/>
      <c r="S1137" s="234"/>
    </row>
    <row r="1138" spans="2:19" s="26" customFormat="1" hidden="1" x14ac:dyDescent="0.25">
      <c r="B1138" s="234"/>
      <c r="C1138" s="234"/>
      <c r="D1138" s="234"/>
      <c r="E1138" s="234"/>
      <c r="F1138" s="234"/>
      <c r="G1138" s="234"/>
      <c r="H1138" s="234"/>
      <c r="I1138" s="234"/>
      <c r="J1138" s="234"/>
      <c r="K1138" s="234"/>
      <c r="L1138" s="234"/>
      <c r="M1138" s="234"/>
      <c r="N1138" s="234"/>
      <c r="O1138" s="234"/>
      <c r="P1138" s="234"/>
      <c r="Q1138" s="234"/>
      <c r="R1138" s="234"/>
      <c r="S1138" s="234"/>
    </row>
    <row r="1139" spans="2:19" s="26" customFormat="1" hidden="1" x14ac:dyDescent="0.25">
      <c r="B1139" s="234"/>
      <c r="C1139" s="234"/>
      <c r="D1139" s="234"/>
      <c r="E1139" s="234"/>
      <c r="F1139" s="234"/>
      <c r="G1139" s="234"/>
      <c r="H1139" s="234"/>
      <c r="I1139" s="234"/>
      <c r="J1139" s="234"/>
      <c r="K1139" s="234"/>
      <c r="L1139" s="234"/>
      <c r="M1139" s="234"/>
      <c r="N1139" s="234"/>
      <c r="O1139" s="234"/>
      <c r="P1139" s="234"/>
      <c r="Q1139" s="234"/>
      <c r="R1139" s="234"/>
      <c r="S1139" s="234"/>
    </row>
    <row r="1140" spans="2:19" s="26" customFormat="1" hidden="1" x14ac:dyDescent="0.25">
      <c r="B1140" s="234"/>
      <c r="C1140" s="234"/>
      <c r="D1140" s="234"/>
      <c r="E1140" s="234"/>
      <c r="F1140" s="234"/>
      <c r="G1140" s="234"/>
      <c r="H1140" s="234"/>
      <c r="I1140" s="234"/>
      <c r="J1140" s="234"/>
      <c r="K1140" s="234"/>
      <c r="L1140" s="234"/>
      <c r="M1140" s="234"/>
      <c r="N1140" s="234"/>
      <c r="O1140" s="234"/>
      <c r="P1140" s="234"/>
      <c r="Q1140" s="234"/>
      <c r="R1140" s="234"/>
      <c r="S1140" s="234"/>
    </row>
    <row r="1141" spans="2:19" s="26" customFormat="1" hidden="1" x14ac:dyDescent="0.25">
      <c r="B1141" s="234"/>
      <c r="C1141" s="234"/>
      <c r="D1141" s="234"/>
      <c r="E1141" s="234"/>
      <c r="F1141" s="234"/>
      <c r="G1141" s="234"/>
      <c r="H1141" s="234"/>
      <c r="I1141" s="234"/>
      <c r="J1141" s="234"/>
      <c r="K1141" s="234"/>
      <c r="L1141" s="234"/>
      <c r="M1141" s="234"/>
      <c r="N1141" s="234"/>
      <c r="O1141" s="234"/>
      <c r="P1141" s="234"/>
      <c r="Q1141" s="234"/>
      <c r="R1141" s="234"/>
      <c r="S1141" s="234"/>
    </row>
    <row r="1142" spans="2:19" s="26" customFormat="1" hidden="1" x14ac:dyDescent="0.25">
      <c r="B1142" s="234"/>
      <c r="C1142" s="234"/>
      <c r="D1142" s="234"/>
      <c r="E1142" s="234"/>
      <c r="F1142" s="234"/>
      <c r="G1142" s="234"/>
      <c r="H1142" s="234"/>
      <c r="I1142" s="234"/>
      <c r="J1142" s="234"/>
      <c r="K1142" s="234"/>
      <c r="L1142" s="234"/>
      <c r="M1142" s="234"/>
      <c r="N1142" s="234"/>
      <c r="O1142" s="234"/>
      <c r="P1142" s="234"/>
      <c r="Q1142" s="234"/>
      <c r="R1142" s="234"/>
      <c r="S1142" s="234"/>
    </row>
    <row r="1143" spans="2:19" s="26" customFormat="1" hidden="1" x14ac:dyDescent="0.25">
      <c r="B1143" s="234"/>
      <c r="C1143" s="234"/>
      <c r="D1143" s="234"/>
      <c r="E1143" s="234"/>
      <c r="F1143" s="234"/>
      <c r="G1143" s="234"/>
      <c r="H1143" s="234"/>
      <c r="I1143" s="234"/>
      <c r="J1143" s="234"/>
      <c r="K1143" s="234"/>
      <c r="L1143" s="234"/>
      <c r="M1143" s="234"/>
      <c r="N1143" s="234"/>
      <c r="O1143" s="234"/>
      <c r="P1143" s="234"/>
      <c r="Q1143" s="234"/>
      <c r="R1143" s="234"/>
      <c r="S1143" s="234"/>
    </row>
    <row r="1144" spans="2:19" s="26" customFormat="1" hidden="1" x14ac:dyDescent="0.25">
      <c r="B1144" s="234"/>
      <c r="C1144" s="234"/>
      <c r="D1144" s="234"/>
      <c r="E1144" s="234"/>
      <c r="F1144" s="234"/>
      <c r="G1144" s="234"/>
      <c r="H1144" s="234"/>
      <c r="I1144" s="234"/>
      <c r="J1144" s="234"/>
      <c r="K1144" s="234"/>
      <c r="L1144" s="234"/>
      <c r="M1144" s="234"/>
      <c r="N1144" s="234"/>
      <c r="O1144" s="234"/>
      <c r="P1144" s="234"/>
      <c r="Q1144" s="234"/>
      <c r="R1144" s="234"/>
      <c r="S1144" s="234"/>
    </row>
    <row r="1145" spans="2:19" s="26" customFormat="1" hidden="1" x14ac:dyDescent="0.25">
      <c r="B1145" s="234"/>
      <c r="C1145" s="234"/>
      <c r="D1145" s="234"/>
      <c r="E1145" s="234"/>
      <c r="F1145" s="234"/>
      <c r="G1145" s="234"/>
      <c r="H1145" s="234"/>
      <c r="I1145" s="234"/>
      <c r="J1145" s="234"/>
      <c r="K1145" s="234"/>
      <c r="L1145" s="234"/>
      <c r="M1145" s="234"/>
      <c r="N1145" s="234"/>
      <c r="O1145" s="234"/>
      <c r="P1145" s="234"/>
      <c r="Q1145" s="234"/>
      <c r="R1145" s="234"/>
      <c r="S1145" s="234"/>
    </row>
    <row r="1146" spans="2:19" s="26" customFormat="1" hidden="1" x14ac:dyDescent="0.25">
      <c r="B1146" s="234"/>
      <c r="C1146" s="234"/>
      <c r="D1146" s="234"/>
      <c r="E1146" s="234"/>
      <c r="F1146" s="234"/>
      <c r="G1146" s="234"/>
      <c r="H1146" s="234"/>
      <c r="I1146" s="234"/>
      <c r="J1146" s="234"/>
      <c r="K1146" s="234"/>
      <c r="L1146" s="234"/>
      <c r="M1146" s="234"/>
      <c r="N1146" s="234"/>
      <c r="O1146" s="234"/>
      <c r="P1146" s="234"/>
      <c r="Q1146" s="234"/>
      <c r="R1146" s="234"/>
      <c r="S1146" s="234"/>
    </row>
    <row r="1147" spans="2:19" hidden="1" x14ac:dyDescent="0.25"/>
    <row r="1148" spans="2:19" hidden="1" x14ac:dyDescent="0.25"/>
    <row r="1149" spans="2:19" hidden="1" x14ac:dyDescent="0.25"/>
    <row r="1150" spans="2:19" hidden="1" x14ac:dyDescent="0.25"/>
    <row r="1151" spans="2:19" hidden="1" x14ac:dyDescent="0.25"/>
    <row r="1152" spans="2:19" hidden="1" x14ac:dyDescent="0.25"/>
    <row r="1153" hidden="1" x14ac:dyDescent="0.25"/>
    <row r="1154" hidden="1" x14ac:dyDescent="0.25"/>
    <row r="1155" hidden="1" x14ac:dyDescent="0.25"/>
    <row r="1156" hidden="1" x14ac:dyDescent="0.25"/>
    <row r="1157" hidden="1" x14ac:dyDescent="0.25"/>
    <row r="1158" hidden="1" x14ac:dyDescent="0.25"/>
    <row r="1159" hidden="1" x14ac:dyDescent="0.25"/>
  </sheetData>
  <mergeCells count="784">
    <mergeCell ref="B32:D32"/>
    <mergeCell ref="B33:D33"/>
    <mergeCell ref="B34:D34"/>
    <mergeCell ref="B35:D35"/>
    <mergeCell ref="B36:D36"/>
    <mergeCell ref="B37:D37"/>
    <mergeCell ref="B17:I23"/>
    <mergeCell ref="K19:N19"/>
    <mergeCell ref="B28:D28"/>
    <mergeCell ref="B29:D29"/>
    <mergeCell ref="B30:D30"/>
    <mergeCell ref="B31:D31"/>
    <mergeCell ref="K50:O50"/>
    <mergeCell ref="B51:E51"/>
    <mergeCell ref="B52:E52"/>
    <mergeCell ref="F52:I52"/>
    <mergeCell ref="B38:D38"/>
    <mergeCell ref="B39:D39"/>
    <mergeCell ref="B40:D40"/>
    <mergeCell ref="B43:G43"/>
    <mergeCell ref="K46:O47"/>
    <mergeCell ref="B47:I47"/>
    <mergeCell ref="B53:E53"/>
    <mergeCell ref="F53:I53"/>
    <mergeCell ref="B54:E54"/>
    <mergeCell ref="F54:I54"/>
    <mergeCell ref="B55:E55"/>
    <mergeCell ref="F55:I55"/>
    <mergeCell ref="F48:I48"/>
    <mergeCell ref="B49:E49"/>
    <mergeCell ref="B50:E50"/>
    <mergeCell ref="B62:E62"/>
    <mergeCell ref="F62:G62"/>
    <mergeCell ref="H62:I62"/>
    <mergeCell ref="K62:O63"/>
    <mergeCell ref="B63:E63"/>
    <mergeCell ref="B64:E64"/>
    <mergeCell ref="K64:O66"/>
    <mergeCell ref="B66:E66"/>
    <mergeCell ref="B56:E56"/>
    <mergeCell ref="F56:I56"/>
    <mergeCell ref="B57:E57"/>
    <mergeCell ref="F57:I57"/>
    <mergeCell ref="K60:O61"/>
    <mergeCell ref="B61:I61"/>
    <mergeCell ref="B58:E58"/>
    <mergeCell ref="F58:I58"/>
    <mergeCell ref="B77:D77"/>
    <mergeCell ref="B78:D78"/>
    <mergeCell ref="B79:D79"/>
    <mergeCell ref="B86:F86"/>
    <mergeCell ref="B87:F87"/>
    <mergeCell ref="K90:O90"/>
    <mergeCell ref="F68:I68"/>
    <mergeCell ref="F70:I70"/>
    <mergeCell ref="B72:D72"/>
    <mergeCell ref="B73:D73"/>
    <mergeCell ref="B74:D74"/>
    <mergeCell ref="B75:D75"/>
    <mergeCell ref="F101:F103"/>
    <mergeCell ref="H101:H103"/>
    <mergeCell ref="K101:O103"/>
    <mergeCell ref="B104:E104"/>
    <mergeCell ref="B105:E105"/>
    <mergeCell ref="B107:E107"/>
    <mergeCell ref="K91:O92"/>
    <mergeCell ref="B92:F92"/>
    <mergeCell ref="B93:F93"/>
    <mergeCell ref="B94:F94"/>
    <mergeCell ref="B95:F95"/>
    <mergeCell ref="B96:F96"/>
    <mergeCell ref="K131:O132"/>
    <mergeCell ref="B132:I132"/>
    <mergeCell ref="F133:I133"/>
    <mergeCell ref="B134:E134"/>
    <mergeCell ref="B135:E135"/>
    <mergeCell ref="K135:O135"/>
    <mergeCell ref="B109:E109"/>
    <mergeCell ref="B110:E110"/>
    <mergeCell ref="B111:E111"/>
    <mergeCell ref="B112:E112"/>
    <mergeCell ref="B113:E113"/>
    <mergeCell ref="B128:G128"/>
    <mergeCell ref="B140:E140"/>
    <mergeCell ref="F140:I140"/>
    <mergeCell ref="B141:E141"/>
    <mergeCell ref="F141:I141"/>
    <mergeCell ref="B142:E142"/>
    <mergeCell ref="F142:I142"/>
    <mergeCell ref="B136:E136"/>
    <mergeCell ref="B137:E137"/>
    <mergeCell ref="F137:I137"/>
    <mergeCell ref="B138:E138"/>
    <mergeCell ref="F138:I138"/>
    <mergeCell ref="B139:E139"/>
    <mergeCell ref="F139:I139"/>
    <mergeCell ref="B148:E148"/>
    <mergeCell ref="K148:O150"/>
    <mergeCell ref="B150:E150"/>
    <mergeCell ref="F152:I152"/>
    <mergeCell ref="F154:I154"/>
    <mergeCell ref="B156:D156"/>
    <mergeCell ref="K144:O145"/>
    <mergeCell ref="B145:I145"/>
    <mergeCell ref="B146:E146"/>
    <mergeCell ref="F146:G146"/>
    <mergeCell ref="H146:I146"/>
    <mergeCell ref="K146:O147"/>
    <mergeCell ref="B147:E147"/>
    <mergeCell ref="H184:H186"/>
    <mergeCell ref="K184:O186"/>
    <mergeCell ref="B169:F169"/>
    <mergeCell ref="B170:F170"/>
    <mergeCell ref="K173:O173"/>
    <mergeCell ref="K174:O175"/>
    <mergeCell ref="B175:F175"/>
    <mergeCell ref="B176:F176"/>
    <mergeCell ref="B157:D157"/>
    <mergeCell ref="B158:D158"/>
    <mergeCell ref="B159:D159"/>
    <mergeCell ref="B160:D160"/>
    <mergeCell ref="B161:D161"/>
    <mergeCell ref="B162:D162"/>
    <mergeCell ref="B187:E187"/>
    <mergeCell ref="B188:E188"/>
    <mergeCell ref="B190:E190"/>
    <mergeCell ref="B191:E191"/>
    <mergeCell ref="B192:E192"/>
    <mergeCell ref="B193:E193"/>
    <mergeCell ref="B177:F177"/>
    <mergeCell ref="B178:F178"/>
    <mergeCell ref="B179:F179"/>
    <mergeCell ref="F184:F186"/>
    <mergeCell ref="K220:O220"/>
    <mergeCell ref="B221:E221"/>
    <mergeCell ref="B222:E222"/>
    <mergeCell ref="F222:I222"/>
    <mergeCell ref="B194:E194"/>
    <mergeCell ref="B195:E195"/>
    <mergeCell ref="B213:G213"/>
    <mergeCell ref="K216:O217"/>
    <mergeCell ref="B217:I217"/>
    <mergeCell ref="B223:E223"/>
    <mergeCell ref="F223:I223"/>
    <mergeCell ref="B224:E224"/>
    <mergeCell ref="F224:I224"/>
    <mergeCell ref="B225:E225"/>
    <mergeCell ref="F225:I225"/>
    <mergeCell ref="F218:I218"/>
    <mergeCell ref="B219:E219"/>
    <mergeCell ref="B220:E220"/>
    <mergeCell ref="B231:E231"/>
    <mergeCell ref="F231:G231"/>
    <mergeCell ref="H231:I231"/>
    <mergeCell ref="K231:O232"/>
    <mergeCell ref="B232:E232"/>
    <mergeCell ref="B233:E233"/>
    <mergeCell ref="K233:O235"/>
    <mergeCell ref="B235:E235"/>
    <mergeCell ref="B226:E226"/>
    <mergeCell ref="F226:I226"/>
    <mergeCell ref="B227:E227"/>
    <mergeCell ref="F227:I227"/>
    <mergeCell ref="K229:O230"/>
    <mergeCell ref="B230:I230"/>
    <mergeCell ref="B245:D245"/>
    <mergeCell ref="B246:D246"/>
    <mergeCell ref="B247:D247"/>
    <mergeCell ref="B254:F254"/>
    <mergeCell ref="B255:F255"/>
    <mergeCell ref="K258:O258"/>
    <mergeCell ref="F237:I237"/>
    <mergeCell ref="F239:I239"/>
    <mergeCell ref="B241:D241"/>
    <mergeCell ref="B242:D242"/>
    <mergeCell ref="B243:D243"/>
    <mergeCell ref="B244:D244"/>
    <mergeCell ref="F269:F271"/>
    <mergeCell ref="H269:H271"/>
    <mergeCell ref="K269:O271"/>
    <mergeCell ref="B272:E272"/>
    <mergeCell ref="B273:E273"/>
    <mergeCell ref="B275:E275"/>
    <mergeCell ref="K259:O260"/>
    <mergeCell ref="B260:F260"/>
    <mergeCell ref="B261:F261"/>
    <mergeCell ref="B262:F262"/>
    <mergeCell ref="B263:F263"/>
    <mergeCell ref="B264:F264"/>
    <mergeCell ref="K302:O303"/>
    <mergeCell ref="B303:I303"/>
    <mergeCell ref="F304:I304"/>
    <mergeCell ref="B305:E305"/>
    <mergeCell ref="B306:E306"/>
    <mergeCell ref="K306:O306"/>
    <mergeCell ref="B276:E276"/>
    <mergeCell ref="B277:E277"/>
    <mergeCell ref="B278:E278"/>
    <mergeCell ref="B279:E279"/>
    <mergeCell ref="B280:E280"/>
    <mergeCell ref="B299:G299"/>
    <mergeCell ref="B311:E311"/>
    <mergeCell ref="F311:I311"/>
    <mergeCell ref="B312:E312"/>
    <mergeCell ref="F312:I312"/>
    <mergeCell ref="B313:E313"/>
    <mergeCell ref="F313:I313"/>
    <mergeCell ref="B307:E307"/>
    <mergeCell ref="B308:E308"/>
    <mergeCell ref="F308:I308"/>
    <mergeCell ref="B309:E309"/>
    <mergeCell ref="F309:I309"/>
    <mergeCell ref="B310:E310"/>
    <mergeCell ref="F310:I310"/>
    <mergeCell ref="B319:E319"/>
    <mergeCell ref="K319:O321"/>
    <mergeCell ref="B321:E321"/>
    <mergeCell ref="F323:I323"/>
    <mergeCell ref="F325:I325"/>
    <mergeCell ref="B327:D327"/>
    <mergeCell ref="K315:O316"/>
    <mergeCell ref="B316:I316"/>
    <mergeCell ref="B317:E317"/>
    <mergeCell ref="F317:G317"/>
    <mergeCell ref="H317:I317"/>
    <mergeCell ref="K317:O318"/>
    <mergeCell ref="B318:E318"/>
    <mergeCell ref="H355:H357"/>
    <mergeCell ref="K355:O357"/>
    <mergeCell ref="B340:F340"/>
    <mergeCell ref="B341:F341"/>
    <mergeCell ref="K344:O344"/>
    <mergeCell ref="K345:O346"/>
    <mergeCell ref="B346:F346"/>
    <mergeCell ref="B347:F347"/>
    <mergeCell ref="B328:D328"/>
    <mergeCell ref="B329:D329"/>
    <mergeCell ref="B330:D330"/>
    <mergeCell ref="B331:D331"/>
    <mergeCell ref="B332:D332"/>
    <mergeCell ref="B333:D333"/>
    <mergeCell ref="B358:E358"/>
    <mergeCell ref="B359:E359"/>
    <mergeCell ref="B361:E361"/>
    <mergeCell ref="B362:E362"/>
    <mergeCell ref="B363:E363"/>
    <mergeCell ref="B364:E364"/>
    <mergeCell ref="B348:F348"/>
    <mergeCell ref="B349:F349"/>
    <mergeCell ref="B350:F350"/>
    <mergeCell ref="F355:F357"/>
    <mergeCell ref="K391:O391"/>
    <mergeCell ref="B392:E392"/>
    <mergeCell ref="B393:E393"/>
    <mergeCell ref="F393:I393"/>
    <mergeCell ref="B365:E365"/>
    <mergeCell ref="B366:E366"/>
    <mergeCell ref="B384:G384"/>
    <mergeCell ref="K387:O388"/>
    <mergeCell ref="B388:I388"/>
    <mergeCell ref="B394:E394"/>
    <mergeCell ref="F394:I394"/>
    <mergeCell ref="B395:E395"/>
    <mergeCell ref="F395:I395"/>
    <mergeCell ref="B396:E396"/>
    <mergeCell ref="F396:I396"/>
    <mergeCell ref="F389:I389"/>
    <mergeCell ref="B390:E390"/>
    <mergeCell ref="B391:E391"/>
    <mergeCell ref="B402:E402"/>
    <mergeCell ref="F402:G402"/>
    <mergeCell ref="H402:I402"/>
    <mergeCell ref="K402:O403"/>
    <mergeCell ref="B403:E403"/>
    <mergeCell ref="B404:E404"/>
    <mergeCell ref="K404:O406"/>
    <mergeCell ref="B406:E406"/>
    <mergeCell ref="B397:E397"/>
    <mergeCell ref="F397:I397"/>
    <mergeCell ref="B398:E398"/>
    <mergeCell ref="F398:I398"/>
    <mergeCell ref="K400:O401"/>
    <mergeCell ref="B401:I401"/>
    <mergeCell ref="B416:D416"/>
    <mergeCell ref="B417:D417"/>
    <mergeCell ref="B418:D418"/>
    <mergeCell ref="B425:F425"/>
    <mergeCell ref="B426:F426"/>
    <mergeCell ref="K429:O429"/>
    <mergeCell ref="F408:I408"/>
    <mergeCell ref="F410:I410"/>
    <mergeCell ref="B412:D412"/>
    <mergeCell ref="B413:D413"/>
    <mergeCell ref="B414:D414"/>
    <mergeCell ref="B415:D415"/>
    <mergeCell ref="F440:F442"/>
    <mergeCell ref="H440:H442"/>
    <mergeCell ref="K440:O442"/>
    <mergeCell ref="B443:E443"/>
    <mergeCell ref="B444:E444"/>
    <mergeCell ref="B446:E446"/>
    <mergeCell ref="K430:O431"/>
    <mergeCell ref="B431:F431"/>
    <mergeCell ref="B432:F432"/>
    <mergeCell ref="B433:F433"/>
    <mergeCell ref="B434:F434"/>
    <mergeCell ref="B435:F435"/>
    <mergeCell ref="K473:O474"/>
    <mergeCell ref="B474:I474"/>
    <mergeCell ref="F475:I475"/>
    <mergeCell ref="B476:E476"/>
    <mergeCell ref="B477:E477"/>
    <mergeCell ref="K477:O477"/>
    <mergeCell ref="B447:E447"/>
    <mergeCell ref="B448:E448"/>
    <mergeCell ref="B449:E449"/>
    <mergeCell ref="B450:E450"/>
    <mergeCell ref="B451:E451"/>
    <mergeCell ref="B470:G470"/>
    <mergeCell ref="B482:E482"/>
    <mergeCell ref="F482:I482"/>
    <mergeCell ref="B483:E483"/>
    <mergeCell ref="F483:I483"/>
    <mergeCell ref="B484:E484"/>
    <mergeCell ref="F484:I484"/>
    <mergeCell ref="B478:E478"/>
    <mergeCell ref="B479:E479"/>
    <mergeCell ref="F479:I479"/>
    <mergeCell ref="B480:E480"/>
    <mergeCell ref="F480:I480"/>
    <mergeCell ref="B481:E481"/>
    <mergeCell ref="F481:I481"/>
    <mergeCell ref="B490:E490"/>
    <mergeCell ref="K490:O492"/>
    <mergeCell ref="B492:E492"/>
    <mergeCell ref="F494:I494"/>
    <mergeCell ref="F496:I496"/>
    <mergeCell ref="B498:D498"/>
    <mergeCell ref="K486:O487"/>
    <mergeCell ref="B487:I487"/>
    <mergeCell ref="B488:E488"/>
    <mergeCell ref="F488:G488"/>
    <mergeCell ref="H488:I488"/>
    <mergeCell ref="K488:O489"/>
    <mergeCell ref="B489:E489"/>
    <mergeCell ref="H526:H528"/>
    <mergeCell ref="K526:O528"/>
    <mergeCell ref="B511:F511"/>
    <mergeCell ref="B512:F512"/>
    <mergeCell ref="K515:O515"/>
    <mergeCell ref="K516:O517"/>
    <mergeCell ref="B517:F517"/>
    <mergeCell ref="B518:F518"/>
    <mergeCell ref="B499:D499"/>
    <mergeCell ref="B500:D500"/>
    <mergeCell ref="B501:D501"/>
    <mergeCell ref="B502:D502"/>
    <mergeCell ref="B503:D503"/>
    <mergeCell ref="B504:D504"/>
    <mergeCell ref="B529:E529"/>
    <mergeCell ref="B530:E530"/>
    <mergeCell ref="B532:E532"/>
    <mergeCell ref="B533:E533"/>
    <mergeCell ref="B534:E534"/>
    <mergeCell ref="B535:E535"/>
    <mergeCell ref="B519:F519"/>
    <mergeCell ref="B520:F520"/>
    <mergeCell ref="B521:F521"/>
    <mergeCell ref="F526:F528"/>
    <mergeCell ref="K562:O562"/>
    <mergeCell ref="B563:E563"/>
    <mergeCell ref="B564:E564"/>
    <mergeCell ref="F564:I564"/>
    <mergeCell ref="B536:E536"/>
    <mergeCell ref="B537:E537"/>
    <mergeCell ref="B555:G555"/>
    <mergeCell ref="K558:O559"/>
    <mergeCell ref="B559:I559"/>
    <mergeCell ref="B565:E565"/>
    <mergeCell ref="F565:I565"/>
    <mergeCell ref="B566:E566"/>
    <mergeCell ref="F566:I566"/>
    <mergeCell ref="B567:E567"/>
    <mergeCell ref="F567:I567"/>
    <mergeCell ref="F560:I560"/>
    <mergeCell ref="B561:E561"/>
    <mergeCell ref="B562:E562"/>
    <mergeCell ref="B573:E573"/>
    <mergeCell ref="F573:G573"/>
    <mergeCell ref="H573:I573"/>
    <mergeCell ref="K573:O574"/>
    <mergeCell ref="B574:E574"/>
    <mergeCell ref="B575:E575"/>
    <mergeCell ref="K575:O577"/>
    <mergeCell ref="B577:E577"/>
    <mergeCell ref="B568:E568"/>
    <mergeCell ref="F568:I568"/>
    <mergeCell ref="B569:E569"/>
    <mergeCell ref="F569:I569"/>
    <mergeCell ref="K571:O572"/>
    <mergeCell ref="B572:I572"/>
    <mergeCell ref="B587:D587"/>
    <mergeCell ref="B588:D588"/>
    <mergeCell ref="B589:D589"/>
    <mergeCell ref="B596:F596"/>
    <mergeCell ref="B597:F597"/>
    <mergeCell ref="K600:O600"/>
    <mergeCell ref="F579:I579"/>
    <mergeCell ref="F581:I581"/>
    <mergeCell ref="B583:D583"/>
    <mergeCell ref="B584:D584"/>
    <mergeCell ref="B585:D585"/>
    <mergeCell ref="B586:D586"/>
    <mergeCell ref="F611:F613"/>
    <mergeCell ref="H611:H613"/>
    <mergeCell ref="K611:O613"/>
    <mergeCell ref="B614:E614"/>
    <mergeCell ref="B615:E615"/>
    <mergeCell ref="B617:E617"/>
    <mergeCell ref="K601:O602"/>
    <mergeCell ref="B602:F602"/>
    <mergeCell ref="B603:F603"/>
    <mergeCell ref="B604:F604"/>
    <mergeCell ref="B605:F605"/>
    <mergeCell ref="B606:F606"/>
    <mergeCell ref="K643:O644"/>
    <mergeCell ref="B644:I644"/>
    <mergeCell ref="F645:I645"/>
    <mergeCell ref="B646:E646"/>
    <mergeCell ref="B647:E647"/>
    <mergeCell ref="K647:O647"/>
    <mergeCell ref="B618:E618"/>
    <mergeCell ref="B619:E619"/>
    <mergeCell ref="B620:E620"/>
    <mergeCell ref="B621:E621"/>
    <mergeCell ref="B622:E622"/>
    <mergeCell ref="B640:G640"/>
    <mergeCell ref="B652:E652"/>
    <mergeCell ref="F652:I652"/>
    <mergeCell ref="B653:E653"/>
    <mergeCell ref="F653:I653"/>
    <mergeCell ref="B654:E654"/>
    <mergeCell ref="F654:I654"/>
    <mergeCell ref="B648:E648"/>
    <mergeCell ref="B649:E649"/>
    <mergeCell ref="F649:I649"/>
    <mergeCell ref="B650:E650"/>
    <mergeCell ref="F650:I650"/>
    <mergeCell ref="B651:E651"/>
    <mergeCell ref="F651:I651"/>
    <mergeCell ref="B660:E660"/>
    <mergeCell ref="K660:O662"/>
    <mergeCell ref="B662:E662"/>
    <mergeCell ref="F664:I664"/>
    <mergeCell ref="F666:I666"/>
    <mergeCell ref="B668:D668"/>
    <mergeCell ref="K656:O657"/>
    <mergeCell ref="B657:I657"/>
    <mergeCell ref="B658:E658"/>
    <mergeCell ref="F658:G658"/>
    <mergeCell ref="H658:I658"/>
    <mergeCell ref="K658:O659"/>
    <mergeCell ref="B659:E659"/>
    <mergeCell ref="H696:H698"/>
    <mergeCell ref="K696:O698"/>
    <mergeCell ref="B681:F681"/>
    <mergeCell ref="B682:F682"/>
    <mergeCell ref="K685:O685"/>
    <mergeCell ref="K686:O687"/>
    <mergeCell ref="B687:F687"/>
    <mergeCell ref="B688:F688"/>
    <mergeCell ref="B669:D669"/>
    <mergeCell ref="B670:D670"/>
    <mergeCell ref="B671:D671"/>
    <mergeCell ref="B672:D672"/>
    <mergeCell ref="B673:D673"/>
    <mergeCell ref="B674:D674"/>
    <mergeCell ref="B699:E699"/>
    <mergeCell ref="B700:E700"/>
    <mergeCell ref="B702:E702"/>
    <mergeCell ref="B703:E703"/>
    <mergeCell ref="B704:E704"/>
    <mergeCell ref="B705:E705"/>
    <mergeCell ref="B689:F689"/>
    <mergeCell ref="B690:F690"/>
    <mergeCell ref="B691:F691"/>
    <mergeCell ref="F696:F698"/>
    <mergeCell ref="K732:O732"/>
    <mergeCell ref="B733:E733"/>
    <mergeCell ref="B734:E734"/>
    <mergeCell ref="F734:I734"/>
    <mergeCell ref="B706:E706"/>
    <mergeCell ref="B707:E707"/>
    <mergeCell ref="B725:G725"/>
    <mergeCell ref="K728:O729"/>
    <mergeCell ref="B729:I729"/>
    <mergeCell ref="B735:E735"/>
    <mergeCell ref="F735:I735"/>
    <mergeCell ref="B736:E736"/>
    <mergeCell ref="F736:I736"/>
    <mergeCell ref="B737:E737"/>
    <mergeCell ref="F737:I737"/>
    <mergeCell ref="F730:I730"/>
    <mergeCell ref="B731:E731"/>
    <mergeCell ref="B732:E732"/>
    <mergeCell ref="B743:E743"/>
    <mergeCell ref="F743:G743"/>
    <mergeCell ref="H743:I743"/>
    <mergeCell ref="K743:O744"/>
    <mergeCell ref="B744:E744"/>
    <mergeCell ref="B745:E745"/>
    <mergeCell ref="K745:O747"/>
    <mergeCell ref="B747:E747"/>
    <mergeCell ref="B738:E738"/>
    <mergeCell ref="F738:I738"/>
    <mergeCell ref="B739:E739"/>
    <mergeCell ref="F739:I739"/>
    <mergeCell ref="K741:O742"/>
    <mergeCell ref="B742:I742"/>
    <mergeCell ref="B757:D757"/>
    <mergeCell ref="B758:D758"/>
    <mergeCell ref="B759:D759"/>
    <mergeCell ref="B766:F766"/>
    <mergeCell ref="B767:F767"/>
    <mergeCell ref="K770:O770"/>
    <mergeCell ref="F749:I749"/>
    <mergeCell ref="F751:I751"/>
    <mergeCell ref="B753:D753"/>
    <mergeCell ref="B754:D754"/>
    <mergeCell ref="B755:D755"/>
    <mergeCell ref="B756:D756"/>
    <mergeCell ref="F781:F783"/>
    <mergeCell ref="H781:H783"/>
    <mergeCell ref="K781:O783"/>
    <mergeCell ref="B784:E784"/>
    <mergeCell ref="B785:E785"/>
    <mergeCell ref="B787:E787"/>
    <mergeCell ref="K771:O772"/>
    <mergeCell ref="B772:F772"/>
    <mergeCell ref="B773:F773"/>
    <mergeCell ref="B774:F774"/>
    <mergeCell ref="B775:F775"/>
    <mergeCell ref="B776:F776"/>
    <mergeCell ref="K813:O814"/>
    <mergeCell ref="B814:I814"/>
    <mergeCell ref="F815:I815"/>
    <mergeCell ref="B816:E816"/>
    <mergeCell ref="B817:E817"/>
    <mergeCell ref="K817:O817"/>
    <mergeCell ref="B788:E788"/>
    <mergeCell ref="B789:E789"/>
    <mergeCell ref="B790:E790"/>
    <mergeCell ref="B791:E791"/>
    <mergeCell ref="B792:E792"/>
    <mergeCell ref="B810:G810"/>
    <mergeCell ref="B822:E822"/>
    <mergeCell ref="F822:I822"/>
    <mergeCell ref="B823:E823"/>
    <mergeCell ref="F823:I823"/>
    <mergeCell ref="B824:E824"/>
    <mergeCell ref="F824:I824"/>
    <mergeCell ref="B818:E818"/>
    <mergeCell ref="B819:E819"/>
    <mergeCell ref="F819:I819"/>
    <mergeCell ref="B820:E820"/>
    <mergeCell ref="F820:I820"/>
    <mergeCell ref="B821:E821"/>
    <mergeCell ref="F821:I821"/>
    <mergeCell ref="B830:E830"/>
    <mergeCell ref="K830:O832"/>
    <mergeCell ref="B832:E832"/>
    <mergeCell ref="F834:I834"/>
    <mergeCell ref="F836:I836"/>
    <mergeCell ref="B838:D838"/>
    <mergeCell ref="K826:O827"/>
    <mergeCell ref="B827:I827"/>
    <mergeCell ref="B828:E828"/>
    <mergeCell ref="F828:G828"/>
    <mergeCell ref="H828:I828"/>
    <mergeCell ref="K828:O829"/>
    <mergeCell ref="B829:E829"/>
    <mergeCell ref="H866:H868"/>
    <mergeCell ref="K866:O868"/>
    <mergeCell ref="B851:F851"/>
    <mergeCell ref="B852:F852"/>
    <mergeCell ref="K855:O855"/>
    <mergeCell ref="K856:O857"/>
    <mergeCell ref="B857:F857"/>
    <mergeCell ref="B858:F858"/>
    <mergeCell ref="B839:D839"/>
    <mergeCell ref="B840:D840"/>
    <mergeCell ref="B841:D841"/>
    <mergeCell ref="B842:D842"/>
    <mergeCell ref="B843:D843"/>
    <mergeCell ref="B844:D844"/>
    <mergeCell ref="B869:E869"/>
    <mergeCell ref="B870:E870"/>
    <mergeCell ref="B872:E872"/>
    <mergeCell ref="B873:E873"/>
    <mergeCell ref="B874:E874"/>
    <mergeCell ref="B875:E875"/>
    <mergeCell ref="B859:F859"/>
    <mergeCell ref="B860:F860"/>
    <mergeCell ref="B861:F861"/>
    <mergeCell ref="F866:F868"/>
    <mergeCell ref="K902:O902"/>
    <mergeCell ref="B903:E903"/>
    <mergeCell ref="B904:E904"/>
    <mergeCell ref="F904:I904"/>
    <mergeCell ref="B876:E876"/>
    <mergeCell ref="B877:E877"/>
    <mergeCell ref="B895:G895"/>
    <mergeCell ref="K898:O899"/>
    <mergeCell ref="B899:I899"/>
    <mergeCell ref="B905:E905"/>
    <mergeCell ref="F905:I905"/>
    <mergeCell ref="B906:E906"/>
    <mergeCell ref="F906:I906"/>
    <mergeCell ref="B907:E907"/>
    <mergeCell ref="F907:I907"/>
    <mergeCell ref="F900:I900"/>
    <mergeCell ref="B901:E901"/>
    <mergeCell ref="B902:E902"/>
    <mergeCell ref="B913:E913"/>
    <mergeCell ref="F913:G913"/>
    <mergeCell ref="H913:I913"/>
    <mergeCell ref="K913:O914"/>
    <mergeCell ref="B914:E914"/>
    <mergeCell ref="B915:E915"/>
    <mergeCell ref="K915:O917"/>
    <mergeCell ref="B917:E917"/>
    <mergeCell ref="B908:E908"/>
    <mergeCell ref="F908:I908"/>
    <mergeCell ref="B909:E909"/>
    <mergeCell ref="F909:I909"/>
    <mergeCell ref="K911:O912"/>
    <mergeCell ref="B912:I912"/>
    <mergeCell ref="B927:D927"/>
    <mergeCell ref="B928:D928"/>
    <mergeCell ref="B929:D929"/>
    <mergeCell ref="B936:F936"/>
    <mergeCell ref="B937:F937"/>
    <mergeCell ref="K940:O940"/>
    <mergeCell ref="F919:I919"/>
    <mergeCell ref="F921:I921"/>
    <mergeCell ref="B923:D923"/>
    <mergeCell ref="B924:D924"/>
    <mergeCell ref="B925:D925"/>
    <mergeCell ref="B926:D926"/>
    <mergeCell ref="F951:F953"/>
    <mergeCell ref="H951:H953"/>
    <mergeCell ref="K951:O953"/>
    <mergeCell ref="B954:E954"/>
    <mergeCell ref="B955:E955"/>
    <mergeCell ref="B957:E957"/>
    <mergeCell ref="K941:O942"/>
    <mergeCell ref="B942:F942"/>
    <mergeCell ref="B943:F943"/>
    <mergeCell ref="B944:F944"/>
    <mergeCell ref="B945:F945"/>
    <mergeCell ref="B946:F946"/>
    <mergeCell ref="K983:O984"/>
    <mergeCell ref="B984:I984"/>
    <mergeCell ref="F985:I985"/>
    <mergeCell ref="B986:E986"/>
    <mergeCell ref="B987:E987"/>
    <mergeCell ref="K987:O987"/>
    <mergeCell ref="B958:E958"/>
    <mergeCell ref="B959:E959"/>
    <mergeCell ref="B960:E960"/>
    <mergeCell ref="B961:E961"/>
    <mergeCell ref="B962:E962"/>
    <mergeCell ref="B980:G980"/>
    <mergeCell ref="B992:E992"/>
    <mergeCell ref="F992:I992"/>
    <mergeCell ref="B993:E993"/>
    <mergeCell ref="F993:I993"/>
    <mergeCell ref="B994:E994"/>
    <mergeCell ref="F994:I994"/>
    <mergeCell ref="B988:E988"/>
    <mergeCell ref="B989:E989"/>
    <mergeCell ref="F989:I989"/>
    <mergeCell ref="B990:E990"/>
    <mergeCell ref="F990:I990"/>
    <mergeCell ref="B991:E991"/>
    <mergeCell ref="F991:I991"/>
    <mergeCell ref="B1000:E1000"/>
    <mergeCell ref="K1000:O1002"/>
    <mergeCell ref="B1002:E1002"/>
    <mergeCell ref="F1004:I1004"/>
    <mergeCell ref="F1006:I1006"/>
    <mergeCell ref="B1008:D1008"/>
    <mergeCell ref="K996:O997"/>
    <mergeCell ref="B997:I997"/>
    <mergeCell ref="B998:E998"/>
    <mergeCell ref="F998:G998"/>
    <mergeCell ref="H998:I998"/>
    <mergeCell ref="K998:O999"/>
    <mergeCell ref="B999:E999"/>
    <mergeCell ref="H1036:H1038"/>
    <mergeCell ref="K1036:O1038"/>
    <mergeCell ref="B1021:F1021"/>
    <mergeCell ref="B1022:F1022"/>
    <mergeCell ref="K1025:O1025"/>
    <mergeCell ref="K1026:O1027"/>
    <mergeCell ref="B1027:F1027"/>
    <mergeCell ref="B1028:F1028"/>
    <mergeCell ref="B1009:D1009"/>
    <mergeCell ref="B1010:D1010"/>
    <mergeCell ref="B1011:D1011"/>
    <mergeCell ref="B1012:D1012"/>
    <mergeCell ref="B1013:D1013"/>
    <mergeCell ref="B1014:D1014"/>
    <mergeCell ref="B1039:E1039"/>
    <mergeCell ref="B1040:E1040"/>
    <mergeCell ref="B1042:E1042"/>
    <mergeCell ref="B1043:E1043"/>
    <mergeCell ref="B1044:E1044"/>
    <mergeCell ref="B1045:E1045"/>
    <mergeCell ref="B1029:F1029"/>
    <mergeCell ref="B1030:F1030"/>
    <mergeCell ref="B1031:F1031"/>
    <mergeCell ref="F1036:F1038"/>
    <mergeCell ref="K1072:O1072"/>
    <mergeCell ref="B1073:E1073"/>
    <mergeCell ref="B1074:E1074"/>
    <mergeCell ref="F1074:I1074"/>
    <mergeCell ref="B1046:E1046"/>
    <mergeCell ref="B1047:E1047"/>
    <mergeCell ref="B1065:G1065"/>
    <mergeCell ref="K1068:O1069"/>
    <mergeCell ref="B1069:I1069"/>
    <mergeCell ref="B1075:E1075"/>
    <mergeCell ref="F1075:I1075"/>
    <mergeCell ref="B1076:E1076"/>
    <mergeCell ref="F1076:I1076"/>
    <mergeCell ref="B1077:E1077"/>
    <mergeCell ref="F1077:I1077"/>
    <mergeCell ref="F1070:I1070"/>
    <mergeCell ref="B1071:E1071"/>
    <mergeCell ref="B1072:E1072"/>
    <mergeCell ref="K1083:O1084"/>
    <mergeCell ref="B1084:E1084"/>
    <mergeCell ref="B1085:E1085"/>
    <mergeCell ref="K1085:O1087"/>
    <mergeCell ref="B1087:E1087"/>
    <mergeCell ref="B1078:E1078"/>
    <mergeCell ref="F1078:I1078"/>
    <mergeCell ref="B1079:E1079"/>
    <mergeCell ref="F1079:I1079"/>
    <mergeCell ref="K1081:O1082"/>
    <mergeCell ref="B1082:I1082"/>
    <mergeCell ref="F1089:I1089"/>
    <mergeCell ref="F1091:I1091"/>
    <mergeCell ref="B1093:D1093"/>
    <mergeCell ref="B1094:D1094"/>
    <mergeCell ref="B1095:D1095"/>
    <mergeCell ref="B1096:D1096"/>
    <mergeCell ref="B1083:E1083"/>
    <mergeCell ref="F1083:G1083"/>
    <mergeCell ref="H1083:I1083"/>
    <mergeCell ref="K1111:O1112"/>
    <mergeCell ref="B1112:F1112"/>
    <mergeCell ref="B1113:F1113"/>
    <mergeCell ref="B1114:F1114"/>
    <mergeCell ref="B1115:F1115"/>
    <mergeCell ref="B1116:F1116"/>
    <mergeCell ref="B1097:D1097"/>
    <mergeCell ref="B1098:D1098"/>
    <mergeCell ref="B1099:D1099"/>
    <mergeCell ref="B1106:F1106"/>
    <mergeCell ref="B1107:F1107"/>
    <mergeCell ref="K1110:O1110"/>
    <mergeCell ref="B1128:E1128"/>
    <mergeCell ref="B1129:E1129"/>
    <mergeCell ref="B1130:E1130"/>
    <mergeCell ref="B1131:E1131"/>
    <mergeCell ref="B1132:E1132"/>
    <mergeCell ref="F1121:F1123"/>
    <mergeCell ref="H1121:H1123"/>
    <mergeCell ref="K1121:O1123"/>
    <mergeCell ref="B1124:E1124"/>
    <mergeCell ref="B1125:E1125"/>
    <mergeCell ref="B1127:E1127"/>
  </mergeCells>
  <dataValidations count="8">
    <dataValidation type="list" allowBlank="1" showInputMessage="1" showErrorMessage="1" sqref="F53:F54 F138:F139 F223:F224 F309:F310 F394:F395 F480:F481 F565:F566 F650:F651 F735:F736 F820:F821 F905:F906 F990:F991 F1075:F1076" xr:uid="{00000000-0002-0000-0600-000000000000}">
      <formula1>"Yes, No"</formula1>
    </dataValidation>
    <dataValidation type="list" allowBlank="1" showInputMessage="1" showErrorMessage="1" sqref="F52 F137 F222 F308 F393 F479 F564 F649 F734 F819 F904 F989 F1074" xr:uid="{00000000-0002-0000-0600-000001000000}">
      <formula1>"CDS,HT,Hosp"</formula1>
    </dataValidation>
    <dataValidation type="list" allowBlank="1" showInputMessage="1" showErrorMessage="1" sqref="F55 F140 F225 F311 F396 F482 F567 F652 F737 F822 F907 F992 F1077" xr:uid="{00000000-0002-0000-0600-000002000000}">
      <formula1>"Yes,No"</formula1>
    </dataValidation>
    <dataValidation type="list" allowBlank="1" showInputMessage="1" showErrorMessage="1" sqref="F1072:I1072 F135:I135 F220:I220 F306:I306 F391:I391 F477:I477 F562:I562 F647:I647 F732:I732 F817:I817 F902:I902 F987:I987 F50:I50" xr:uid="{00000000-0002-0000-0600-000003000000}">
      <formula1>"Price to Wholesaler, Reimbursement Price"</formula1>
    </dataValidation>
    <dataValidation type="list" allowBlank="1" showInputMessage="1" showErrorMessage="1" sqref="F56:I56 F141:I141 F226:I226 F312:I312 F397:I397 F483:I483 F568:I568 F653:I653 F738:I738 F823:I823 F908:I908 F993:I993 F1078:I1078" xr:uid="{00000000-0002-0000-0600-000004000000}">
      <formula1>"Biosimilar, Patented or Off Patent Exclusive, Off Patent Non-Exclusive 12.5% Rebate incorporated into Price to Wholesaler, Off Patent Non-Exclusive 12.5% Rebate, N/A"</formula1>
    </dataValidation>
    <dataValidation type="list" allowBlank="1" showInputMessage="1" showErrorMessage="1" sqref="F569:I569 F313:I313 F398:I398 F1079:I1079 F142:I142 F227:I227 F484:I484 F654:I654 F739:I739 F824:I824 F909:I909 F994:I994 F57:I57" xr:uid="{00000000-0002-0000-0600-000005000000}">
      <formula1>"Patented Exclusive or Off Patent Exclusive and subject to clause 10 of Framework Agreement, Off Patent Non-Exclusive or Generic, N/A"</formula1>
    </dataValidation>
    <dataValidation type="list" allowBlank="1" showInputMessage="1" showErrorMessage="1" sqref="H62 H146 H231 H317 H402 H488 H573 H658 H743 H828 H913 H998 H1083" xr:uid="{00000000-0002-0000-0600-000006000000}">
      <formula1>"Months, Days"</formula1>
    </dataValidation>
    <dataValidation type="list" allowBlank="1" showInputMessage="1" showErrorMessage="1" sqref="I103 I186 I271 I357 I442 I528 I613 I698 I783 I868 I953 I1038 I1123" xr:uid="{00000000-0002-0000-0600-000007000000}">
      <formula1>"Days, Months"</formula1>
    </dataValidation>
  </dataValidations>
  <hyperlinks>
    <hyperlink ref="K19:N19" r:id="rId1" display="NCPE Drug Cost Guidelines" xr:uid="{00000000-0004-0000-0600-000000000000}"/>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_References">
                <anchor moveWithCells="1" sizeWithCells="1">
                  <from>
                    <xdr:col>0</xdr:col>
                    <xdr:colOff>76200</xdr:colOff>
                    <xdr:row>50</xdr:row>
                    <xdr:rowOff>28575</xdr:rowOff>
                  </from>
                  <to>
                    <xdr:col>0</xdr:col>
                    <xdr:colOff>523875</xdr:colOff>
                    <xdr:row>51</xdr:row>
                    <xdr:rowOff>0</xdr:rowOff>
                  </to>
                </anchor>
              </controlPr>
            </control>
          </mc:Choice>
        </mc:AlternateContent>
        <mc:AlternateContent xmlns:mc="http://schemas.openxmlformats.org/markup-compatibility/2006">
          <mc:Choice Requires="x14">
            <control shapeId="16386" r:id="rId5" name="Button 2">
              <controlPr defaultSize="0" print="0" autoFill="0" autoPict="0" macro="[0]!goto_References">
                <anchor moveWithCells="1" sizeWithCells="1">
                  <from>
                    <xdr:col>0</xdr:col>
                    <xdr:colOff>76200</xdr:colOff>
                    <xdr:row>135</xdr:row>
                    <xdr:rowOff>28575</xdr:rowOff>
                  </from>
                  <to>
                    <xdr:col>0</xdr:col>
                    <xdr:colOff>523875</xdr:colOff>
                    <xdr:row>136</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6388" r:id="rId7" name="Button 4">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6389" r:id="rId8" name="Button 5">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6391" r:id="rId10" name="Button 7">
              <controlPr defaultSize="0" print="0" autoFill="0" autoPict="0" macro="[0]!goto_References">
                <anchor moveWithCells="1" sizeWithCells="1">
                  <from>
                    <xdr:col>0</xdr:col>
                    <xdr:colOff>76200</xdr:colOff>
                    <xdr:row>213</xdr:row>
                    <xdr:rowOff>0</xdr:rowOff>
                  </from>
                  <to>
                    <xdr:col>0</xdr:col>
                    <xdr:colOff>523875</xdr:colOff>
                    <xdr:row>213</xdr:row>
                    <xdr:rowOff>0</xdr:rowOff>
                  </to>
                </anchor>
              </controlPr>
            </control>
          </mc:Choice>
        </mc:AlternateContent>
        <mc:AlternateContent xmlns:mc="http://schemas.openxmlformats.org/markup-compatibility/2006">
          <mc:Choice Requires="x14">
            <control shapeId="16392" r:id="rId11" name="Button 8">
              <controlPr defaultSize="0" print="0" autoFill="0" autoPict="0" macro="[0]!goto_References">
                <anchor moveWithCells="1" sizeWithCells="1">
                  <from>
                    <xdr:col>0</xdr:col>
                    <xdr:colOff>76200</xdr:colOff>
                    <xdr:row>647</xdr:row>
                    <xdr:rowOff>28575</xdr:rowOff>
                  </from>
                  <to>
                    <xdr:col>0</xdr:col>
                    <xdr:colOff>523875</xdr:colOff>
                    <xdr:row>648</xdr:row>
                    <xdr:rowOff>0</xdr:rowOff>
                  </to>
                </anchor>
              </controlPr>
            </control>
          </mc:Choice>
        </mc:AlternateContent>
        <mc:AlternateContent xmlns:mc="http://schemas.openxmlformats.org/markup-compatibility/2006">
          <mc:Choice Requires="x14">
            <control shapeId="16393" r:id="rId12" name="Button 9">
              <controlPr defaultSize="0" print="0" autoFill="0" autoPict="0" macro="[0]!goto_References">
                <anchor moveWithCells="1" sizeWithCells="1">
                  <from>
                    <xdr:col>0</xdr:col>
                    <xdr:colOff>76200</xdr:colOff>
                    <xdr:row>732</xdr:row>
                    <xdr:rowOff>28575</xdr:rowOff>
                  </from>
                  <to>
                    <xdr:col>0</xdr:col>
                    <xdr:colOff>523875</xdr:colOff>
                    <xdr:row>733</xdr:row>
                    <xdr:rowOff>0</xdr:rowOff>
                  </to>
                </anchor>
              </controlPr>
            </control>
          </mc:Choice>
        </mc:AlternateContent>
        <mc:AlternateContent xmlns:mc="http://schemas.openxmlformats.org/markup-compatibility/2006">
          <mc:Choice Requires="x14">
            <control shapeId="16394" r:id="rId13" name="Button 10">
              <controlPr defaultSize="0" print="0" autoFill="0" autoPict="0" macro="[0]!goto_References">
                <anchor moveWithCells="1" sizeWithCells="1">
                  <from>
                    <xdr:col>0</xdr:col>
                    <xdr:colOff>76200</xdr:colOff>
                    <xdr:row>817</xdr:row>
                    <xdr:rowOff>28575</xdr:rowOff>
                  </from>
                  <to>
                    <xdr:col>0</xdr:col>
                    <xdr:colOff>523875</xdr:colOff>
                    <xdr:row>818</xdr:row>
                    <xdr:rowOff>0</xdr:rowOff>
                  </to>
                </anchor>
              </controlPr>
            </control>
          </mc:Choice>
        </mc:AlternateContent>
        <mc:AlternateContent xmlns:mc="http://schemas.openxmlformats.org/markup-compatibility/2006">
          <mc:Choice Requires="x14">
            <control shapeId="16395" r:id="rId14" name="Button 11">
              <controlPr defaultSize="0" print="0" autoFill="0" autoPict="0" macro="[0]!goto_References">
                <anchor moveWithCells="1" sizeWithCells="1">
                  <from>
                    <xdr:col>0</xdr:col>
                    <xdr:colOff>76200</xdr:colOff>
                    <xdr:row>902</xdr:row>
                    <xdr:rowOff>28575</xdr:rowOff>
                  </from>
                  <to>
                    <xdr:col>0</xdr:col>
                    <xdr:colOff>523875</xdr:colOff>
                    <xdr:row>903</xdr:row>
                    <xdr:rowOff>0</xdr:rowOff>
                  </to>
                </anchor>
              </controlPr>
            </control>
          </mc:Choice>
        </mc:AlternateContent>
        <mc:AlternateContent xmlns:mc="http://schemas.openxmlformats.org/markup-compatibility/2006">
          <mc:Choice Requires="x14">
            <control shapeId="16396" r:id="rId15" name="Button 12">
              <controlPr defaultSize="0" print="0" autoFill="0" autoPict="0" macro="[0]!goto_References">
                <anchor moveWithCells="1" sizeWithCells="1">
                  <from>
                    <xdr:col>0</xdr:col>
                    <xdr:colOff>76200</xdr:colOff>
                    <xdr:row>987</xdr:row>
                    <xdr:rowOff>28575</xdr:rowOff>
                  </from>
                  <to>
                    <xdr:col>0</xdr:col>
                    <xdr:colOff>523875</xdr:colOff>
                    <xdr:row>988</xdr:row>
                    <xdr:rowOff>0</xdr:rowOff>
                  </to>
                </anchor>
              </controlPr>
            </control>
          </mc:Choice>
        </mc:AlternateContent>
        <mc:AlternateContent xmlns:mc="http://schemas.openxmlformats.org/markup-compatibility/2006">
          <mc:Choice Requires="x14">
            <control shapeId="16397" r:id="rId16" name="Button 13">
              <controlPr defaultSize="0" print="0" autoFill="0" autoPict="0" macro="[0]!goto_References">
                <anchor moveWithCells="1" sizeWithCells="1">
                  <from>
                    <xdr:col>0</xdr:col>
                    <xdr:colOff>76200</xdr:colOff>
                    <xdr:row>1072</xdr:row>
                    <xdr:rowOff>28575</xdr:rowOff>
                  </from>
                  <to>
                    <xdr:col>0</xdr:col>
                    <xdr:colOff>523875</xdr:colOff>
                    <xdr:row>1073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7:L47"/>
  <sheetViews>
    <sheetView zoomScale="75" zoomScaleNormal="75" workbookViewId="0">
      <selection activeCell="Z73" sqref="Z73"/>
    </sheetView>
  </sheetViews>
  <sheetFormatPr defaultColWidth="9.140625" defaultRowHeight="15" x14ac:dyDescent="0.25"/>
  <cols>
    <col min="1" max="16384" width="9.140625" style="1"/>
  </cols>
  <sheetData>
    <row r="17" spans="2:12" ht="15" customHeight="1" x14ac:dyDescent="0.25">
      <c r="B17" s="408" t="s">
        <v>212</v>
      </c>
      <c r="C17" s="408"/>
      <c r="D17" s="408"/>
      <c r="E17" s="408"/>
      <c r="F17" s="408"/>
      <c r="G17" s="408"/>
      <c r="H17" s="408"/>
      <c r="I17" s="408"/>
      <c r="J17" s="408"/>
      <c r="K17" s="408"/>
      <c r="L17" s="408"/>
    </row>
    <row r="18" spans="2:12" x14ac:dyDescent="0.25">
      <c r="B18" s="408"/>
      <c r="C18" s="408"/>
      <c r="D18" s="408"/>
      <c r="E18" s="408"/>
      <c r="F18" s="408"/>
      <c r="G18" s="408"/>
      <c r="H18" s="408"/>
      <c r="I18" s="408"/>
      <c r="J18" s="408"/>
      <c r="K18" s="408"/>
      <c r="L18" s="408"/>
    </row>
    <row r="19" spans="2:12" x14ac:dyDescent="0.25">
      <c r="B19" s="408"/>
      <c r="C19" s="408"/>
      <c r="D19" s="408"/>
      <c r="E19" s="408"/>
      <c r="F19" s="408"/>
      <c r="G19" s="408"/>
      <c r="H19" s="408"/>
      <c r="I19" s="408"/>
      <c r="J19" s="408"/>
      <c r="K19" s="408"/>
      <c r="L19" s="408"/>
    </row>
    <row r="20" spans="2:12" x14ac:dyDescent="0.25">
      <c r="B20" s="408"/>
      <c r="C20" s="408"/>
      <c r="D20" s="408"/>
      <c r="E20" s="408"/>
      <c r="F20" s="408"/>
      <c r="G20" s="408"/>
      <c r="H20" s="408"/>
      <c r="I20" s="408"/>
      <c r="J20" s="408"/>
      <c r="K20" s="408"/>
      <c r="L20" s="408"/>
    </row>
    <row r="21" spans="2:12" x14ac:dyDescent="0.25">
      <c r="B21" s="408"/>
      <c r="C21" s="408"/>
      <c r="D21" s="408"/>
      <c r="E21" s="408"/>
      <c r="F21" s="408"/>
      <c r="G21" s="408"/>
      <c r="H21" s="408"/>
      <c r="I21" s="408"/>
      <c r="J21" s="408"/>
      <c r="K21" s="408"/>
      <c r="L21" s="408"/>
    </row>
    <row r="22" spans="2:12" ht="14.45" customHeight="1" x14ac:dyDescent="0.25">
      <c r="B22" s="408"/>
      <c r="C22" s="408"/>
      <c r="D22" s="408"/>
      <c r="E22" s="408"/>
      <c r="F22" s="408"/>
      <c r="G22" s="408"/>
      <c r="H22" s="408"/>
      <c r="I22" s="408"/>
      <c r="J22" s="408"/>
      <c r="K22" s="408"/>
      <c r="L22" s="408"/>
    </row>
    <row r="23" spans="2:12" ht="15.75" thickBot="1" x14ac:dyDescent="0.3"/>
    <row r="24" spans="2:12" ht="15.75" thickBot="1" x14ac:dyDescent="0.3">
      <c r="F24" s="17" t="s">
        <v>6</v>
      </c>
      <c r="G24" s="13" t="s">
        <v>7</v>
      </c>
      <c r="H24" s="13" t="s">
        <v>8</v>
      </c>
      <c r="I24" s="13" t="s">
        <v>9</v>
      </c>
      <c r="J24" s="16" t="s">
        <v>10</v>
      </c>
      <c r="L24" s="14"/>
    </row>
    <row r="25" spans="2:12" ht="15.75" thickBot="1" x14ac:dyDescent="0.3">
      <c r="B25" s="550" t="s">
        <v>51</v>
      </c>
      <c r="C25" s="551"/>
      <c r="D25" s="551"/>
      <c r="E25" s="552"/>
      <c r="F25" s="117"/>
      <c r="G25" s="117"/>
      <c r="H25" s="117"/>
      <c r="I25" s="117"/>
      <c r="J25" s="269"/>
    </row>
    <row r="27" spans="2:12" x14ac:dyDescent="0.25">
      <c r="B27" s="98"/>
    </row>
    <row r="30" spans="2:12" x14ac:dyDescent="0.25">
      <c r="B30" s="553" t="s">
        <v>101</v>
      </c>
      <c r="C30" s="553"/>
      <c r="D30" s="553"/>
      <c r="E30" s="553"/>
    </row>
    <row r="32" spans="2:12" x14ac:dyDescent="0.25">
      <c r="B32" s="14" t="s">
        <v>14</v>
      </c>
    </row>
    <row r="33" spans="2:10" x14ac:dyDescent="0.25">
      <c r="B33" s="22"/>
      <c r="C33" s="22"/>
      <c r="D33" s="22"/>
      <c r="E33" s="22"/>
      <c r="F33" s="22"/>
      <c r="G33" s="22"/>
      <c r="H33" s="22"/>
      <c r="I33" s="22"/>
      <c r="J33" s="22"/>
    </row>
    <row r="34" spans="2:10" x14ac:dyDescent="0.25">
      <c r="B34" s="22"/>
      <c r="C34" s="22"/>
      <c r="D34" s="22"/>
      <c r="E34" s="22"/>
      <c r="F34" s="22"/>
      <c r="G34" s="22"/>
      <c r="H34" s="22"/>
      <c r="I34" s="22"/>
      <c r="J34" s="22"/>
    </row>
    <row r="35" spans="2:10" x14ac:dyDescent="0.25">
      <c r="B35" s="22"/>
      <c r="C35" s="22"/>
      <c r="D35" s="22"/>
      <c r="E35" s="22"/>
      <c r="F35" s="22"/>
      <c r="G35" s="22"/>
      <c r="H35" s="22"/>
      <c r="I35" s="22"/>
      <c r="J35" s="22"/>
    </row>
    <row r="36" spans="2:10" x14ac:dyDescent="0.25">
      <c r="B36" s="22"/>
      <c r="C36" s="22"/>
      <c r="D36" s="22"/>
      <c r="E36" s="22"/>
      <c r="F36" s="22"/>
      <c r="G36" s="22"/>
      <c r="H36" s="22"/>
      <c r="I36" s="22"/>
      <c r="J36" s="22"/>
    </row>
    <row r="37" spans="2:10" x14ac:dyDescent="0.25">
      <c r="B37" s="22"/>
      <c r="C37" s="22"/>
      <c r="D37" s="22"/>
      <c r="E37" s="22"/>
      <c r="F37" s="22"/>
      <c r="G37" s="22"/>
      <c r="H37" s="22"/>
      <c r="I37" s="22"/>
      <c r="J37" s="22"/>
    </row>
    <row r="38" spans="2:10" x14ac:dyDescent="0.25">
      <c r="B38" s="22"/>
      <c r="C38" s="22"/>
      <c r="D38" s="22"/>
      <c r="E38" s="22"/>
      <c r="F38" s="22"/>
      <c r="G38" s="22"/>
      <c r="H38" s="22"/>
      <c r="I38" s="22"/>
      <c r="J38" s="22"/>
    </row>
    <row r="41" spans="2:10" x14ac:dyDescent="0.25">
      <c r="B41" s="14" t="s">
        <v>15</v>
      </c>
    </row>
    <row r="42" spans="2:10" x14ac:dyDescent="0.25">
      <c r="B42" s="22"/>
      <c r="C42" s="22"/>
      <c r="D42" s="22"/>
      <c r="E42" s="22"/>
      <c r="F42" s="22"/>
      <c r="G42" s="22"/>
      <c r="H42" s="22"/>
      <c r="I42" s="22"/>
      <c r="J42" s="22"/>
    </row>
    <row r="43" spans="2:10" x14ac:dyDescent="0.25">
      <c r="B43" s="22"/>
      <c r="C43" s="22"/>
      <c r="D43" s="22"/>
      <c r="E43" s="22"/>
      <c r="F43" s="22"/>
      <c r="G43" s="22"/>
      <c r="H43" s="22"/>
      <c r="I43" s="22"/>
      <c r="J43" s="22"/>
    </row>
    <row r="44" spans="2:10" x14ac:dyDescent="0.25">
      <c r="B44" s="22"/>
      <c r="C44" s="22"/>
      <c r="D44" s="22"/>
      <c r="E44" s="22"/>
      <c r="F44" s="22"/>
      <c r="G44" s="22"/>
      <c r="H44" s="22"/>
      <c r="I44" s="22"/>
      <c r="J44" s="22"/>
    </row>
    <row r="45" spans="2:10" x14ac:dyDescent="0.25">
      <c r="B45" s="22"/>
      <c r="C45" s="22"/>
      <c r="D45" s="22"/>
      <c r="E45" s="22"/>
      <c r="F45" s="22"/>
      <c r="G45" s="22"/>
      <c r="H45" s="22"/>
      <c r="I45" s="22"/>
      <c r="J45" s="22"/>
    </row>
    <row r="46" spans="2:10" x14ac:dyDescent="0.25">
      <c r="B46" s="22"/>
      <c r="C46" s="22"/>
      <c r="D46" s="22"/>
      <c r="E46" s="22"/>
      <c r="F46" s="22"/>
      <c r="G46" s="22"/>
      <c r="H46" s="22"/>
      <c r="I46" s="22"/>
      <c r="J46" s="22"/>
    </row>
    <row r="47" spans="2:10" x14ac:dyDescent="0.25">
      <c r="B47" s="22"/>
      <c r="C47" s="22"/>
      <c r="D47" s="22"/>
      <c r="E47" s="22"/>
      <c r="F47" s="22"/>
      <c r="G47" s="22"/>
      <c r="H47" s="22"/>
      <c r="I47" s="22"/>
      <c r="J47" s="22"/>
    </row>
  </sheetData>
  <mergeCells count="3">
    <mergeCell ref="B25:E25"/>
    <mergeCell ref="B30:E30"/>
    <mergeCell ref="B17:L2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7:R155"/>
  <sheetViews>
    <sheetView zoomScale="75" zoomScaleNormal="75" workbookViewId="0">
      <selection activeCell="Q31" sqref="Q31"/>
    </sheetView>
  </sheetViews>
  <sheetFormatPr defaultColWidth="9.140625" defaultRowHeight="15" x14ac:dyDescent="0.25"/>
  <cols>
    <col min="1" max="1" width="9.140625" style="1"/>
    <col min="2" max="3" width="9.140625" style="26"/>
    <col min="4" max="7" width="11.42578125" style="1" customWidth="1"/>
    <col min="8" max="12" width="16.42578125" style="1" customWidth="1"/>
    <col min="13" max="13" width="7.42578125" style="1" customWidth="1"/>
    <col min="14" max="14" width="16.42578125" style="1" customWidth="1"/>
    <col min="15" max="16" width="9.140625" style="1"/>
    <col min="17" max="17" width="10.7109375" style="1" bestFit="1" customWidth="1"/>
    <col min="18" max="18" width="10.85546875" style="1" bestFit="1" customWidth="1"/>
    <col min="19" max="16384" width="9.140625" style="1"/>
  </cols>
  <sheetData>
    <row r="17" spans="2:14" ht="15" customHeight="1" x14ac:dyDescent="0.25">
      <c r="B17" s="421" t="s">
        <v>268</v>
      </c>
      <c r="C17" s="421"/>
      <c r="D17" s="421"/>
      <c r="E17" s="421"/>
      <c r="F17" s="421"/>
      <c r="G17" s="421"/>
      <c r="H17" s="421"/>
      <c r="I17" s="421"/>
      <c r="J17" s="421"/>
    </row>
    <row r="18" spans="2:14" x14ac:dyDescent="0.25">
      <c r="B18" s="421"/>
      <c r="C18" s="421"/>
      <c r="D18" s="421"/>
      <c r="E18" s="421"/>
      <c r="F18" s="421"/>
      <c r="G18" s="421"/>
      <c r="H18" s="421"/>
      <c r="I18" s="421"/>
      <c r="J18" s="421"/>
    </row>
    <row r="19" spans="2:14" x14ac:dyDescent="0.25">
      <c r="B19" s="421"/>
      <c r="C19" s="421"/>
      <c r="D19" s="421"/>
      <c r="E19" s="421"/>
      <c r="F19" s="421"/>
      <c r="G19" s="421"/>
      <c r="H19" s="421"/>
      <c r="I19" s="421"/>
      <c r="J19" s="421"/>
    </row>
    <row r="20" spans="2:14" x14ac:dyDescent="0.25">
      <c r="B20" s="421"/>
      <c r="C20" s="421"/>
      <c r="D20" s="421"/>
      <c r="E20" s="421"/>
      <c r="F20" s="421"/>
      <c r="G20" s="421"/>
      <c r="H20" s="421"/>
      <c r="I20" s="421"/>
      <c r="J20" s="421"/>
    </row>
    <row r="22" spans="2:14" ht="15.75" x14ac:dyDescent="0.25">
      <c r="B22" s="567" t="s">
        <v>13</v>
      </c>
      <c r="C22" s="567"/>
      <c r="D22" s="567"/>
      <c r="E22" s="567"/>
      <c r="F22" s="567"/>
      <c r="G22" s="567"/>
    </row>
    <row r="23" spans="2:14" ht="15.75" thickBot="1" x14ac:dyDescent="0.3"/>
    <row r="24" spans="2:14" ht="15.75" thickBot="1" x14ac:dyDescent="0.3">
      <c r="H24" s="17" t="s">
        <v>6</v>
      </c>
      <c r="I24" s="13" t="s">
        <v>7</v>
      </c>
      <c r="J24" s="13" t="s">
        <v>8</v>
      </c>
      <c r="K24" s="13" t="s">
        <v>9</v>
      </c>
      <c r="L24" s="13" t="s">
        <v>10</v>
      </c>
      <c r="N24" s="13" t="s">
        <v>17</v>
      </c>
    </row>
    <row r="25" spans="2:14" ht="15.75" thickBot="1" x14ac:dyDescent="0.3">
      <c r="B25" s="550" t="s">
        <v>33</v>
      </c>
      <c r="C25" s="551"/>
      <c r="D25" s="551"/>
      <c r="E25" s="551"/>
      <c r="F25" s="551"/>
      <c r="G25" s="552"/>
      <c r="H25" s="44">
        <f>'Patient Population'!E36</f>
        <v>0</v>
      </c>
      <c r="I25" s="44">
        <f>'Patient Population'!F36</f>
        <v>0</v>
      </c>
      <c r="J25" s="44">
        <f>'Patient Population'!G36</f>
        <v>0</v>
      </c>
      <c r="K25" s="44">
        <f>'Patient Population'!H36</f>
        <v>0</v>
      </c>
      <c r="L25" s="45">
        <f>'Patient Population'!I36</f>
        <v>0</v>
      </c>
      <c r="N25" s="18">
        <f>SUM(H25:L25)</f>
        <v>0</v>
      </c>
    </row>
    <row r="28" spans="2:14" ht="16.5" thickBot="1" x14ac:dyDescent="0.3">
      <c r="B28" s="567" t="s">
        <v>54</v>
      </c>
      <c r="C28" s="567"/>
      <c r="D28" s="567"/>
      <c r="E28" s="567"/>
      <c r="F28" s="567"/>
      <c r="G28" s="567"/>
    </row>
    <row r="29" spans="2:14" ht="15.75" thickBot="1" x14ac:dyDescent="0.3">
      <c r="H29" s="47" t="s">
        <v>6</v>
      </c>
      <c r="I29" s="48" t="s">
        <v>7</v>
      </c>
      <c r="J29" s="48" t="s">
        <v>8</v>
      </c>
      <c r="K29" s="48" t="s">
        <v>9</v>
      </c>
      <c r="L29" s="48" t="s">
        <v>10</v>
      </c>
    </row>
    <row r="30" spans="2:14" x14ac:dyDescent="0.25">
      <c r="B30" s="564" t="str">
        <f>CONCATENATE("Intervention: ",InterventionINN)</f>
        <v xml:space="preserve">Intervention: </v>
      </c>
      <c r="C30" s="565"/>
      <c r="D30" s="589" t="s">
        <v>26</v>
      </c>
      <c r="E30" s="586"/>
      <c r="F30" s="586"/>
      <c r="G30" s="590"/>
      <c r="H30" s="74">
        <f>'Patient Population'!E126</f>
        <v>0</v>
      </c>
      <c r="I30" s="71">
        <f>'Patient Population'!F126</f>
        <v>0</v>
      </c>
      <c r="J30" s="74">
        <f>'Patient Population'!G126</f>
        <v>0</v>
      </c>
      <c r="K30" s="71">
        <f>'Patient Population'!H126</f>
        <v>0</v>
      </c>
      <c r="L30" s="77">
        <f>'Patient Population'!I126</f>
        <v>0</v>
      </c>
    </row>
    <row r="31" spans="2:14" x14ac:dyDescent="0.25">
      <c r="B31" s="557"/>
      <c r="C31" s="558"/>
      <c r="D31" s="591" t="s">
        <v>59</v>
      </c>
      <c r="E31" s="587"/>
      <c r="F31" s="587"/>
      <c r="G31" s="592"/>
      <c r="H31" s="205">
        <f xml:space="preserve"> 'Drug Acquisition Costs'!E28</f>
        <v>0</v>
      </c>
      <c r="I31" s="113">
        <f xml:space="preserve"> 'Drug Acquisition Costs'!F28</f>
        <v>0</v>
      </c>
      <c r="J31" s="113">
        <f xml:space="preserve"> 'Drug Acquisition Costs'!G28</f>
        <v>0</v>
      </c>
      <c r="K31" s="113">
        <f xml:space="preserve"> 'Drug Acquisition Costs'!H28</f>
        <v>0</v>
      </c>
      <c r="L31" s="115">
        <f xml:space="preserve"> 'Drug Acquisition Costs'!I28</f>
        <v>0</v>
      </c>
    </row>
    <row r="32" spans="2:14" x14ac:dyDescent="0.25">
      <c r="B32" s="557"/>
      <c r="C32" s="558"/>
      <c r="D32" s="591" t="s">
        <v>60</v>
      </c>
      <c r="E32" s="587"/>
      <c r="F32" s="587"/>
      <c r="G32" s="592"/>
      <c r="H32" s="75">
        <f>('Patient Population'!E36*'Patient Population'!E68*'Patient Population'!E88)</f>
        <v>0</v>
      </c>
      <c r="I32" s="72">
        <f>('Patient Population'!F36*'Patient Population'!F68*'Patient Population'!F88)</f>
        <v>0</v>
      </c>
      <c r="J32" s="75">
        <f>('Patient Population'!G36*'Patient Population'!G68*'Patient Population'!G88)</f>
        <v>0</v>
      </c>
      <c r="K32" s="72">
        <f>('Patient Population'!H36*'Patient Population'!H68*'Patient Population'!H88)</f>
        <v>0</v>
      </c>
      <c r="L32" s="78">
        <f>('Patient Population'!I36*'Patient Population'!I68*'Patient Population'!I88)</f>
        <v>0</v>
      </c>
    </row>
    <row r="33" spans="2:14" ht="15.75" thickBot="1" x14ac:dyDescent="0.3">
      <c r="B33" s="559"/>
      <c r="C33" s="560"/>
      <c r="D33" s="593" t="s">
        <v>61</v>
      </c>
      <c r="E33" s="594"/>
      <c r="F33" s="594"/>
      <c r="G33" s="595"/>
      <c r="H33" s="83">
        <f>'Patient Population'!E30*'Patient Population'!E31*'Patient Population'!E33*'Patient Population'!E35*'Patient Population'!E68</f>
        <v>0</v>
      </c>
      <c r="I33" s="81">
        <f>'Patient Population'!F30*'Patient Population'!F31*'Patient Population'!F33*'Patient Population'!F35*'Patient Population'!F68</f>
        <v>0</v>
      </c>
      <c r="J33" s="83">
        <f>'Patient Population'!G30*'Patient Population'!G31*'Patient Population'!G33*'Patient Population'!G35*'Patient Population'!G68</f>
        <v>0</v>
      </c>
      <c r="K33" s="81">
        <f>'Patient Population'!H30*'Patient Population'!H31*'Patient Population'!H33*'Patient Population'!H35*'Patient Population'!H68</f>
        <v>0</v>
      </c>
      <c r="L33" s="85">
        <f>'Patient Population'!I30*'Patient Population'!I31*'Patient Population'!I33*'Patient Population'!I35*'Patient Population'!I68</f>
        <v>0</v>
      </c>
    </row>
    <row r="34" spans="2:14" ht="15.75" thickBot="1" x14ac:dyDescent="0.3">
      <c r="B34" s="410" t="s">
        <v>58</v>
      </c>
      <c r="C34" s="411"/>
      <c r="D34" s="411"/>
      <c r="E34" s="411"/>
      <c r="F34" s="411"/>
      <c r="G34" s="412"/>
      <c r="H34" s="208">
        <f>(H30*H31)+((0.5*H31)*(H32+H33))</f>
        <v>0</v>
      </c>
      <c r="I34" s="206">
        <f>(I30*I31)+((0.5*I31)*(I32+I33))</f>
        <v>0</v>
      </c>
      <c r="J34" s="206">
        <f>(J30*J31)+((0.5*J31)*(J32+J33))</f>
        <v>0</v>
      </c>
      <c r="K34" s="206">
        <f>(K30*K31)+((0.5*K31)*(K32+K33))</f>
        <v>0</v>
      </c>
      <c r="L34" s="207">
        <f>(L30*L31)+((0.5*L31)*(L32+L33))</f>
        <v>0</v>
      </c>
    </row>
    <row r="35" spans="2:14" ht="15.75" thickBot="1" x14ac:dyDescent="0.3"/>
    <row r="36" spans="2:14" ht="15.75" thickBot="1" x14ac:dyDescent="0.3">
      <c r="B36" s="410" t="s">
        <v>54</v>
      </c>
      <c r="C36" s="411"/>
      <c r="D36" s="411"/>
      <c r="E36" s="411"/>
      <c r="F36" s="411"/>
      <c r="G36" s="412"/>
      <c r="H36" s="118">
        <f>H34</f>
        <v>0</v>
      </c>
      <c r="I36" s="118">
        <f>I34</f>
        <v>0</v>
      </c>
      <c r="J36" s="118">
        <f>J34</f>
        <v>0</v>
      </c>
      <c r="K36" s="118">
        <f>K34</f>
        <v>0</v>
      </c>
      <c r="L36" s="119">
        <f>L34</f>
        <v>0</v>
      </c>
      <c r="N36" s="119">
        <f t="shared" ref="N36" si="0">SUM(H36:L36)</f>
        <v>0</v>
      </c>
    </row>
    <row r="39" spans="2:14" ht="15.75" x14ac:dyDescent="0.25">
      <c r="B39" s="567" t="s">
        <v>55</v>
      </c>
      <c r="C39" s="567"/>
      <c r="D39" s="567"/>
      <c r="E39" s="567"/>
      <c r="F39" s="567"/>
      <c r="G39" s="567"/>
    </row>
    <row r="40" spans="2:14" ht="15.75" thickBot="1" x14ac:dyDescent="0.3">
      <c r="D40" s="63"/>
      <c r="E40" s="63"/>
      <c r="F40" s="63"/>
      <c r="G40" s="63"/>
    </row>
    <row r="41" spans="2:14" ht="15.75" thickBot="1" x14ac:dyDescent="0.3">
      <c r="B41" s="596" t="s">
        <v>102</v>
      </c>
      <c r="C41" s="596"/>
      <c r="D41" s="596"/>
      <c r="E41" s="596"/>
      <c r="F41" s="596"/>
      <c r="G41" s="596"/>
      <c r="H41" s="13" t="s">
        <v>6</v>
      </c>
      <c r="I41" s="197" t="s">
        <v>7</v>
      </c>
      <c r="J41" s="13" t="s">
        <v>8</v>
      </c>
      <c r="K41" s="197" t="s">
        <v>9</v>
      </c>
      <c r="L41" s="13" t="s">
        <v>10</v>
      </c>
    </row>
    <row r="42" spans="2:14" x14ac:dyDescent="0.25">
      <c r="B42" s="564" t="str">
        <f>CONCATENATE("Comparator 1: ",NameComparator1)</f>
        <v xml:space="preserve">Comparator 1: </v>
      </c>
      <c r="C42" s="565"/>
      <c r="D42" s="577" t="s">
        <v>18</v>
      </c>
      <c r="E42" s="586"/>
      <c r="F42" s="586"/>
      <c r="G42" s="586"/>
      <c r="H42" s="209">
        <f>'Patient Population'!E127</f>
        <v>0</v>
      </c>
      <c r="I42" s="210">
        <f>'Patient Population'!F127</f>
        <v>0</v>
      </c>
      <c r="J42" s="209">
        <f>'Patient Population'!G127</f>
        <v>0</v>
      </c>
      <c r="K42" s="210">
        <f>'Patient Population'!H127</f>
        <v>0</v>
      </c>
      <c r="L42" s="209">
        <f>'Patient Population'!I127</f>
        <v>0</v>
      </c>
    </row>
    <row r="43" spans="2:14" x14ac:dyDescent="0.25">
      <c r="B43" s="557"/>
      <c r="C43" s="558"/>
      <c r="D43" s="556" t="s">
        <v>23</v>
      </c>
      <c r="E43" s="587"/>
      <c r="F43" s="587"/>
      <c r="G43" s="587"/>
      <c r="H43" s="211">
        <f xml:space="preserve"> 'Drug Acquisition Costs'!E29</f>
        <v>0</v>
      </c>
      <c r="I43" s="212">
        <f xml:space="preserve"> 'Drug Acquisition Costs'!F29</f>
        <v>0</v>
      </c>
      <c r="J43" s="211">
        <f xml:space="preserve"> 'Drug Acquisition Costs'!G29</f>
        <v>0</v>
      </c>
      <c r="K43" s="212">
        <f xml:space="preserve"> 'Drug Acquisition Costs'!H29</f>
        <v>0</v>
      </c>
      <c r="L43" s="211">
        <f xml:space="preserve"> 'Drug Acquisition Costs'!I29</f>
        <v>0</v>
      </c>
    </row>
    <row r="44" spans="2:14" x14ac:dyDescent="0.25">
      <c r="B44" s="557"/>
      <c r="C44" s="558"/>
      <c r="D44" s="556" t="s">
        <v>60</v>
      </c>
      <c r="E44" s="587"/>
      <c r="F44" s="587"/>
      <c r="G44" s="587"/>
      <c r="H44" s="213">
        <f>('Patient Population'!E36*'Patient Population'!E69*'Patient Population'!E89)</f>
        <v>0</v>
      </c>
      <c r="I44" s="214">
        <f>('Patient Population'!F36*'Patient Population'!F69*'Patient Population'!F89)</f>
        <v>0</v>
      </c>
      <c r="J44" s="213">
        <f>('Patient Population'!G36*'Patient Population'!G69*'Patient Population'!G89)</f>
        <v>0</v>
      </c>
      <c r="K44" s="214">
        <f>('Patient Population'!H36*'Patient Population'!H69*'Patient Population'!H89)</f>
        <v>0</v>
      </c>
      <c r="L44" s="213">
        <f>('Patient Population'!I36*'Patient Population'!I69*'Patient Population'!I89)</f>
        <v>0</v>
      </c>
    </row>
    <row r="45" spans="2:14" ht="15.75" thickBot="1" x14ac:dyDescent="0.3">
      <c r="B45" s="559"/>
      <c r="C45" s="560"/>
      <c r="D45" s="579" t="s">
        <v>61</v>
      </c>
      <c r="E45" s="580"/>
      <c r="F45" s="580"/>
      <c r="G45" s="580"/>
      <c r="H45" s="204">
        <f>'Patient Population'!E30*'Patient Population'!E31*'Patient Population'!E33*'Patient Population'!E35*'Patient Population'!E69</f>
        <v>0</v>
      </c>
      <c r="I45" s="202">
        <f>'Patient Population'!F30*'Patient Population'!F31*'Patient Population'!F33*'Patient Population'!F35*'Patient Population'!F69</f>
        <v>0</v>
      </c>
      <c r="J45" s="204">
        <f>'Patient Population'!G30*'Patient Population'!G31*'Patient Population'!G33*'Patient Population'!G35*'Patient Population'!G69</f>
        <v>0</v>
      </c>
      <c r="K45" s="202">
        <f>'Patient Population'!H30*'Patient Population'!H31*'Patient Population'!H33*'Patient Population'!H35*'Patient Population'!H69</f>
        <v>0</v>
      </c>
      <c r="L45" s="204">
        <f>'Patient Population'!I30*'Patient Population'!I31*'Patient Population'!I33*'Patient Population'!I35*'Patient Population'!I69</f>
        <v>0</v>
      </c>
    </row>
    <row r="46" spans="2:14" ht="15" customHeight="1" x14ac:dyDescent="0.25">
      <c r="B46" s="557" t="str">
        <f>CONCATENATE("Comparator 2: ",NameComparator2)</f>
        <v xml:space="preserve">Comparator 2: </v>
      </c>
      <c r="C46" s="558"/>
      <c r="D46" s="577" t="s">
        <v>19</v>
      </c>
      <c r="E46" s="586"/>
      <c r="F46" s="586"/>
      <c r="G46" s="586"/>
      <c r="H46" s="209">
        <f>'Patient Population'!E128</f>
        <v>0</v>
      </c>
      <c r="I46" s="210">
        <f>'Patient Population'!F128</f>
        <v>0</v>
      </c>
      <c r="J46" s="209">
        <f>'Patient Population'!G128</f>
        <v>0</v>
      </c>
      <c r="K46" s="210">
        <f>'Patient Population'!H128</f>
        <v>0</v>
      </c>
      <c r="L46" s="209">
        <f>'Patient Population'!I128</f>
        <v>0</v>
      </c>
    </row>
    <row r="47" spans="2:14" x14ac:dyDescent="0.25">
      <c r="B47" s="557"/>
      <c r="C47" s="558"/>
      <c r="D47" s="556" t="s">
        <v>22</v>
      </c>
      <c r="E47" s="587"/>
      <c r="F47" s="587"/>
      <c r="G47" s="587"/>
      <c r="H47" s="211">
        <f xml:space="preserve"> 'Drug Acquisition Costs'!E30</f>
        <v>0</v>
      </c>
      <c r="I47" s="212">
        <f xml:space="preserve"> 'Drug Acquisition Costs'!F30</f>
        <v>0</v>
      </c>
      <c r="J47" s="211">
        <f xml:space="preserve"> 'Drug Acquisition Costs'!G30</f>
        <v>0</v>
      </c>
      <c r="K47" s="212">
        <f xml:space="preserve"> 'Drug Acquisition Costs'!H30</f>
        <v>0</v>
      </c>
      <c r="L47" s="211">
        <f xml:space="preserve"> 'Drug Acquisition Costs'!I30</f>
        <v>0</v>
      </c>
    </row>
    <row r="48" spans="2:14" x14ac:dyDescent="0.25">
      <c r="B48" s="557"/>
      <c r="C48" s="558"/>
      <c r="D48" s="563" t="s">
        <v>60</v>
      </c>
      <c r="E48" s="599"/>
      <c r="F48" s="599"/>
      <c r="G48" s="599"/>
      <c r="H48" s="215">
        <f>('Patient Population'!E36*'Patient Population'!E70*'Patient Population'!E90)</f>
        <v>0</v>
      </c>
      <c r="I48" s="216">
        <f>('Patient Population'!F36*'Patient Population'!F70*'Patient Population'!F90)</f>
        <v>0</v>
      </c>
      <c r="J48" s="215">
        <f>('Patient Population'!G36*'Patient Population'!G70*'Patient Population'!G90)</f>
        <v>0</v>
      </c>
      <c r="K48" s="216">
        <f>('Patient Population'!H36*'Patient Population'!H70*'Patient Population'!H90)</f>
        <v>0</v>
      </c>
      <c r="L48" s="215">
        <f>('Patient Population'!I36*'Patient Population'!I70*'Patient Population'!I90)</f>
        <v>0</v>
      </c>
    </row>
    <row r="49" spans="1:12" ht="15.75" thickBot="1" x14ac:dyDescent="0.3">
      <c r="B49" s="557"/>
      <c r="C49" s="558"/>
      <c r="D49" s="581" t="s">
        <v>61</v>
      </c>
      <c r="E49" s="581"/>
      <c r="F49" s="581"/>
      <c r="G49" s="581"/>
      <c r="H49" s="203">
        <f>'Patient Population'!E30*'Patient Population'!E31*'Patient Population'!E33*'Patient Population'!E35*'Patient Population'!E70</f>
        <v>0</v>
      </c>
      <c r="I49" s="200">
        <f>'Patient Population'!F30*'Patient Population'!F31*'Patient Population'!F33*'Patient Population'!F35*'Patient Population'!F70</f>
        <v>0</v>
      </c>
      <c r="J49" s="203">
        <f>'Patient Population'!G30*'Patient Population'!G31*'Patient Population'!G33*'Patient Population'!G35*'Patient Population'!G70</f>
        <v>0</v>
      </c>
      <c r="K49" s="200">
        <f>'Patient Population'!H30*'Patient Population'!H31*'Patient Population'!H33*'Patient Population'!H35*'Patient Population'!H70</f>
        <v>0</v>
      </c>
      <c r="L49" s="203">
        <f>'Patient Population'!I30*'Patient Population'!I31*'Patient Population'!I33*'Patient Population'!I35*'Patient Population'!I70</f>
        <v>0</v>
      </c>
    </row>
    <row r="50" spans="1:12" ht="15" customHeight="1" x14ac:dyDescent="0.25">
      <c r="B50" s="564" t="str">
        <f>CONCATENATE("Comparator 3: ",NameComparator3)</f>
        <v xml:space="preserve">Comparator 3: </v>
      </c>
      <c r="C50" s="565"/>
      <c r="D50" s="588" t="s">
        <v>20</v>
      </c>
      <c r="E50" s="576"/>
      <c r="F50" s="576"/>
      <c r="G50" s="577"/>
      <c r="H50" s="209">
        <f>'Patient Population'!E129</f>
        <v>0</v>
      </c>
      <c r="I50" s="210">
        <f>'Patient Population'!F129</f>
        <v>0</v>
      </c>
      <c r="J50" s="209">
        <f>'Patient Population'!G129</f>
        <v>0</v>
      </c>
      <c r="K50" s="210">
        <f>'Patient Population'!H129</f>
        <v>0</v>
      </c>
      <c r="L50" s="209">
        <f>'Patient Population'!I129</f>
        <v>0</v>
      </c>
    </row>
    <row r="51" spans="1:12" x14ac:dyDescent="0.25">
      <c r="B51" s="557"/>
      <c r="C51" s="558"/>
      <c r="D51" s="554" t="s">
        <v>24</v>
      </c>
      <c r="E51" s="555"/>
      <c r="F51" s="555"/>
      <c r="G51" s="556"/>
      <c r="H51" s="211">
        <f xml:space="preserve"> 'Drug Acquisition Costs'!E31</f>
        <v>0</v>
      </c>
      <c r="I51" s="212">
        <f xml:space="preserve"> 'Drug Acquisition Costs'!F31</f>
        <v>0</v>
      </c>
      <c r="J51" s="211">
        <f xml:space="preserve"> 'Drug Acquisition Costs'!G31</f>
        <v>0</v>
      </c>
      <c r="K51" s="212">
        <f xml:space="preserve"> 'Drug Acquisition Costs'!H31</f>
        <v>0</v>
      </c>
      <c r="L51" s="211">
        <f xml:space="preserve"> 'Drug Acquisition Costs'!I31</f>
        <v>0</v>
      </c>
    </row>
    <row r="52" spans="1:12" x14ac:dyDescent="0.25">
      <c r="B52" s="557"/>
      <c r="C52" s="558"/>
      <c r="D52" s="554" t="s">
        <v>60</v>
      </c>
      <c r="E52" s="555"/>
      <c r="F52" s="555"/>
      <c r="G52" s="556"/>
      <c r="H52" s="213">
        <f>('Patient Population'!E36*'Patient Population'!E71*'Patient Population'!E91)</f>
        <v>0</v>
      </c>
      <c r="I52" s="214">
        <f>('Patient Population'!F36*'Patient Population'!F71*'Patient Population'!F91)</f>
        <v>0</v>
      </c>
      <c r="J52" s="213">
        <f>('Patient Population'!G36*'Patient Population'!G71*'Patient Population'!G91)</f>
        <v>0</v>
      </c>
      <c r="K52" s="214">
        <f>('Patient Population'!H36*'Patient Population'!H71*'Patient Population'!H91)</f>
        <v>0</v>
      </c>
      <c r="L52" s="213">
        <f>('Patient Population'!I36*'Patient Population'!I71*'Patient Population'!I91)</f>
        <v>0</v>
      </c>
    </row>
    <row r="53" spans="1:12" ht="15.75" thickBot="1" x14ac:dyDescent="0.3">
      <c r="B53" s="559"/>
      <c r="C53" s="560"/>
      <c r="D53" s="582" t="s">
        <v>61</v>
      </c>
      <c r="E53" s="569"/>
      <c r="F53" s="569"/>
      <c r="G53" s="570"/>
      <c r="H53" s="204">
        <f>'Patient Population'!E30*'Patient Population'!E31*'Patient Population'!E33*'Patient Population'!E35*'Patient Population'!E71</f>
        <v>0</v>
      </c>
      <c r="I53" s="202">
        <f>'Patient Population'!F30*'Patient Population'!F31*'Patient Population'!F33*'Patient Population'!F35*'Patient Population'!F71</f>
        <v>0</v>
      </c>
      <c r="J53" s="204">
        <f>'Patient Population'!G30*'Patient Population'!G31*'Patient Population'!G33*'Patient Population'!G35*'Patient Population'!G71</f>
        <v>0</v>
      </c>
      <c r="K53" s="202">
        <f>'Patient Population'!H30*'Patient Population'!H31*'Patient Population'!H33*'Patient Population'!H35*'Patient Population'!H71</f>
        <v>0</v>
      </c>
      <c r="L53" s="204">
        <f>'Patient Population'!I30*'Patient Population'!I31*'Patient Population'!I33*'Patient Population'!I35*'Patient Population'!I71</f>
        <v>0</v>
      </c>
    </row>
    <row r="54" spans="1:12" ht="15" customHeight="1" x14ac:dyDescent="0.25">
      <c r="B54" s="557" t="str">
        <f>CONCATENATE("Comparator 4: ",NameComparator4)</f>
        <v xml:space="preserve">Comparator 4: </v>
      </c>
      <c r="C54" s="558"/>
      <c r="D54" s="561" t="s">
        <v>21</v>
      </c>
      <c r="E54" s="562"/>
      <c r="F54" s="562"/>
      <c r="G54" s="563"/>
      <c r="H54" s="209">
        <f>'Patient Population'!E130</f>
        <v>0</v>
      </c>
      <c r="I54" s="210">
        <f>'Patient Population'!F130</f>
        <v>0</v>
      </c>
      <c r="J54" s="209">
        <f>'Patient Population'!G130</f>
        <v>0</v>
      </c>
      <c r="K54" s="210">
        <f>'Patient Population'!H130</f>
        <v>0</v>
      </c>
      <c r="L54" s="209">
        <f>'Patient Population'!I130</f>
        <v>0</v>
      </c>
    </row>
    <row r="55" spans="1:12" x14ac:dyDescent="0.25">
      <c r="B55" s="557"/>
      <c r="C55" s="558"/>
      <c r="D55" s="554" t="s">
        <v>25</v>
      </c>
      <c r="E55" s="555"/>
      <c r="F55" s="555"/>
      <c r="G55" s="556"/>
      <c r="H55" s="211">
        <f xml:space="preserve"> 'Drug Acquisition Costs'!E32</f>
        <v>0</v>
      </c>
      <c r="I55" s="212">
        <f xml:space="preserve"> 'Drug Acquisition Costs'!F32</f>
        <v>0</v>
      </c>
      <c r="J55" s="211">
        <f xml:space="preserve"> 'Drug Acquisition Costs'!G32</f>
        <v>0</v>
      </c>
      <c r="K55" s="212">
        <f xml:space="preserve"> 'Drug Acquisition Costs'!H32</f>
        <v>0</v>
      </c>
      <c r="L55" s="211">
        <f xml:space="preserve"> 'Drug Acquisition Costs'!I32</f>
        <v>0</v>
      </c>
    </row>
    <row r="56" spans="1:12" x14ac:dyDescent="0.25">
      <c r="B56" s="557"/>
      <c r="C56" s="558"/>
      <c r="D56" s="554" t="s">
        <v>60</v>
      </c>
      <c r="E56" s="555"/>
      <c r="F56" s="555"/>
      <c r="G56" s="556"/>
      <c r="H56" s="213">
        <f>('Patient Population'!E36*'Patient Population'!E72*'Patient Population'!E92)</f>
        <v>0</v>
      </c>
      <c r="I56" s="214">
        <f>('Patient Population'!F36*'Patient Population'!F72*'Patient Population'!F92)</f>
        <v>0</v>
      </c>
      <c r="J56" s="213">
        <f>('Patient Population'!G36*'Patient Population'!G72*'Patient Population'!G92)</f>
        <v>0</v>
      </c>
      <c r="K56" s="214">
        <f>('Patient Population'!H36*'Patient Population'!H72*'Patient Population'!H92)</f>
        <v>0</v>
      </c>
      <c r="L56" s="213">
        <f>('Patient Population'!I36*'Patient Population'!I72*'Patient Population'!I92)</f>
        <v>0</v>
      </c>
    </row>
    <row r="57" spans="1:12" ht="15.75" thickBot="1" x14ac:dyDescent="0.3">
      <c r="B57" s="557"/>
      <c r="C57" s="558"/>
      <c r="D57" s="583" t="s">
        <v>61</v>
      </c>
      <c r="E57" s="573"/>
      <c r="F57" s="573"/>
      <c r="G57" s="574"/>
      <c r="H57" s="203">
        <f>'Patient Population'!E30*'Patient Population'!E31*'Patient Population'!E33*'Patient Population'!E35*'Patient Population'!E72</f>
        <v>0</v>
      </c>
      <c r="I57" s="200">
        <f>'Patient Population'!F30*'Patient Population'!F31*'Patient Population'!F33*'Patient Population'!F35*'Patient Population'!F72</f>
        <v>0</v>
      </c>
      <c r="J57" s="203">
        <f>'Patient Population'!G30*'Patient Population'!G31*'Patient Population'!G33*'Patient Population'!G35*'Patient Population'!G72</f>
        <v>0</v>
      </c>
      <c r="K57" s="200">
        <f>'Patient Population'!H30*'Patient Population'!H31*'Patient Population'!H33*'Patient Population'!H35*'Patient Population'!H72</f>
        <v>0</v>
      </c>
      <c r="L57" s="203">
        <f>'Patient Population'!I30*'Patient Population'!I31*'Patient Population'!I33*'Patient Population'!I35*'Patient Population'!I72</f>
        <v>0</v>
      </c>
    </row>
    <row r="58" spans="1:12" ht="15" customHeight="1" x14ac:dyDescent="0.25">
      <c r="B58" s="564" t="str">
        <f>CONCATENATE("Comparator 5: ",NameComparator5)</f>
        <v xml:space="preserve">Comparator 5: </v>
      </c>
      <c r="C58" s="565"/>
      <c r="D58" s="588" t="s">
        <v>47</v>
      </c>
      <c r="E58" s="576"/>
      <c r="F58" s="576"/>
      <c r="G58" s="577"/>
      <c r="H58" s="209">
        <f>'Patient Population'!E131</f>
        <v>0</v>
      </c>
      <c r="I58" s="210">
        <f>'Patient Population'!F131</f>
        <v>0</v>
      </c>
      <c r="J58" s="209">
        <f>'Patient Population'!G131</f>
        <v>0</v>
      </c>
      <c r="K58" s="210">
        <f>'Patient Population'!H131</f>
        <v>0</v>
      </c>
      <c r="L58" s="209">
        <f>'Patient Population'!I131</f>
        <v>0</v>
      </c>
    </row>
    <row r="59" spans="1:12" x14ac:dyDescent="0.25">
      <c r="A59" s="8"/>
      <c r="B59" s="557"/>
      <c r="C59" s="558"/>
      <c r="D59" s="554" t="s">
        <v>48</v>
      </c>
      <c r="E59" s="555"/>
      <c r="F59" s="555"/>
      <c r="G59" s="556"/>
      <c r="H59" s="211">
        <f xml:space="preserve"> 'Drug Acquisition Costs'!E33</f>
        <v>0</v>
      </c>
      <c r="I59" s="212">
        <f xml:space="preserve"> 'Drug Acquisition Costs'!F33</f>
        <v>0</v>
      </c>
      <c r="J59" s="211">
        <f xml:space="preserve"> 'Drug Acquisition Costs'!G33</f>
        <v>0</v>
      </c>
      <c r="K59" s="212">
        <f xml:space="preserve"> 'Drug Acquisition Costs'!H33</f>
        <v>0</v>
      </c>
      <c r="L59" s="211">
        <f xml:space="preserve"> 'Drug Acquisition Costs'!I33</f>
        <v>0</v>
      </c>
    </row>
    <row r="60" spans="1:12" x14ac:dyDescent="0.25">
      <c r="A60" s="8"/>
      <c r="B60" s="557"/>
      <c r="C60" s="558"/>
      <c r="D60" s="554" t="s">
        <v>60</v>
      </c>
      <c r="E60" s="555"/>
      <c r="F60" s="555"/>
      <c r="G60" s="556"/>
      <c r="H60" s="213">
        <f>('Patient Population'!E36*'Patient Population'!E73*'Patient Population'!E93)</f>
        <v>0</v>
      </c>
      <c r="I60" s="214">
        <f>('Patient Population'!F36*'Patient Population'!F73*'Patient Population'!F93)</f>
        <v>0</v>
      </c>
      <c r="J60" s="213">
        <f>('Patient Population'!G36*'Patient Population'!G73*'Patient Population'!G93)</f>
        <v>0</v>
      </c>
      <c r="K60" s="214">
        <f>('Patient Population'!H36*'Patient Population'!H73*'Patient Population'!H93)</f>
        <v>0</v>
      </c>
      <c r="L60" s="213">
        <f>('Patient Population'!I36*'Patient Population'!I73*'Patient Population'!I93)</f>
        <v>0</v>
      </c>
    </row>
    <row r="61" spans="1:12" ht="15.75" thickBot="1" x14ac:dyDescent="0.3">
      <c r="A61" s="8"/>
      <c r="B61" s="559"/>
      <c r="C61" s="560"/>
      <c r="D61" s="582" t="s">
        <v>61</v>
      </c>
      <c r="E61" s="569"/>
      <c r="F61" s="569"/>
      <c r="G61" s="570"/>
      <c r="H61" s="204">
        <f>'Patient Population'!E30*'Patient Population'!E31*'Patient Population'!E33*'Patient Population'!E35*'Patient Population'!E73</f>
        <v>0</v>
      </c>
      <c r="I61" s="202">
        <f>'Patient Population'!F30*'Patient Population'!F31*'Patient Population'!F33*'Patient Population'!F35*'Patient Population'!F73</f>
        <v>0</v>
      </c>
      <c r="J61" s="204">
        <f>'Patient Population'!G30*'Patient Population'!G31*'Patient Population'!G33*'Patient Population'!G35*'Patient Population'!G73</f>
        <v>0</v>
      </c>
      <c r="K61" s="202">
        <f>'Patient Population'!H30*'Patient Population'!H31*'Patient Population'!H33*'Patient Population'!H35*'Patient Population'!H73</f>
        <v>0</v>
      </c>
      <c r="L61" s="204">
        <f>'Patient Population'!I30*'Patient Population'!I31*'Patient Population'!I33*'Patient Population'!I35*'Patient Population'!I73</f>
        <v>0</v>
      </c>
    </row>
    <row r="62" spans="1:12" ht="15" customHeight="1" x14ac:dyDescent="0.25">
      <c r="A62" s="8"/>
      <c r="B62" s="557" t="str">
        <f>CONCATENATE("Comparator 6: ",NameComparator6)</f>
        <v xml:space="preserve">Comparator 6: </v>
      </c>
      <c r="C62" s="558"/>
      <c r="D62" s="561" t="s">
        <v>49</v>
      </c>
      <c r="E62" s="562"/>
      <c r="F62" s="562"/>
      <c r="G62" s="563"/>
      <c r="H62" s="209">
        <f>'Patient Population'!E132</f>
        <v>0</v>
      </c>
      <c r="I62" s="210">
        <f>'Patient Population'!F132</f>
        <v>0</v>
      </c>
      <c r="J62" s="209">
        <f>'Patient Population'!G132</f>
        <v>0</v>
      </c>
      <c r="K62" s="210">
        <f>'Patient Population'!H132</f>
        <v>0</v>
      </c>
      <c r="L62" s="209">
        <f>'Patient Population'!I132</f>
        <v>0</v>
      </c>
    </row>
    <row r="63" spans="1:12" x14ac:dyDescent="0.25">
      <c r="B63" s="557"/>
      <c r="C63" s="558"/>
      <c r="D63" s="554" t="s">
        <v>50</v>
      </c>
      <c r="E63" s="555"/>
      <c r="F63" s="555"/>
      <c r="G63" s="556"/>
      <c r="H63" s="211">
        <f xml:space="preserve"> 'Drug Acquisition Costs'!E34</f>
        <v>0</v>
      </c>
      <c r="I63" s="212">
        <f xml:space="preserve"> 'Drug Acquisition Costs'!F34</f>
        <v>0</v>
      </c>
      <c r="J63" s="211">
        <f xml:space="preserve"> 'Drug Acquisition Costs'!G34</f>
        <v>0</v>
      </c>
      <c r="K63" s="212">
        <f xml:space="preserve"> 'Drug Acquisition Costs'!H34</f>
        <v>0</v>
      </c>
      <c r="L63" s="211">
        <f xml:space="preserve"> 'Drug Acquisition Costs'!I34</f>
        <v>0</v>
      </c>
    </row>
    <row r="64" spans="1:12" x14ac:dyDescent="0.25">
      <c r="B64" s="557"/>
      <c r="C64" s="558"/>
      <c r="D64" s="554" t="s">
        <v>60</v>
      </c>
      <c r="E64" s="555"/>
      <c r="F64" s="555"/>
      <c r="G64" s="556"/>
      <c r="H64" s="213">
        <f>('Patient Population'!E36*'Patient Population'!E74*'Patient Population'!E94)</f>
        <v>0</v>
      </c>
      <c r="I64" s="214">
        <f>('Patient Population'!F36*'Patient Population'!F74*'Patient Population'!F94)</f>
        <v>0</v>
      </c>
      <c r="J64" s="213">
        <f>('Patient Population'!G36*'Patient Population'!G74*'Patient Population'!G94)</f>
        <v>0</v>
      </c>
      <c r="K64" s="214">
        <f>('Patient Population'!H36*'Patient Population'!H74*'Patient Population'!H94)</f>
        <v>0</v>
      </c>
      <c r="L64" s="213">
        <f>('Patient Population'!I36*'Patient Population'!I74*'Patient Population'!I94)</f>
        <v>0</v>
      </c>
    </row>
    <row r="65" spans="2:12" ht="15.75" thickBot="1" x14ac:dyDescent="0.3">
      <c r="B65" s="559"/>
      <c r="C65" s="560"/>
      <c r="D65" s="582" t="s">
        <v>61</v>
      </c>
      <c r="E65" s="569"/>
      <c r="F65" s="569"/>
      <c r="G65" s="570"/>
      <c r="H65" s="204">
        <f>'Patient Population'!E30*'Patient Population'!E31*'Patient Population'!E33*'Patient Population'!E35*'Patient Population'!E74</f>
        <v>0</v>
      </c>
      <c r="I65" s="202">
        <f>'Patient Population'!F30*'Patient Population'!F31*'Patient Population'!F33*'Patient Population'!F35*'Patient Population'!F74</f>
        <v>0</v>
      </c>
      <c r="J65" s="204">
        <f>'Patient Population'!G30*'Patient Population'!G31*'Patient Population'!G33*'Patient Population'!G35*'Patient Population'!G74</f>
        <v>0</v>
      </c>
      <c r="K65" s="202">
        <f>'Patient Population'!H30*'Patient Population'!H31*'Patient Population'!H33*'Patient Population'!H35*'Patient Population'!H74</f>
        <v>0</v>
      </c>
      <c r="L65" s="204">
        <f>'Patient Population'!I30*'Patient Population'!I31*'Patient Population'!I33*'Patient Population'!I35*'Patient Population'!I74</f>
        <v>0</v>
      </c>
    </row>
    <row r="66" spans="2:12" x14ac:dyDescent="0.25">
      <c r="B66" s="557" t="str">
        <f>CONCATENATE("Comparator 7: ",NameComparator7)</f>
        <v xml:space="preserve">Comparator 7: </v>
      </c>
      <c r="C66" s="558"/>
      <c r="D66" s="561" t="s">
        <v>228</v>
      </c>
      <c r="E66" s="562"/>
      <c r="F66" s="562"/>
      <c r="G66" s="563"/>
      <c r="H66" s="209">
        <f>'Patient Population'!E133</f>
        <v>0</v>
      </c>
      <c r="I66" s="210">
        <f>'Patient Population'!F133</f>
        <v>0</v>
      </c>
      <c r="J66" s="209">
        <f>'Patient Population'!G133</f>
        <v>0</v>
      </c>
      <c r="K66" s="210">
        <f>'Patient Population'!H133</f>
        <v>0</v>
      </c>
      <c r="L66" s="209">
        <f>'Patient Population'!I133</f>
        <v>0</v>
      </c>
    </row>
    <row r="67" spans="2:12" x14ac:dyDescent="0.25">
      <c r="B67" s="557"/>
      <c r="C67" s="558"/>
      <c r="D67" s="554" t="s">
        <v>229</v>
      </c>
      <c r="E67" s="555"/>
      <c r="F67" s="555"/>
      <c r="G67" s="556"/>
      <c r="H67" s="211">
        <f>'Drug Acquisition Costs'!E35</f>
        <v>0</v>
      </c>
      <c r="I67" s="212">
        <f>'Drug Acquisition Costs'!F35</f>
        <v>0</v>
      </c>
      <c r="J67" s="211">
        <f>'Drug Acquisition Costs'!G35</f>
        <v>0</v>
      </c>
      <c r="K67" s="212">
        <f>'Drug Acquisition Costs'!H35</f>
        <v>0</v>
      </c>
      <c r="L67" s="211">
        <f>'Drug Acquisition Costs'!I35</f>
        <v>0</v>
      </c>
    </row>
    <row r="68" spans="2:12" x14ac:dyDescent="0.25">
      <c r="B68" s="557"/>
      <c r="C68" s="558"/>
      <c r="D68" s="554" t="s">
        <v>60</v>
      </c>
      <c r="E68" s="555"/>
      <c r="F68" s="555"/>
      <c r="G68" s="556"/>
      <c r="H68" s="213">
        <f>('Patient Population'!E36*'Patient Population'!E75*'Patient Population'!E95)</f>
        <v>0</v>
      </c>
      <c r="I68" s="214">
        <f>('Patient Population'!F36*'Patient Population'!F75*'Patient Population'!F95)</f>
        <v>0</v>
      </c>
      <c r="J68" s="213">
        <f>('Patient Population'!G36*'Patient Population'!G75*'Patient Population'!G95)</f>
        <v>0</v>
      </c>
      <c r="K68" s="214">
        <f>('Patient Population'!H36*'Patient Population'!H75*'Patient Population'!H95)</f>
        <v>0</v>
      </c>
      <c r="L68" s="213">
        <f>('Patient Population'!I36*'Patient Population'!I75*'Patient Population'!I95)</f>
        <v>0</v>
      </c>
    </row>
    <row r="69" spans="2:12" ht="15.75" thickBot="1" x14ac:dyDescent="0.3">
      <c r="B69" s="559"/>
      <c r="C69" s="560"/>
      <c r="D69" s="582" t="s">
        <v>61</v>
      </c>
      <c r="E69" s="569"/>
      <c r="F69" s="569"/>
      <c r="G69" s="570"/>
      <c r="H69" s="204">
        <f>'Patient Population'!E30*'Patient Population'!E31*'Patient Population'!E33*'Patient Population'!E35*'Patient Population'!E75</f>
        <v>0</v>
      </c>
      <c r="I69" s="202">
        <f>'Patient Population'!F30*'Patient Population'!F31*'Patient Population'!F33*'Patient Population'!F35*'Patient Population'!F75</f>
        <v>0</v>
      </c>
      <c r="J69" s="204">
        <f>'Patient Population'!G30*'Patient Population'!G31*'Patient Population'!G33*'Patient Population'!G35*'Patient Population'!G75</f>
        <v>0</v>
      </c>
      <c r="K69" s="202">
        <f>'Patient Population'!H30*'Patient Population'!H31*'Patient Population'!H33*'Patient Population'!H35*'Patient Population'!H75</f>
        <v>0</v>
      </c>
      <c r="L69" s="204">
        <f>'Patient Population'!I30*'Patient Population'!I31*'Patient Population'!I33*'Patient Population'!I35*'Patient Population'!I75</f>
        <v>0</v>
      </c>
    </row>
    <row r="70" spans="2:12" x14ac:dyDescent="0.25">
      <c r="B70" s="557" t="str">
        <f>CONCATENATE("Comparator 8: ",NameComparator8)</f>
        <v xml:space="preserve">Comparator 8: </v>
      </c>
      <c r="C70" s="558"/>
      <c r="D70" s="561" t="s">
        <v>230</v>
      </c>
      <c r="E70" s="562"/>
      <c r="F70" s="562"/>
      <c r="G70" s="563"/>
      <c r="H70" s="209">
        <f>'Patient Population'!E134</f>
        <v>0</v>
      </c>
      <c r="I70" s="210">
        <f>'Patient Population'!F134</f>
        <v>0</v>
      </c>
      <c r="J70" s="209">
        <f>'Patient Population'!G134</f>
        <v>0</v>
      </c>
      <c r="K70" s="210">
        <f>'Patient Population'!H134</f>
        <v>0</v>
      </c>
      <c r="L70" s="209">
        <f>'Patient Population'!I134</f>
        <v>0</v>
      </c>
    </row>
    <row r="71" spans="2:12" x14ac:dyDescent="0.25">
      <c r="B71" s="557"/>
      <c r="C71" s="558"/>
      <c r="D71" s="554" t="s">
        <v>231</v>
      </c>
      <c r="E71" s="555"/>
      <c r="F71" s="555"/>
      <c r="G71" s="556"/>
      <c r="H71" s="211">
        <f>'Drug Acquisition Costs'!E36</f>
        <v>0</v>
      </c>
      <c r="I71" s="212">
        <f>'Drug Acquisition Costs'!F36</f>
        <v>0</v>
      </c>
      <c r="J71" s="211">
        <f>'Drug Acquisition Costs'!G36</f>
        <v>0</v>
      </c>
      <c r="K71" s="212">
        <f>'Drug Acquisition Costs'!H36</f>
        <v>0</v>
      </c>
      <c r="L71" s="211">
        <f>'Drug Acquisition Costs'!I36</f>
        <v>0</v>
      </c>
    </row>
    <row r="72" spans="2:12" x14ac:dyDescent="0.25">
      <c r="B72" s="557"/>
      <c r="C72" s="558"/>
      <c r="D72" s="554" t="s">
        <v>60</v>
      </c>
      <c r="E72" s="555"/>
      <c r="F72" s="555"/>
      <c r="G72" s="556"/>
      <c r="H72" s="213">
        <f>('Patient Population'!E36*'Patient Population'!E76*'Patient Population'!E96)</f>
        <v>0</v>
      </c>
      <c r="I72" s="214">
        <f>('Patient Population'!F36*'Patient Population'!F76*'Patient Population'!F96)</f>
        <v>0</v>
      </c>
      <c r="J72" s="213">
        <f>('Patient Population'!G36*'Patient Population'!G76*'Patient Population'!G96)</f>
        <v>0</v>
      </c>
      <c r="K72" s="214">
        <f>('Patient Population'!H36*'Patient Population'!H76*'Patient Population'!H96)</f>
        <v>0</v>
      </c>
      <c r="L72" s="213">
        <f>('Patient Population'!I36*'Patient Population'!I76*'Patient Population'!I96)</f>
        <v>0</v>
      </c>
    </row>
    <row r="73" spans="2:12" ht="15.75" thickBot="1" x14ac:dyDescent="0.3">
      <c r="B73" s="559"/>
      <c r="C73" s="560"/>
      <c r="D73" s="582" t="s">
        <v>61</v>
      </c>
      <c r="E73" s="569"/>
      <c r="F73" s="569"/>
      <c r="G73" s="570"/>
      <c r="H73" s="204">
        <f>'Patient Population'!E30*'Patient Population'!E31*'Patient Population'!E33*'Patient Population'!E35*'Patient Population'!E76</f>
        <v>0</v>
      </c>
      <c r="I73" s="202">
        <f>'Patient Population'!F30*'Patient Population'!F31*'Patient Population'!F33*'Patient Population'!F35*'Patient Population'!F76</f>
        <v>0</v>
      </c>
      <c r="J73" s="204">
        <f>'Patient Population'!G30*'Patient Population'!G31*'Patient Population'!G33*'Patient Population'!G35*'Patient Population'!G76</f>
        <v>0</v>
      </c>
      <c r="K73" s="202">
        <f>'Patient Population'!H30*'Patient Population'!H31*'Patient Population'!H33*'Patient Population'!H35*'Patient Population'!H76</f>
        <v>0</v>
      </c>
      <c r="L73" s="204">
        <f>'Patient Population'!I30*'Patient Population'!I31*'Patient Population'!I33*'Patient Population'!I35*'Patient Population'!I76</f>
        <v>0</v>
      </c>
    </row>
    <row r="74" spans="2:12" x14ac:dyDescent="0.25">
      <c r="B74" s="557" t="str">
        <f>CONCATENATE("Comparator 9: ",NameComparator9)</f>
        <v xml:space="preserve">Comparator 9: </v>
      </c>
      <c r="C74" s="558"/>
      <c r="D74" s="561" t="s">
        <v>232</v>
      </c>
      <c r="E74" s="562"/>
      <c r="F74" s="562"/>
      <c r="G74" s="563"/>
      <c r="H74" s="209">
        <f>'Patient Population'!E135</f>
        <v>0</v>
      </c>
      <c r="I74" s="210">
        <f>'Patient Population'!F135</f>
        <v>0</v>
      </c>
      <c r="J74" s="209">
        <f>'Patient Population'!G135</f>
        <v>0</v>
      </c>
      <c r="K74" s="210">
        <f>'Patient Population'!H135</f>
        <v>0</v>
      </c>
      <c r="L74" s="209">
        <f>'Patient Population'!I135</f>
        <v>0</v>
      </c>
    </row>
    <row r="75" spans="2:12" x14ac:dyDescent="0.25">
      <c r="B75" s="557"/>
      <c r="C75" s="558"/>
      <c r="D75" s="554" t="s">
        <v>233</v>
      </c>
      <c r="E75" s="555"/>
      <c r="F75" s="555"/>
      <c r="G75" s="556"/>
      <c r="H75" s="211">
        <f>'Drug Acquisition Costs'!E37</f>
        <v>0</v>
      </c>
      <c r="I75" s="212">
        <f>'Drug Acquisition Costs'!F37</f>
        <v>0</v>
      </c>
      <c r="J75" s="211">
        <f>'Drug Acquisition Costs'!G37</f>
        <v>0</v>
      </c>
      <c r="K75" s="212">
        <f>'Drug Acquisition Costs'!H37</f>
        <v>0</v>
      </c>
      <c r="L75" s="211">
        <f>'Drug Acquisition Costs'!I37</f>
        <v>0</v>
      </c>
    </row>
    <row r="76" spans="2:12" x14ac:dyDescent="0.25">
      <c r="B76" s="557"/>
      <c r="C76" s="558"/>
      <c r="D76" s="554" t="s">
        <v>60</v>
      </c>
      <c r="E76" s="555"/>
      <c r="F76" s="555"/>
      <c r="G76" s="556"/>
      <c r="H76" s="213">
        <f>('Patient Population'!E36*'Patient Population'!E77*'Patient Population'!E97)</f>
        <v>0</v>
      </c>
      <c r="I76" s="214">
        <f>('Patient Population'!F36*'Patient Population'!F77*'Patient Population'!F97)</f>
        <v>0</v>
      </c>
      <c r="J76" s="213">
        <f>('Patient Population'!G36*'Patient Population'!G77*'Patient Population'!G97)</f>
        <v>0</v>
      </c>
      <c r="K76" s="214">
        <f>('Patient Population'!H36*'Patient Population'!H77*'Patient Population'!H97)</f>
        <v>0</v>
      </c>
      <c r="L76" s="213">
        <f>('Patient Population'!I36*'Patient Population'!I77*'Patient Population'!I97)</f>
        <v>0</v>
      </c>
    </row>
    <row r="77" spans="2:12" ht="15.75" thickBot="1" x14ac:dyDescent="0.3">
      <c r="B77" s="559"/>
      <c r="C77" s="560"/>
      <c r="D77" s="582" t="s">
        <v>61</v>
      </c>
      <c r="E77" s="569"/>
      <c r="F77" s="569"/>
      <c r="G77" s="570"/>
      <c r="H77" s="204">
        <f>'Patient Population'!E30*'Patient Population'!E31*'Patient Population'!E33*'Patient Population'!E35*'Patient Population'!E77</f>
        <v>0</v>
      </c>
      <c r="I77" s="202">
        <f>'Patient Population'!F30*'Patient Population'!F31*'Patient Population'!F33*'Patient Population'!F35*'Patient Population'!F77</f>
        <v>0</v>
      </c>
      <c r="J77" s="204">
        <f>'Patient Population'!G30*'Patient Population'!G31*'Patient Population'!G33*'Patient Population'!G35*'Patient Population'!G77</f>
        <v>0</v>
      </c>
      <c r="K77" s="202">
        <f>'Patient Population'!H30*'Patient Population'!H31*'Patient Population'!H33*'Patient Population'!H35*'Patient Population'!H77</f>
        <v>0</v>
      </c>
      <c r="L77" s="204">
        <f>'Patient Population'!I30*'Patient Population'!I31*'Patient Population'!I33*'Patient Population'!I35*'Patient Population'!I77</f>
        <v>0</v>
      </c>
    </row>
    <row r="78" spans="2:12" x14ac:dyDescent="0.25">
      <c r="B78" s="557" t="str">
        <f>CONCATENATE("Comparator 10: ",NameComparator10)</f>
        <v xml:space="preserve">Comparator 10: </v>
      </c>
      <c r="C78" s="558"/>
      <c r="D78" s="561" t="s">
        <v>234</v>
      </c>
      <c r="E78" s="562"/>
      <c r="F78" s="562"/>
      <c r="G78" s="563"/>
      <c r="H78" s="209">
        <f>'Patient Population'!E136</f>
        <v>0</v>
      </c>
      <c r="I78" s="210">
        <f>'Patient Population'!F136</f>
        <v>0</v>
      </c>
      <c r="J78" s="209">
        <f>'Patient Population'!G136</f>
        <v>0</v>
      </c>
      <c r="K78" s="210">
        <f>'Patient Population'!H136</f>
        <v>0</v>
      </c>
      <c r="L78" s="209">
        <f>'Patient Population'!I136</f>
        <v>0</v>
      </c>
    </row>
    <row r="79" spans="2:12" x14ac:dyDescent="0.25">
      <c r="B79" s="557"/>
      <c r="C79" s="558"/>
      <c r="D79" s="554" t="s">
        <v>235</v>
      </c>
      <c r="E79" s="555"/>
      <c r="F79" s="555"/>
      <c r="G79" s="556"/>
      <c r="H79" s="211">
        <f>'Drug Acquisition Costs'!E38</f>
        <v>0</v>
      </c>
      <c r="I79" s="212">
        <f>'Drug Acquisition Costs'!F38</f>
        <v>0</v>
      </c>
      <c r="J79" s="211">
        <f>'Drug Acquisition Costs'!G38</f>
        <v>0</v>
      </c>
      <c r="K79" s="212">
        <f>'Drug Acquisition Costs'!H38</f>
        <v>0</v>
      </c>
      <c r="L79" s="211">
        <f>'Drug Acquisition Costs'!I38</f>
        <v>0</v>
      </c>
    </row>
    <row r="80" spans="2:12" x14ac:dyDescent="0.25">
      <c r="B80" s="557"/>
      <c r="C80" s="558"/>
      <c r="D80" s="554" t="s">
        <v>60</v>
      </c>
      <c r="E80" s="555"/>
      <c r="F80" s="555"/>
      <c r="G80" s="556"/>
      <c r="H80" s="213">
        <f>('Patient Population'!E36*'Patient Population'!E78*'Patient Population'!E98)</f>
        <v>0</v>
      </c>
      <c r="I80" s="214">
        <f>('Patient Population'!F36*'Patient Population'!F78*'Patient Population'!F98)</f>
        <v>0</v>
      </c>
      <c r="J80" s="213">
        <f>('Patient Population'!G36*'Patient Population'!G78*'Patient Population'!G98)</f>
        <v>0</v>
      </c>
      <c r="K80" s="214">
        <f>('Patient Population'!H36*'Patient Population'!H78*'Patient Population'!H98)</f>
        <v>0</v>
      </c>
      <c r="L80" s="213">
        <f>('Patient Population'!I36*'Patient Population'!I78*'Patient Population'!I98)</f>
        <v>0</v>
      </c>
    </row>
    <row r="81" spans="2:14" ht="15.75" thickBot="1" x14ac:dyDescent="0.3">
      <c r="B81" s="559"/>
      <c r="C81" s="560"/>
      <c r="D81" s="582" t="s">
        <v>61</v>
      </c>
      <c r="E81" s="569"/>
      <c r="F81" s="569"/>
      <c r="G81" s="570"/>
      <c r="H81" s="204">
        <f>'Patient Population'!E30*'Patient Population'!E31*'Patient Population'!E33*'Patient Population'!E35*'Patient Population'!E78</f>
        <v>0</v>
      </c>
      <c r="I81" s="202">
        <f>'Patient Population'!F30*'Patient Population'!F31*'Patient Population'!F33*'Patient Population'!F35*'Patient Population'!F78</f>
        <v>0</v>
      </c>
      <c r="J81" s="204">
        <f>'Patient Population'!G30*'Patient Population'!G31*'Patient Population'!G33*'Patient Population'!G35*'Patient Population'!G78</f>
        <v>0</v>
      </c>
      <c r="K81" s="202">
        <f>'Patient Population'!H30*'Patient Population'!H31*'Patient Population'!H33*'Patient Population'!H35*'Patient Population'!H78</f>
        <v>0</v>
      </c>
      <c r="L81" s="204">
        <f>'Patient Population'!I30*'Patient Population'!I31*'Patient Population'!I33*'Patient Population'!I35*'Patient Population'!I78</f>
        <v>0</v>
      </c>
    </row>
    <row r="82" spans="2:14" x14ac:dyDescent="0.25">
      <c r="B82" s="557" t="str">
        <f>CONCATENATE("Comparator 11: ",NameComparator11)</f>
        <v xml:space="preserve">Comparator 11: </v>
      </c>
      <c r="C82" s="558"/>
      <c r="D82" s="561" t="s">
        <v>236</v>
      </c>
      <c r="E82" s="562"/>
      <c r="F82" s="562"/>
      <c r="G82" s="563"/>
      <c r="H82" s="209">
        <f>'Patient Population'!E137</f>
        <v>0</v>
      </c>
      <c r="I82" s="210">
        <f>'Patient Population'!F137</f>
        <v>0</v>
      </c>
      <c r="J82" s="209">
        <f>'Patient Population'!G137</f>
        <v>0</v>
      </c>
      <c r="K82" s="210">
        <f>'Patient Population'!H137</f>
        <v>0</v>
      </c>
      <c r="L82" s="209">
        <f>'Patient Population'!I137</f>
        <v>0</v>
      </c>
    </row>
    <row r="83" spans="2:14" x14ac:dyDescent="0.25">
      <c r="B83" s="557"/>
      <c r="C83" s="558"/>
      <c r="D83" s="554" t="s">
        <v>237</v>
      </c>
      <c r="E83" s="555"/>
      <c r="F83" s="555"/>
      <c r="G83" s="556"/>
      <c r="H83" s="211">
        <f>'Drug Acquisition Costs'!E39</f>
        <v>0</v>
      </c>
      <c r="I83" s="212">
        <f>'Drug Acquisition Costs'!F39</f>
        <v>0</v>
      </c>
      <c r="J83" s="211">
        <f>'Drug Acquisition Costs'!G39</f>
        <v>0</v>
      </c>
      <c r="K83" s="212">
        <f>'Drug Acquisition Costs'!H39</f>
        <v>0</v>
      </c>
      <c r="L83" s="211">
        <f>'Drug Acquisition Costs'!I39</f>
        <v>0</v>
      </c>
    </row>
    <row r="84" spans="2:14" x14ac:dyDescent="0.25">
      <c r="B84" s="557"/>
      <c r="C84" s="558"/>
      <c r="D84" s="554" t="s">
        <v>60</v>
      </c>
      <c r="E84" s="555"/>
      <c r="F84" s="555"/>
      <c r="G84" s="556"/>
      <c r="H84" s="213">
        <f>('Patient Population'!E36*'Patient Population'!E79*'Patient Population'!E99)</f>
        <v>0</v>
      </c>
      <c r="I84" s="214">
        <f>('Patient Population'!F36*'Patient Population'!F79*'Patient Population'!F99)</f>
        <v>0</v>
      </c>
      <c r="J84" s="213">
        <f>('Patient Population'!G36*'Patient Population'!G79*'Patient Population'!G99)</f>
        <v>0</v>
      </c>
      <c r="K84" s="214">
        <f>('Patient Population'!H36*'Patient Population'!H79*'Patient Population'!H99)</f>
        <v>0</v>
      </c>
      <c r="L84" s="213">
        <f>('Patient Population'!I36*'Patient Population'!I79*'Patient Population'!I99)</f>
        <v>0</v>
      </c>
    </row>
    <row r="85" spans="2:14" ht="15.75" thickBot="1" x14ac:dyDescent="0.3">
      <c r="B85" s="559"/>
      <c r="C85" s="560"/>
      <c r="D85" s="582" t="s">
        <v>61</v>
      </c>
      <c r="E85" s="569"/>
      <c r="F85" s="569"/>
      <c r="G85" s="570"/>
      <c r="H85" s="204">
        <f>'Patient Population'!E30*'Patient Population'!E31*'Patient Population'!E33*'Patient Population'!E35*'Patient Population'!E79</f>
        <v>0</v>
      </c>
      <c r="I85" s="202">
        <f>'Patient Population'!F30*'Patient Population'!F31*'Patient Population'!F33*'Patient Population'!F35*'Patient Population'!F79</f>
        <v>0</v>
      </c>
      <c r="J85" s="204">
        <f>'Patient Population'!G30*'Patient Population'!G31*'Patient Population'!G33*'Patient Population'!G35*'Patient Population'!G79</f>
        <v>0</v>
      </c>
      <c r="K85" s="202">
        <f>'Patient Population'!H30*'Patient Population'!H31*'Patient Population'!H33*'Patient Population'!H35*'Patient Population'!H79</f>
        <v>0</v>
      </c>
      <c r="L85" s="204">
        <f>'Patient Population'!I30*'Patient Population'!I31*'Patient Population'!I33*'Patient Population'!I35*'Patient Population'!I79</f>
        <v>0</v>
      </c>
    </row>
    <row r="86" spans="2:14" x14ac:dyDescent="0.25">
      <c r="B86" s="557" t="str">
        <f>CONCATENATE("Comparator 12: ",NameComparator12)</f>
        <v xml:space="preserve">Comparator 12: </v>
      </c>
      <c r="C86" s="558"/>
      <c r="D86" s="561" t="s">
        <v>238</v>
      </c>
      <c r="E86" s="562"/>
      <c r="F86" s="562"/>
      <c r="G86" s="563"/>
      <c r="H86" s="209">
        <f>'Patient Population'!E138</f>
        <v>0</v>
      </c>
      <c r="I86" s="210">
        <f>'Patient Population'!F138</f>
        <v>0</v>
      </c>
      <c r="J86" s="209">
        <f>'Patient Population'!G138</f>
        <v>0</v>
      </c>
      <c r="K86" s="210">
        <f>'Patient Population'!H138</f>
        <v>0</v>
      </c>
      <c r="L86" s="209">
        <f>'Patient Population'!I138</f>
        <v>0</v>
      </c>
    </row>
    <row r="87" spans="2:14" x14ac:dyDescent="0.25">
      <c r="B87" s="557"/>
      <c r="C87" s="558"/>
      <c r="D87" s="554" t="s">
        <v>239</v>
      </c>
      <c r="E87" s="555"/>
      <c r="F87" s="555"/>
      <c r="G87" s="556"/>
      <c r="H87" s="211">
        <f>'Drug Acquisition Costs'!E40</f>
        <v>0</v>
      </c>
      <c r="I87" s="212">
        <f>'Drug Acquisition Costs'!F40</f>
        <v>0</v>
      </c>
      <c r="J87" s="211">
        <f>'Drug Acquisition Costs'!G40</f>
        <v>0</v>
      </c>
      <c r="K87" s="212">
        <f>'Drug Acquisition Costs'!H40</f>
        <v>0</v>
      </c>
      <c r="L87" s="211">
        <f>'Drug Acquisition Costs'!I40</f>
        <v>0</v>
      </c>
    </row>
    <row r="88" spans="2:14" x14ac:dyDescent="0.25">
      <c r="B88" s="557"/>
      <c r="C88" s="558"/>
      <c r="D88" s="554" t="s">
        <v>60</v>
      </c>
      <c r="E88" s="555"/>
      <c r="F88" s="555"/>
      <c r="G88" s="556"/>
      <c r="H88" s="213">
        <f>('Patient Population'!E36*'Patient Population'!E80*'Patient Population'!E100)</f>
        <v>0</v>
      </c>
      <c r="I88" s="214">
        <f>('Patient Population'!F36*'Patient Population'!F80*'Patient Population'!F100)</f>
        <v>0</v>
      </c>
      <c r="J88" s="213">
        <f>('Patient Population'!G36*'Patient Population'!G80*'Patient Population'!G100)</f>
        <v>0</v>
      </c>
      <c r="K88" s="214">
        <f>('Patient Population'!H36*'Patient Population'!H80*'Patient Population'!H100)</f>
        <v>0</v>
      </c>
      <c r="L88" s="213">
        <f>('Patient Population'!I36*'Patient Population'!I80*'Patient Population'!I100)</f>
        <v>0</v>
      </c>
    </row>
    <row r="89" spans="2:14" ht="15.75" thickBot="1" x14ac:dyDescent="0.3">
      <c r="B89" s="559"/>
      <c r="C89" s="560"/>
      <c r="D89" s="582" t="s">
        <v>61</v>
      </c>
      <c r="E89" s="569"/>
      <c r="F89" s="569"/>
      <c r="G89" s="570"/>
      <c r="H89" s="204">
        <f>'Patient Population'!E30*'Patient Population'!E31*'Patient Population'!E33*'Patient Population'!E35*'Patient Population'!E80</f>
        <v>0</v>
      </c>
      <c r="I89" s="202">
        <f>'Patient Population'!F30*'Patient Population'!F31*'Patient Population'!F33*'Patient Population'!F35*'Patient Population'!F80</f>
        <v>0</v>
      </c>
      <c r="J89" s="204">
        <f>'Patient Population'!G30*'Patient Population'!G31*'Patient Population'!G33*'Patient Population'!G35*'Patient Population'!G80</f>
        <v>0</v>
      </c>
      <c r="K89" s="202">
        <f>'Patient Population'!H30*'Patient Population'!H31*'Patient Population'!H33*'Patient Population'!H35*'Patient Population'!H80</f>
        <v>0</v>
      </c>
      <c r="L89" s="204">
        <f>'Patient Population'!I30*'Patient Population'!I31*'Patient Population'!I33*'Patient Population'!I35*'Patient Population'!I80</f>
        <v>0</v>
      </c>
    </row>
    <row r="90" spans="2:14" ht="15.75" thickBot="1" x14ac:dyDescent="0.3">
      <c r="B90" s="597" t="s">
        <v>57</v>
      </c>
      <c r="C90" s="598"/>
      <c r="D90" s="598"/>
      <c r="E90" s="598"/>
      <c r="F90" s="598"/>
      <c r="G90" s="598"/>
      <c r="H90" s="201">
        <f>(H42*H43)+((H44+H45)*(0.5*H43))+(H46*H47)+((H48+H49)*(0.5*H47))+(H50*H51)+((H52+H53)*(0.5*H51))+(H54*H55)+((H56+H57)*(0.5*H55))+(H58*H59)+((H60+H61)*(0.5*H59))+(H62*H63)+((H64+H65)*(0.5*H63))+(H66*H67)+((H68+H69)*(0.5*H67))+(H70*H71)+((H72+H73)*(0.5*H71))+(H74*H75)+((H76+H77)*(0.5*H75))+(H78*H79)+((H80+H81)*(0.5*H79))+(H82*H83)+((H84+H85)*(0.5*H83))+(H86*H87)+((H88+H89)*(0.5*H87))</f>
        <v>0</v>
      </c>
      <c r="I90" s="201">
        <f t="shared" ref="I90:L90" si="1">(I42*I43)+((I44+I45)*(0.5*I43))+(I46*I47)+((I48+I49)*(0.5*I47))+(I50*I51)+((I52+I53)*(0.5*I51))+(I54*I55)+((I56+I57)*(0.5*I55))+(I58*I59)+((I60+I61)*(0.5*I59))+(I62*I63)+((I64+I65)*(0.5*I63))+(I66*I67)+((I68+I69)*(0.5*I67))+(I70*I71)+((I72+I73)*(0.5*I71))+(I74*I75)+((I76+I77)*(0.5*I75))+(I78*I79)+((I80+I81)*(0.5*I79))+(I82*I83)+((I84+I85)*(0.5*I83))+(I86*I87)+((I88+I89)*(0.5*I87))</f>
        <v>0</v>
      </c>
      <c r="J90" s="201">
        <f t="shared" si="1"/>
        <v>0</v>
      </c>
      <c r="K90" s="201">
        <f t="shared" si="1"/>
        <v>0</v>
      </c>
      <c r="L90" s="201">
        <f t="shared" si="1"/>
        <v>0</v>
      </c>
      <c r="N90" s="119">
        <f>SUM(H90:L90)</f>
        <v>0</v>
      </c>
    </row>
    <row r="91" spans="2:14" x14ac:dyDescent="0.25">
      <c r="H91" s="5"/>
      <c r="I91" s="5"/>
      <c r="J91" s="5"/>
      <c r="K91" s="5"/>
      <c r="L91" s="5"/>
    </row>
    <row r="93" spans="2:14" ht="15.75" thickBot="1" x14ac:dyDescent="0.3"/>
    <row r="94" spans="2:14" ht="15.75" thickBot="1" x14ac:dyDescent="0.3">
      <c r="B94" s="584" t="s">
        <v>103</v>
      </c>
      <c r="C94" s="584"/>
      <c r="D94" s="584"/>
      <c r="E94" s="584"/>
      <c r="F94" s="584"/>
      <c r="G94" s="585"/>
      <c r="H94" s="47" t="s">
        <v>6</v>
      </c>
      <c r="I94" s="48" t="s">
        <v>7</v>
      </c>
      <c r="J94" s="87" t="s">
        <v>8</v>
      </c>
      <c r="K94" s="48" t="s">
        <v>9</v>
      </c>
      <c r="L94" s="86" t="s">
        <v>10</v>
      </c>
    </row>
    <row r="95" spans="2:14" x14ac:dyDescent="0.25">
      <c r="B95" s="564" t="str">
        <f>CONCATENATE("Comparator 1: ",NameComparator1)</f>
        <v xml:space="preserve">Comparator 1: </v>
      </c>
      <c r="C95" s="565"/>
      <c r="D95" s="575" t="s">
        <v>18</v>
      </c>
      <c r="E95" s="576"/>
      <c r="F95" s="576"/>
      <c r="G95" s="577"/>
      <c r="H95" s="68">
        <f>'Patient Population'!E107</f>
        <v>0</v>
      </c>
      <c r="I95" s="71">
        <f>'Patient Population'!F107</f>
        <v>0</v>
      </c>
      <c r="J95" s="74">
        <f>'Patient Population'!G107</f>
        <v>0</v>
      </c>
      <c r="K95" s="71">
        <f>'Patient Population'!H107</f>
        <v>0</v>
      </c>
      <c r="L95" s="77">
        <f>'Patient Population'!I107</f>
        <v>0</v>
      </c>
    </row>
    <row r="96" spans="2:14" x14ac:dyDescent="0.25">
      <c r="B96" s="557"/>
      <c r="C96" s="558"/>
      <c r="D96" s="571" t="s">
        <v>23</v>
      </c>
      <c r="E96" s="555"/>
      <c r="F96" s="555"/>
      <c r="G96" s="556"/>
      <c r="H96" s="113">
        <f xml:space="preserve"> 'Drug Acquisition Costs'!E29</f>
        <v>0</v>
      </c>
      <c r="I96" s="113">
        <f xml:space="preserve"> 'Drug Acquisition Costs'!F29</f>
        <v>0</v>
      </c>
      <c r="J96" s="113">
        <f xml:space="preserve"> 'Drug Acquisition Costs'!G29</f>
        <v>0</v>
      </c>
      <c r="K96" s="113">
        <f xml:space="preserve"> 'Drug Acquisition Costs'!H29</f>
        <v>0</v>
      </c>
      <c r="L96" s="115">
        <f xml:space="preserve"> 'Drug Acquisition Costs'!I29</f>
        <v>0</v>
      </c>
    </row>
    <row r="97" spans="2:18" x14ac:dyDescent="0.25">
      <c r="B97" s="557"/>
      <c r="C97" s="558"/>
      <c r="D97" s="571" t="s">
        <v>60</v>
      </c>
      <c r="E97" s="555"/>
      <c r="F97" s="555"/>
      <c r="G97" s="556"/>
      <c r="H97" s="69">
        <f>('Patient Population'!E36*'Patient Population'!E49*'Patient Population'!E89)</f>
        <v>0</v>
      </c>
      <c r="I97" s="72">
        <f>('Patient Population'!F36*'Patient Population'!F49*'Patient Population'!F89)</f>
        <v>0</v>
      </c>
      <c r="J97" s="75">
        <f>('Patient Population'!G36*'Patient Population'!G49*'Patient Population'!G89)</f>
        <v>0</v>
      </c>
      <c r="K97" s="72">
        <f>('Patient Population'!H36*'Patient Population'!H49*'Patient Population'!H89)</f>
        <v>0</v>
      </c>
      <c r="L97" s="72">
        <f>('Patient Population'!I36*'Patient Population'!I49*'Patient Population'!I89)</f>
        <v>0</v>
      </c>
    </row>
    <row r="98" spans="2:18" ht="15.75" thickBot="1" x14ac:dyDescent="0.3">
      <c r="B98" s="559"/>
      <c r="C98" s="560"/>
      <c r="D98" s="568" t="s">
        <v>61</v>
      </c>
      <c r="E98" s="569"/>
      <c r="F98" s="569"/>
      <c r="G98" s="570"/>
      <c r="H98" s="70">
        <f>'Patient Population'!E30*'Patient Population'!E31*'Patient Population'!E33*'Patient Population'!E35*'Patient Population'!E49</f>
        <v>0</v>
      </c>
      <c r="I98" s="73">
        <f>'Patient Population'!F30*'Patient Population'!F31*'Patient Population'!F33*'Patient Population'!F35*'Patient Population'!F49</f>
        <v>0</v>
      </c>
      <c r="J98" s="76">
        <f>'Patient Population'!G30*'Patient Population'!G31*'Patient Population'!G33*'Patient Population'!G35*'Patient Population'!G49</f>
        <v>0</v>
      </c>
      <c r="K98" s="73">
        <f>'Patient Population'!H30*'Patient Population'!H31*'Patient Population'!H33*'Patient Population'!H35*'Patient Population'!H49</f>
        <v>0</v>
      </c>
      <c r="L98" s="73">
        <f>'Patient Population'!I30*'Patient Population'!I31*'Patient Population'!I33*'Patient Population'!I35*'Patient Population'!I49</f>
        <v>0</v>
      </c>
    </row>
    <row r="99" spans="2:18" x14ac:dyDescent="0.25">
      <c r="B99" s="557" t="str">
        <f>CONCATENATE("Comparator 2: ",NameComparator2)</f>
        <v xml:space="preserve">Comparator 2: </v>
      </c>
      <c r="C99" s="558"/>
      <c r="D99" s="578" t="s">
        <v>19</v>
      </c>
      <c r="E99" s="562"/>
      <c r="F99" s="562"/>
      <c r="G99" s="563"/>
      <c r="H99" s="68">
        <f>'Patient Population'!E108</f>
        <v>0</v>
      </c>
      <c r="I99" s="71">
        <f>'Patient Population'!F108</f>
        <v>0</v>
      </c>
      <c r="J99" s="74">
        <f>'Patient Population'!G108</f>
        <v>0</v>
      </c>
      <c r="K99" s="71">
        <f>'Patient Population'!H108</f>
        <v>0</v>
      </c>
      <c r="L99" s="71">
        <f>'Patient Population'!I108</f>
        <v>0</v>
      </c>
      <c r="R99" s="46"/>
    </row>
    <row r="100" spans="2:18" x14ac:dyDescent="0.25">
      <c r="B100" s="557"/>
      <c r="C100" s="558"/>
      <c r="D100" s="571" t="s">
        <v>22</v>
      </c>
      <c r="E100" s="555"/>
      <c r="F100" s="555"/>
      <c r="G100" s="556"/>
      <c r="H100" s="113">
        <f xml:space="preserve"> 'Drug Acquisition Costs'!E30</f>
        <v>0</v>
      </c>
      <c r="I100" s="113">
        <f xml:space="preserve"> 'Drug Acquisition Costs'!F30</f>
        <v>0</v>
      </c>
      <c r="J100" s="113">
        <f xml:space="preserve"> 'Drug Acquisition Costs'!G30</f>
        <v>0</v>
      </c>
      <c r="K100" s="113">
        <f xml:space="preserve"> 'Drug Acquisition Costs'!H30</f>
        <v>0</v>
      </c>
      <c r="L100" s="115">
        <f xml:space="preserve"> 'Drug Acquisition Costs'!I30</f>
        <v>0</v>
      </c>
      <c r="R100" s="46"/>
    </row>
    <row r="101" spans="2:18" x14ac:dyDescent="0.25">
      <c r="B101" s="557"/>
      <c r="C101" s="558"/>
      <c r="D101" s="571" t="s">
        <v>60</v>
      </c>
      <c r="E101" s="555"/>
      <c r="F101" s="555"/>
      <c r="G101" s="556"/>
      <c r="H101" s="69">
        <f>('Patient Population'!E36*'Patient Population'!E50*'Patient Population'!E90)</f>
        <v>0</v>
      </c>
      <c r="I101" s="72">
        <f>('Patient Population'!F36*'Patient Population'!F50*'Patient Population'!F90)</f>
        <v>0</v>
      </c>
      <c r="J101" s="75">
        <f>('Patient Population'!G36*'Patient Population'!G50*'Patient Population'!G90)</f>
        <v>0</v>
      </c>
      <c r="K101" s="72">
        <f>('Patient Population'!H36*'Patient Population'!H50*'Patient Population'!H90)</f>
        <v>0</v>
      </c>
      <c r="L101" s="72">
        <f>('Patient Population'!I36*'Patient Population'!I50*'Patient Population'!I90)</f>
        <v>0</v>
      </c>
      <c r="R101" s="46"/>
    </row>
    <row r="102" spans="2:18" ht="15.75" thickBot="1" x14ac:dyDescent="0.3">
      <c r="B102" s="557"/>
      <c r="C102" s="558"/>
      <c r="D102" s="572" t="s">
        <v>61</v>
      </c>
      <c r="E102" s="573"/>
      <c r="F102" s="573"/>
      <c r="G102" s="574"/>
      <c r="H102" s="70">
        <f>'Patient Population'!E30*'Patient Population'!E31*'Patient Population'!E33*'Patient Population'!E35*'Patient Population'!E50</f>
        <v>0</v>
      </c>
      <c r="I102" s="73">
        <f>'Patient Population'!F30*'Patient Population'!F31*'Patient Population'!F33*'Patient Population'!F35*'Patient Population'!F50</f>
        <v>0</v>
      </c>
      <c r="J102" s="76">
        <f>'Patient Population'!G30*'Patient Population'!G31*'Patient Population'!G33*'Patient Population'!G35*'Patient Population'!G50</f>
        <v>0</v>
      </c>
      <c r="K102" s="73">
        <f>'Patient Population'!H30*'Patient Population'!H31*'Patient Population'!H33*'Patient Population'!H35*'Patient Population'!H50</f>
        <v>0</v>
      </c>
      <c r="L102" s="73">
        <f>'Patient Population'!I30*'Patient Population'!I31*'Patient Population'!I33*'Patient Population'!I35*'Patient Population'!I50</f>
        <v>0</v>
      </c>
      <c r="R102" s="46"/>
    </row>
    <row r="103" spans="2:18" x14ac:dyDescent="0.25">
      <c r="B103" s="564" t="str">
        <f>CONCATENATE("Comparator 3: ",NameComparator3)</f>
        <v xml:space="preserve">Comparator 3: </v>
      </c>
      <c r="C103" s="565"/>
      <c r="D103" s="575" t="s">
        <v>20</v>
      </c>
      <c r="E103" s="576"/>
      <c r="F103" s="576"/>
      <c r="G103" s="577"/>
      <c r="H103" s="68">
        <f>'Patient Population'!E109</f>
        <v>0</v>
      </c>
      <c r="I103" s="71">
        <f>'Patient Population'!F109</f>
        <v>0</v>
      </c>
      <c r="J103" s="74">
        <f>'Patient Population'!G109</f>
        <v>0</v>
      </c>
      <c r="K103" s="71">
        <f>'Patient Population'!H109</f>
        <v>0</v>
      </c>
      <c r="L103" s="71">
        <f>'Patient Population'!I109</f>
        <v>0</v>
      </c>
    </row>
    <row r="104" spans="2:18" x14ac:dyDescent="0.25">
      <c r="B104" s="557"/>
      <c r="C104" s="558"/>
      <c r="D104" s="571" t="s">
        <v>24</v>
      </c>
      <c r="E104" s="555"/>
      <c r="F104" s="555"/>
      <c r="G104" s="556"/>
      <c r="H104" s="113">
        <f xml:space="preserve"> 'Drug Acquisition Costs'!E31</f>
        <v>0</v>
      </c>
      <c r="I104" s="113">
        <f xml:space="preserve"> 'Drug Acquisition Costs'!F31</f>
        <v>0</v>
      </c>
      <c r="J104" s="113">
        <f xml:space="preserve"> 'Drug Acquisition Costs'!G31</f>
        <v>0</v>
      </c>
      <c r="K104" s="113">
        <f xml:space="preserve"> 'Drug Acquisition Costs'!H31</f>
        <v>0</v>
      </c>
      <c r="L104" s="115">
        <f xml:space="preserve"> 'Drug Acquisition Costs'!I31</f>
        <v>0</v>
      </c>
    </row>
    <row r="105" spans="2:18" x14ac:dyDescent="0.25">
      <c r="B105" s="557"/>
      <c r="C105" s="558"/>
      <c r="D105" s="571" t="s">
        <v>60</v>
      </c>
      <c r="E105" s="555"/>
      <c r="F105" s="555"/>
      <c r="G105" s="556"/>
      <c r="H105" s="69">
        <f>('Patient Population'!E36*'Patient Population'!E51*'Patient Population'!E91)</f>
        <v>0</v>
      </c>
      <c r="I105" s="72">
        <f>('Patient Population'!F36*'Patient Population'!F51*'Patient Population'!F91)</f>
        <v>0</v>
      </c>
      <c r="J105" s="75">
        <f>('Patient Population'!G36*'Patient Population'!G51*'Patient Population'!G91)</f>
        <v>0</v>
      </c>
      <c r="K105" s="72">
        <f>('Patient Population'!H36*'Patient Population'!H51*'Patient Population'!H91)</f>
        <v>0</v>
      </c>
      <c r="L105" s="72">
        <f>('Patient Population'!I36*'Patient Population'!I51*'Patient Population'!I91)</f>
        <v>0</v>
      </c>
    </row>
    <row r="106" spans="2:18" ht="15.75" thickBot="1" x14ac:dyDescent="0.3">
      <c r="B106" s="559"/>
      <c r="C106" s="560"/>
      <c r="D106" s="568" t="s">
        <v>61</v>
      </c>
      <c r="E106" s="569"/>
      <c r="F106" s="569"/>
      <c r="G106" s="570"/>
      <c r="H106" s="79">
        <f>'Patient Population'!E30*'Patient Population'!E31*'Patient Population'!E33*'Patient Population'!E35*'Patient Population'!E51</f>
        <v>0</v>
      </c>
      <c r="I106" s="81">
        <f>'Patient Population'!F30*'Patient Population'!F31*'Patient Population'!F33*'Patient Population'!F35*'Patient Population'!F51</f>
        <v>0</v>
      </c>
      <c r="J106" s="83">
        <f>'Patient Population'!G30*'Patient Population'!G31*'Patient Population'!G33*'Patient Population'!G35*'Patient Population'!G51</f>
        <v>0</v>
      </c>
      <c r="K106" s="81">
        <f>'Patient Population'!H30*'Patient Population'!H31*'Patient Population'!H33*'Patient Population'!H35*'Patient Population'!H51</f>
        <v>0</v>
      </c>
      <c r="L106" s="81">
        <f>'Patient Population'!I30*'Patient Population'!I31*'Patient Population'!I33*'Patient Population'!I35*'Patient Population'!I51</f>
        <v>0</v>
      </c>
    </row>
    <row r="107" spans="2:18" x14ac:dyDescent="0.25">
      <c r="B107" s="557" t="str">
        <f>CONCATENATE("Comparator 4: ",NameComparator4)</f>
        <v xml:space="preserve">Comparator 4: </v>
      </c>
      <c r="C107" s="558"/>
      <c r="D107" s="578" t="s">
        <v>21</v>
      </c>
      <c r="E107" s="562"/>
      <c r="F107" s="562"/>
      <c r="G107" s="563"/>
      <c r="H107" s="68">
        <f>'Patient Population'!E110</f>
        <v>0</v>
      </c>
      <c r="I107" s="71">
        <f>'Patient Population'!F110</f>
        <v>0</v>
      </c>
      <c r="J107" s="74">
        <f>'Patient Population'!G110</f>
        <v>0</v>
      </c>
      <c r="K107" s="71">
        <f>'Patient Population'!H110</f>
        <v>0</v>
      </c>
      <c r="L107" s="71">
        <f>'Patient Population'!I110</f>
        <v>0</v>
      </c>
    </row>
    <row r="108" spans="2:18" x14ac:dyDescent="0.25">
      <c r="B108" s="557"/>
      <c r="C108" s="558"/>
      <c r="D108" s="571" t="s">
        <v>25</v>
      </c>
      <c r="E108" s="555"/>
      <c r="F108" s="555"/>
      <c r="G108" s="556"/>
      <c r="H108" s="113">
        <f xml:space="preserve"> 'Drug Acquisition Costs'!E32</f>
        <v>0</v>
      </c>
      <c r="I108" s="113">
        <f xml:space="preserve"> 'Drug Acquisition Costs'!F32</f>
        <v>0</v>
      </c>
      <c r="J108" s="113">
        <f xml:space="preserve"> 'Drug Acquisition Costs'!G32</f>
        <v>0</v>
      </c>
      <c r="K108" s="113">
        <f xml:space="preserve"> 'Drug Acquisition Costs'!H32</f>
        <v>0</v>
      </c>
      <c r="L108" s="115">
        <f xml:space="preserve"> 'Drug Acquisition Costs'!I32</f>
        <v>0</v>
      </c>
    </row>
    <row r="109" spans="2:18" x14ac:dyDescent="0.25">
      <c r="B109" s="557"/>
      <c r="C109" s="558"/>
      <c r="D109" s="571" t="s">
        <v>60</v>
      </c>
      <c r="E109" s="555"/>
      <c r="F109" s="555"/>
      <c r="G109" s="556"/>
      <c r="H109" s="69">
        <f>('Patient Population'!E36*'Patient Population'!E52*'Patient Population'!E92)</f>
        <v>0</v>
      </c>
      <c r="I109" s="72">
        <f>('Patient Population'!F36*'Patient Population'!F52*'Patient Population'!F92)</f>
        <v>0</v>
      </c>
      <c r="J109" s="75">
        <f>('Patient Population'!G36*'Patient Population'!G52*'Patient Population'!G92)</f>
        <v>0</v>
      </c>
      <c r="K109" s="72">
        <f>('Patient Population'!H36*'Patient Population'!H52*'Patient Population'!H92)</f>
        <v>0</v>
      </c>
      <c r="L109" s="72">
        <f>('Patient Population'!I36*'Patient Population'!I52*'Patient Population'!I92)</f>
        <v>0</v>
      </c>
    </row>
    <row r="110" spans="2:18" ht="15.75" thickBot="1" x14ac:dyDescent="0.3">
      <c r="B110" s="557"/>
      <c r="C110" s="558"/>
      <c r="D110" s="572" t="s">
        <v>61</v>
      </c>
      <c r="E110" s="573"/>
      <c r="F110" s="573"/>
      <c r="G110" s="574"/>
      <c r="H110" s="79">
        <f>'Patient Population'!E30*'Patient Population'!E31*'Patient Population'!E33*'Patient Population'!E35*'Patient Population'!E52</f>
        <v>0</v>
      </c>
      <c r="I110" s="81">
        <f>'Patient Population'!F30*'Patient Population'!F31*'Patient Population'!F33*'Patient Population'!F35*'Patient Population'!F52</f>
        <v>0</v>
      </c>
      <c r="J110" s="83">
        <f>'Patient Population'!G30*'Patient Population'!G31*'Patient Population'!G33*'Patient Population'!G35*'Patient Population'!G52</f>
        <v>0</v>
      </c>
      <c r="K110" s="81">
        <f>'Patient Population'!H30*'Patient Population'!H31*'Patient Population'!H33*'Patient Population'!H35*'Patient Population'!H52</f>
        <v>0</v>
      </c>
      <c r="L110" s="81">
        <f>'Patient Population'!I30*'Patient Population'!I31*'Patient Population'!I33*'Patient Population'!I35*'Patient Population'!I52</f>
        <v>0</v>
      </c>
    </row>
    <row r="111" spans="2:18" x14ac:dyDescent="0.25">
      <c r="B111" s="564" t="str">
        <f>CONCATENATE("Comparator 5: ",NameComparator5)</f>
        <v xml:space="preserve">Comparator 5: </v>
      </c>
      <c r="C111" s="565"/>
      <c r="D111" s="575" t="s">
        <v>47</v>
      </c>
      <c r="E111" s="576"/>
      <c r="F111" s="576"/>
      <c r="G111" s="577"/>
      <c r="H111" s="80">
        <f>'Patient Population'!E111</f>
        <v>0</v>
      </c>
      <c r="I111" s="82">
        <f>'Patient Population'!F111</f>
        <v>0</v>
      </c>
      <c r="J111" s="84">
        <f>'Patient Population'!G111</f>
        <v>0</v>
      </c>
      <c r="K111" s="82">
        <f>'Patient Population'!H111</f>
        <v>0</v>
      </c>
      <c r="L111" s="82">
        <f>'Patient Population'!I111</f>
        <v>0</v>
      </c>
    </row>
    <row r="112" spans="2:18" x14ac:dyDescent="0.25">
      <c r="B112" s="557"/>
      <c r="C112" s="558"/>
      <c r="D112" s="571" t="s">
        <v>48</v>
      </c>
      <c r="E112" s="555"/>
      <c r="F112" s="555"/>
      <c r="G112" s="556"/>
      <c r="H112" s="113">
        <f xml:space="preserve"> 'Drug Acquisition Costs'!E33</f>
        <v>0</v>
      </c>
      <c r="I112" s="113">
        <f xml:space="preserve"> 'Drug Acquisition Costs'!F33</f>
        <v>0</v>
      </c>
      <c r="J112" s="113">
        <f xml:space="preserve"> 'Drug Acquisition Costs'!G33</f>
        <v>0</v>
      </c>
      <c r="K112" s="113">
        <f xml:space="preserve"> 'Drug Acquisition Costs'!H33</f>
        <v>0</v>
      </c>
      <c r="L112" s="115">
        <f xml:space="preserve"> 'Drug Acquisition Costs'!I33</f>
        <v>0</v>
      </c>
    </row>
    <row r="113" spans="2:12" x14ac:dyDescent="0.25">
      <c r="B113" s="557"/>
      <c r="C113" s="558"/>
      <c r="D113" s="571" t="s">
        <v>60</v>
      </c>
      <c r="E113" s="555"/>
      <c r="F113" s="555"/>
      <c r="G113" s="556"/>
      <c r="H113" s="69">
        <f>('Patient Population'!E36*'Patient Population'!E53*'Patient Population'!E93)</f>
        <v>0</v>
      </c>
      <c r="I113" s="72">
        <f>('Patient Population'!F36*'Patient Population'!F53*'Patient Population'!F93)</f>
        <v>0</v>
      </c>
      <c r="J113" s="75">
        <f>('Patient Population'!G36*'Patient Population'!G53*'Patient Population'!G93)</f>
        <v>0</v>
      </c>
      <c r="K113" s="72">
        <f>('Patient Population'!H36*'Patient Population'!H53*'Patient Population'!H93)</f>
        <v>0</v>
      </c>
      <c r="L113" s="72">
        <f>('Patient Population'!I36*'Patient Population'!I53*'Patient Population'!I93)</f>
        <v>0</v>
      </c>
    </row>
    <row r="114" spans="2:12" ht="15.75" thickBot="1" x14ac:dyDescent="0.3">
      <c r="B114" s="559"/>
      <c r="C114" s="560"/>
      <c r="D114" s="568" t="s">
        <v>61</v>
      </c>
      <c r="E114" s="569"/>
      <c r="F114" s="569"/>
      <c r="G114" s="570"/>
      <c r="H114" s="79">
        <f>'Patient Population'!E30*'Patient Population'!E31*'Patient Population'!E33*'Patient Population'!E35*'Patient Population'!E53</f>
        <v>0</v>
      </c>
      <c r="I114" s="81">
        <f>'Patient Population'!F30*'Patient Population'!F31*'Patient Population'!F33*'Patient Population'!F35*'Patient Population'!F53</f>
        <v>0</v>
      </c>
      <c r="J114" s="83">
        <f>'Patient Population'!G30*'Patient Population'!G31*'Patient Population'!G33*'Patient Population'!G35*'Patient Population'!G53</f>
        <v>0</v>
      </c>
      <c r="K114" s="81">
        <f>'Patient Population'!H30*'Patient Population'!H31*'Patient Population'!H33*'Patient Population'!H35*'Patient Population'!H53</f>
        <v>0</v>
      </c>
      <c r="L114" s="81">
        <f>'Patient Population'!I30*'Patient Population'!I31*'Patient Population'!I33*'Patient Population'!I35*'Patient Population'!I53</f>
        <v>0</v>
      </c>
    </row>
    <row r="115" spans="2:12" x14ac:dyDescent="0.25">
      <c r="B115" s="557" t="str">
        <f>CONCATENATE("Comparator 6: ",NameComparator6)</f>
        <v xml:space="preserve">Comparator 6: </v>
      </c>
      <c r="C115" s="558"/>
      <c r="D115" s="578" t="s">
        <v>49</v>
      </c>
      <c r="E115" s="562"/>
      <c r="F115" s="562"/>
      <c r="G115" s="563"/>
      <c r="H115" s="80">
        <f>'Patient Population'!E112</f>
        <v>0</v>
      </c>
      <c r="I115" s="82">
        <f>'Patient Population'!F112</f>
        <v>0</v>
      </c>
      <c r="J115" s="84">
        <f>'Patient Population'!G112</f>
        <v>0</v>
      </c>
      <c r="K115" s="82">
        <f>'Patient Population'!H112</f>
        <v>0</v>
      </c>
      <c r="L115" s="82">
        <f>'Patient Population'!I112</f>
        <v>0</v>
      </c>
    </row>
    <row r="116" spans="2:12" x14ac:dyDescent="0.25">
      <c r="B116" s="557"/>
      <c r="C116" s="558"/>
      <c r="D116" s="571" t="s">
        <v>50</v>
      </c>
      <c r="E116" s="555"/>
      <c r="F116" s="555"/>
      <c r="G116" s="556"/>
      <c r="H116" s="113">
        <f xml:space="preserve"> 'Drug Acquisition Costs'!E34</f>
        <v>0</v>
      </c>
      <c r="I116" s="113">
        <f xml:space="preserve"> 'Drug Acquisition Costs'!F34</f>
        <v>0</v>
      </c>
      <c r="J116" s="113">
        <f xml:space="preserve"> 'Drug Acquisition Costs'!G34</f>
        <v>0</v>
      </c>
      <c r="K116" s="113">
        <f xml:space="preserve"> 'Drug Acquisition Costs'!H34</f>
        <v>0</v>
      </c>
      <c r="L116" s="115">
        <f xml:space="preserve"> 'Drug Acquisition Costs'!I34</f>
        <v>0</v>
      </c>
    </row>
    <row r="117" spans="2:12" x14ac:dyDescent="0.25">
      <c r="B117" s="557"/>
      <c r="C117" s="558"/>
      <c r="D117" s="571" t="s">
        <v>60</v>
      </c>
      <c r="E117" s="555"/>
      <c r="F117" s="555"/>
      <c r="G117" s="556"/>
      <c r="H117" s="69">
        <f>('Patient Population'!E36*'Patient Population'!E54*'Patient Population'!E94)</f>
        <v>0</v>
      </c>
      <c r="I117" s="72">
        <f>('Patient Population'!F36*'Patient Population'!F54*'Patient Population'!F94)</f>
        <v>0</v>
      </c>
      <c r="J117" s="75">
        <f>('Patient Population'!G36*'Patient Population'!G54*'Patient Population'!G94)</f>
        <v>0</v>
      </c>
      <c r="K117" s="72">
        <f>('Patient Population'!H36*'Patient Population'!H54*'Patient Population'!H94)</f>
        <v>0</v>
      </c>
      <c r="L117" s="72">
        <f>('Patient Population'!I36*'Patient Population'!I54*'Patient Population'!I94)</f>
        <v>0</v>
      </c>
    </row>
    <row r="118" spans="2:12" ht="15.75" thickBot="1" x14ac:dyDescent="0.3">
      <c r="B118" s="559"/>
      <c r="C118" s="560"/>
      <c r="D118" s="568" t="s">
        <v>61</v>
      </c>
      <c r="E118" s="569"/>
      <c r="F118" s="569"/>
      <c r="G118" s="570"/>
      <c r="H118" s="79">
        <f>'Patient Population'!E30*'Patient Population'!E31*'Patient Population'!E33*'Patient Population'!E35*'Patient Population'!E54</f>
        <v>0</v>
      </c>
      <c r="I118" s="81">
        <f>'Patient Population'!F30*'Patient Population'!F31*'Patient Population'!F33*'Patient Population'!F35*'Patient Population'!F54</f>
        <v>0</v>
      </c>
      <c r="J118" s="83">
        <f>'Patient Population'!G30*'Patient Population'!G31*'Patient Population'!G33*'Patient Population'!G35*'Patient Population'!G54</f>
        <v>0</v>
      </c>
      <c r="K118" s="81">
        <f>'Patient Population'!H30*'Patient Population'!H31*'Patient Population'!H33*'Patient Population'!H35*'Patient Population'!H54</f>
        <v>0</v>
      </c>
      <c r="L118" s="81">
        <f>'Patient Population'!I30*'Patient Population'!I31*'Patient Population'!I33*'Patient Population'!I35*'Patient Population'!I54</f>
        <v>0</v>
      </c>
    </row>
    <row r="119" spans="2:12" x14ac:dyDescent="0.25">
      <c r="B119" s="557" t="str">
        <f>CONCATENATE("Comparator 7: ",NameComparator7)</f>
        <v xml:space="preserve">Comparator 7: </v>
      </c>
      <c r="C119" s="558"/>
      <c r="D119" s="578" t="s">
        <v>228</v>
      </c>
      <c r="E119" s="562"/>
      <c r="F119" s="562"/>
      <c r="G119" s="563"/>
      <c r="H119" s="80">
        <f>'Patient Population'!E113</f>
        <v>0</v>
      </c>
      <c r="I119" s="80">
        <f>'Patient Population'!F113</f>
        <v>0</v>
      </c>
      <c r="J119" s="80">
        <f>'Patient Population'!G113</f>
        <v>0</v>
      </c>
      <c r="K119" s="80">
        <f>'Patient Population'!H113</f>
        <v>0</v>
      </c>
      <c r="L119" s="82">
        <f>'Patient Population'!I113</f>
        <v>0</v>
      </c>
    </row>
    <row r="120" spans="2:12" x14ac:dyDescent="0.25">
      <c r="B120" s="557"/>
      <c r="C120" s="558"/>
      <c r="D120" s="571" t="s">
        <v>229</v>
      </c>
      <c r="E120" s="555"/>
      <c r="F120" s="555"/>
      <c r="G120" s="556"/>
      <c r="H120" s="113">
        <f xml:space="preserve"> 'Drug Acquisition Costs'!E35</f>
        <v>0</v>
      </c>
      <c r="I120" s="113">
        <f xml:space="preserve"> 'Drug Acquisition Costs'!F35</f>
        <v>0</v>
      </c>
      <c r="J120" s="113">
        <f xml:space="preserve"> 'Drug Acquisition Costs'!G35</f>
        <v>0</v>
      </c>
      <c r="K120" s="113">
        <f xml:space="preserve"> 'Drug Acquisition Costs'!H35</f>
        <v>0</v>
      </c>
      <c r="L120" s="115">
        <f xml:space="preserve"> 'Drug Acquisition Costs'!I35</f>
        <v>0</v>
      </c>
    </row>
    <row r="121" spans="2:12" x14ac:dyDescent="0.25">
      <c r="B121" s="557"/>
      <c r="C121" s="558"/>
      <c r="D121" s="571" t="s">
        <v>60</v>
      </c>
      <c r="E121" s="555"/>
      <c r="F121" s="555"/>
      <c r="G121" s="556"/>
      <c r="H121" s="69">
        <f>('Patient Population'!E36*'Patient Population'!E55*'Patient Population'!E95)</f>
        <v>0</v>
      </c>
      <c r="I121" s="69">
        <f>('Patient Population'!F36*'Patient Population'!F55*'Patient Population'!F95)</f>
        <v>0</v>
      </c>
      <c r="J121" s="69">
        <f>('Patient Population'!G36*'Patient Population'!G55*'Patient Population'!G95)</f>
        <v>0</v>
      </c>
      <c r="K121" s="69">
        <f>('Patient Population'!H36*'Patient Population'!H55*'Patient Population'!H95)</f>
        <v>0</v>
      </c>
      <c r="L121" s="72">
        <f>('Patient Population'!I36*'Patient Population'!I55*'Patient Population'!I95)</f>
        <v>0</v>
      </c>
    </row>
    <row r="122" spans="2:12" ht="15.75" thickBot="1" x14ac:dyDescent="0.3">
      <c r="B122" s="559"/>
      <c r="C122" s="560"/>
      <c r="D122" s="568" t="s">
        <v>61</v>
      </c>
      <c r="E122" s="569"/>
      <c r="F122" s="569"/>
      <c r="G122" s="570"/>
      <c r="H122" s="79">
        <f>'Patient Population'!E30*'Patient Population'!E31*'Patient Population'!E33*'Patient Population'!E35*'Patient Population'!E55</f>
        <v>0</v>
      </c>
      <c r="I122" s="79">
        <f>'Patient Population'!F30*'Patient Population'!F31*'Patient Population'!F33*'Patient Population'!F35*'Patient Population'!F55</f>
        <v>0</v>
      </c>
      <c r="J122" s="79">
        <f>'Patient Population'!G30*'Patient Population'!G31*'Patient Population'!G33*'Patient Population'!G35*'Patient Population'!G55</f>
        <v>0</v>
      </c>
      <c r="K122" s="79">
        <f>'Patient Population'!H30*'Patient Population'!H31*'Patient Population'!H33*'Patient Population'!H35*'Patient Population'!H55</f>
        <v>0</v>
      </c>
      <c r="L122" s="81">
        <f>'Patient Population'!I30*'Patient Population'!I31*'Patient Population'!I33*'Patient Population'!I35*'Patient Population'!I55</f>
        <v>0</v>
      </c>
    </row>
    <row r="123" spans="2:12" x14ac:dyDescent="0.25">
      <c r="B123" s="557" t="str">
        <f>CONCATENATE("Comparator 8: ",NameComparator8)</f>
        <v xml:space="preserve">Comparator 8: </v>
      </c>
      <c r="C123" s="558"/>
      <c r="D123" s="578" t="s">
        <v>230</v>
      </c>
      <c r="E123" s="562"/>
      <c r="F123" s="562"/>
      <c r="G123" s="563"/>
      <c r="H123" s="80">
        <f>'Patient Population'!E114</f>
        <v>0</v>
      </c>
      <c r="I123" s="80">
        <f>'Patient Population'!F114</f>
        <v>0</v>
      </c>
      <c r="J123" s="80">
        <f>'Patient Population'!G114</f>
        <v>0</v>
      </c>
      <c r="K123" s="80">
        <f>'Patient Population'!H114</f>
        <v>0</v>
      </c>
      <c r="L123" s="82">
        <f>'Patient Population'!I114</f>
        <v>0</v>
      </c>
    </row>
    <row r="124" spans="2:12" x14ac:dyDescent="0.25">
      <c r="B124" s="557"/>
      <c r="C124" s="558"/>
      <c r="D124" s="571" t="s">
        <v>231</v>
      </c>
      <c r="E124" s="555"/>
      <c r="F124" s="555"/>
      <c r="G124" s="556"/>
      <c r="H124" s="113">
        <f xml:space="preserve"> 'Drug Acquisition Costs'!E36</f>
        <v>0</v>
      </c>
      <c r="I124" s="113">
        <f xml:space="preserve"> 'Drug Acquisition Costs'!F36</f>
        <v>0</v>
      </c>
      <c r="J124" s="113">
        <f xml:space="preserve"> 'Drug Acquisition Costs'!G36</f>
        <v>0</v>
      </c>
      <c r="K124" s="113">
        <f xml:space="preserve"> 'Drug Acquisition Costs'!H36</f>
        <v>0</v>
      </c>
      <c r="L124" s="115">
        <f xml:space="preserve"> 'Drug Acquisition Costs'!I36</f>
        <v>0</v>
      </c>
    </row>
    <row r="125" spans="2:12" x14ac:dyDescent="0.25">
      <c r="B125" s="557"/>
      <c r="C125" s="558"/>
      <c r="D125" s="571" t="s">
        <v>60</v>
      </c>
      <c r="E125" s="555"/>
      <c r="F125" s="555"/>
      <c r="G125" s="556"/>
      <c r="H125" s="69">
        <f>('Patient Population'!E36*'Patient Population'!E56*'Patient Population'!E96)</f>
        <v>0</v>
      </c>
      <c r="I125" s="69">
        <f>('Patient Population'!F36*'Patient Population'!F56*'Patient Population'!F96)</f>
        <v>0</v>
      </c>
      <c r="J125" s="69">
        <f>('Patient Population'!G36*'Patient Population'!G56*'Patient Population'!G96)</f>
        <v>0</v>
      </c>
      <c r="K125" s="69">
        <f>('Patient Population'!H36*'Patient Population'!H56*'Patient Population'!H96)</f>
        <v>0</v>
      </c>
      <c r="L125" s="72">
        <f>('Patient Population'!I36*'Patient Population'!I56*'Patient Population'!I96)</f>
        <v>0</v>
      </c>
    </row>
    <row r="126" spans="2:12" ht="15.75" thickBot="1" x14ac:dyDescent="0.3">
      <c r="B126" s="559"/>
      <c r="C126" s="560"/>
      <c r="D126" s="568" t="s">
        <v>61</v>
      </c>
      <c r="E126" s="569"/>
      <c r="F126" s="569"/>
      <c r="G126" s="570"/>
      <c r="H126" s="79">
        <f>'Patient Population'!E30*'Patient Population'!E31*'Patient Population'!E33*'Patient Population'!E35*'Patient Population'!E56</f>
        <v>0</v>
      </c>
      <c r="I126" s="79">
        <f>'Patient Population'!F30*'Patient Population'!F31*'Patient Population'!F33*'Patient Population'!F35*'Patient Population'!F56</f>
        <v>0</v>
      </c>
      <c r="J126" s="79">
        <f>'Patient Population'!G30*'Patient Population'!G31*'Patient Population'!G33*'Patient Population'!G35*'Patient Population'!G56</f>
        <v>0</v>
      </c>
      <c r="K126" s="79">
        <f>'Patient Population'!H30*'Patient Population'!H31*'Patient Population'!H33*'Patient Population'!H35*'Patient Population'!H56</f>
        <v>0</v>
      </c>
      <c r="L126" s="81">
        <f>'Patient Population'!I30*'Patient Population'!I31*'Patient Population'!I33*'Patient Population'!I35*'Patient Population'!I56</f>
        <v>0</v>
      </c>
    </row>
    <row r="127" spans="2:12" x14ac:dyDescent="0.25">
      <c r="B127" s="557" t="str">
        <f>CONCATENATE("Comparator 9: ",NameComparator9)</f>
        <v xml:space="preserve">Comparator 9: </v>
      </c>
      <c r="C127" s="558"/>
      <c r="D127" s="578" t="s">
        <v>232</v>
      </c>
      <c r="E127" s="562"/>
      <c r="F127" s="562"/>
      <c r="G127" s="563"/>
      <c r="H127" s="80">
        <f>'Patient Population'!E115</f>
        <v>0</v>
      </c>
      <c r="I127" s="80">
        <f>'Patient Population'!F115</f>
        <v>0</v>
      </c>
      <c r="J127" s="80">
        <f>'Patient Population'!G115</f>
        <v>0</v>
      </c>
      <c r="K127" s="80">
        <f>'Patient Population'!H115</f>
        <v>0</v>
      </c>
      <c r="L127" s="82">
        <f>'Patient Population'!I115</f>
        <v>0</v>
      </c>
    </row>
    <row r="128" spans="2:12" x14ac:dyDescent="0.25">
      <c r="B128" s="557"/>
      <c r="C128" s="558"/>
      <c r="D128" s="571" t="s">
        <v>233</v>
      </c>
      <c r="E128" s="555"/>
      <c r="F128" s="555"/>
      <c r="G128" s="556"/>
      <c r="H128" s="113">
        <f xml:space="preserve"> 'Drug Acquisition Costs'!E37</f>
        <v>0</v>
      </c>
      <c r="I128" s="113">
        <f xml:space="preserve"> 'Drug Acquisition Costs'!F37</f>
        <v>0</v>
      </c>
      <c r="J128" s="113">
        <f xml:space="preserve"> 'Drug Acquisition Costs'!G37</f>
        <v>0</v>
      </c>
      <c r="K128" s="113">
        <f xml:space="preserve"> 'Drug Acquisition Costs'!H37</f>
        <v>0</v>
      </c>
      <c r="L128" s="115">
        <f xml:space="preserve"> 'Drug Acquisition Costs'!I37</f>
        <v>0</v>
      </c>
    </row>
    <row r="129" spans="2:14" x14ac:dyDescent="0.25">
      <c r="B129" s="557"/>
      <c r="C129" s="558"/>
      <c r="D129" s="571" t="s">
        <v>60</v>
      </c>
      <c r="E129" s="555"/>
      <c r="F129" s="555"/>
      <c r="G129" s="556"/>
      <c r="H129" s="69">
        <f>('Patient Population'!E36*'Patient Population'!E57*'Patient Population'!E97)</f>
        <v>0</v>
      </c>
      <c r="I129" s="69">
        <f>('Patient Population'!F36*'Patient Population'!F57*'Patient Population'!F97)</f>
        <v>0</v>
      </c>
      <c r="J129" s="69">
        <f>('Patient Population'!G36*'Patient Population'!G57*'Patient Population'!G97)</f>
        <v>0</v>
      </c>
      <c r="K129" s="69">
        <f>('Patient Population'!H36*'Patient Population'!H57*'Patient Population'!H97)</f>
        <v>0</v>
      </c>
      <c r="L129" s="72">
        <f>('Patient Population'!I36*'Patient Population'!I57*'Patient Population'!I97)</f>
        <v>0</v>
      </c>
    </row>
    <row r="130" spans="2:14" ht="15.75" thickBot="1" x14ac:dyDescent="0.3">
      <c r="B130" s="559"/>
      <c r="C130" s="560"/>
      <c r="D130" s="568" t="s">
        <v>61</v>
      </c>
      <c r="E130" s="569"/>
      <c r="F130" s="569"/>
      <c r="G130" s="570"/>
      <c r="H130" s="79">
        <f>'Patient Population'!E30*'Patient Population'!E31*'Patient Population'!E33*'Patient Population'!E35*'Patient Population'!E57</f>
        <v>0</v>
      </c>
      <c r="I130" s="79">
        <f>'Patient Population'!F30*'Patient Population'!F31*'Patient Population'!F33*'Patient Population'!F35*'Patient Population'!F57</f>
        <v>0</v>
      </c>
      <c r="J130" s="79">
        <f>'Patient Population'!G30*'Patient Population'!G31*'Patient Population'!G33*'Patient Population'!G35*'Patient Population'!G57</f>
        <v>0</v>
      </c>
      <c r="K130" s="79">
        <f>'Patient Population'!H30*'Patient Population'!H31*'Patient Population'!H33*'Patient Population'!H35*'Patient Population'!H57</f>
        <v>0</v>
      </c>
      <c r="L130" s="81">
        <f>'Patient Population'!I30*'Patient Population'!I31*'Patient Population'!I33*'Patient Population'!I35*'Patient Population'!I57</f>
        <v>0</v>
      </c>
    </row>
    <row r="131" spans="2:14" x14ac:dyDescent="0.25">
      <c r="B131" s="557" t="str">
        <f>CONCATENATE("Comparator 10: ",NameComparator10)</f>
        <v xml:space="preserve">Comparator 10: </v>
      </c>
      <c r="C131" s="558"/>
      <c r="D131" s="578" t="s">
        <v>234</v>
      </c>
      <c r="E131" s="562"/>
      <c r="F131" s="562"/>
      <c r="G131" s="563"/>
      <c r="H131" s="80">
        <f>'Patient Population'!E116</f>
        <v>0</v>
      </c>
      <c r="I131" s="80">
        <f>'Patient Population'!F116</f>
        <v>0</v>
      </c>
      <c r="J131" s="80">
        <f>'Patient Population'!G116</f>
        <v>0</v>
      </c>
      <c r="K131" s="80">
        <f>'Patient Population'!H116</f>
        <v>0</v>
      </c>
      <c r="L131" s="82">
        <f>'Patient Population'!I116</f>
        <v>0</v>
      </c>
    </row>
    <row r="132" spans="2:14" x14ac:dyDescent="0.25">
      <c r="B132" s="557"/>
      <c r="C132" s="558"/>
      <c r="D132" s="571" t="s">
        <v>235</v>
      </c>
      <c r="E132" s="555"/>
      <c r="F132" s="555"/>
      <c r="G132" s="556"/>
      <c r="H132" s="113">
        <f xml:space="preserve"> 'Drug Acquisition Costs'!E38</f>
        <v>0</v>
      </c>
      <c r="I132" s="113">
        <f xml:space="preserve"> 'Drug Acquisition Costs'!F38</f>
        <v>0</v>
      </c>
      <c r="J132" s="113">
        <f xml:space="preserve"> 'Drug Acquisition Costs'!G38</f>
        <v>0</v>
      </c>
      <c r="K132" s="113">
        <f xml:space="preserve"> 'Drug Acquisition Costs'!H38</f>
        <v>0</v>
      </c>
      <c r="L132" s="115">
        <f xml:space="preserve"> 'Drug Acquisition Costs'!I38</f>
        <v>0</v>
      </c>
    </row>
    <row r="133" spans="2:14" x14ac:dyDescent="0.25">
      <c r="B133" s="557"/>
      <c r="C133" s="558"/>
      <c r="D133" s="571" t="s">
        <v>60</v>
      </c>
      <c r="E133" s="555"/>
      <c r="F133" s="555"/>
      <c r="G133" s="556"/>
      <c r="H133" s="69">
        <f>('Patient Population'!E36*'Patient Population'!E58*'Patient Population'!E98)</f>
        <v>0</v>
      </c>
      <c r="I133" s="69">
        <f>('Patient Population'!F36*'Patient Population'!F58*'Patient Population'!F98)</f>
        <v>0</v>
      </c>
      <c r="J133" s="69">
        <f>('Patient Population'!G36*'Patient Population'!G58*'Patient Population'!G98)</f>
        <v>0</v>
      </c>
      <c r="K133" s="69">
        <f>('Patient Population'!H36*'Patient Population'!H58*'Patient Population'!H98)</f>
        <v>0</v>
      </c>
      <c r="L133" s="72">
        <f>('Patient Population'!I36*'Patient Population'!I58*'Patient Population'!I98)</f>
        <v>0</v>
      </c>
    </row>
    <row r="134" spans="2:14" ht="15.75" thickBot="1" x14ac:dyDescent="0.3">
      <c r="B134" s="559"/>
      <c r="C134" s="560"/>
      <c r="D134" s="568" t="s">
        <v>61</v>
      </c>
      <c r="E134" s="569"/>
      <c r="F134" s="569"/>
      <c r="G134" s="570"/>
      <c r="H134" s="79">
        <f>'Patient Population'!E30*'Patient Population'!E31*'Patient Population'!E33*'Patient Population'!E35*'Patient Population'!E58</f>
        <v>0</v>
      </c>
      <c r="I134" s="79">
        <f>'Patient Population'!F30*'Patient Population'!F31*'Patient Population'!F33*'Patient Population'!F35*'Patient Population'!F58</f>
        <v>0</v>
      </c>
      <c r="J134" s="79">
        <f>'Patient Population'!G30*'Patient Population'!G31*'Patient Population'!G33*'Patient Population'!G35*'Patient Population'!G58</f>
        <v>0</v>
      </c>
      <c r="K134" s="79">
        <f>'Patient Population'!H30*'Patient Population'!H31*'Patient Population'!H33*'Patient Population'!H35*'Patient Population'!H58</f>
        <v>0</v>
      </c>
      <c r="L134" s="81">
        <f>'Patient Population'!I30*'Patient Population'!I31*'Patient Population'!I33*'Patient Population'!I35*'Patient Population'!I58</f>
        <v>0</v>
      </c>
    </row>
    <row r="135" spans="2:14" x14ac:dyDescent="0.25">
      <c r="B135" s="557" t="str">
        <f>CONCATENATE("Comparator 11: ",NameComparator11)</f>
        <v xml:space="preserve">Comparator 11: </v>
      </c>
      <c r="C135" s="558"/>
      <c r="D135" s="578" t="s">
        <v>236</v>
      </c>
      <c r="E135" s="562"/>
      <c r="F135" s="562"/>
      <c r="G135" s="563"/>
      <c r="H135" s="80">
        <f>'Patient Population'!E117</f>
        <v>0</v>
      </c>
      <c r="I135" s="80">
        <f>'Patient Population'!F117</f>
        <v>0</v>
      </c>
      <c r="J135" s="80">
        <f>'Patient Population'!G117</f>
        <v>0</v>
      </c>
      <c r="K135" s="80">
        <f>'Patient Population'!H117</f>
        <v>0</v>
      </c>
      <c r="L135" s="82">
        <f>'Patient Population'!I117</f>
        <v>0</v>
      </c>
    </row>
    <row r="136" spans="2:14" x14ac:dyDescent="0.25">
      <c r="B136" s="557"/>
      <c r="C136" s="558"/>
      <c r="D136" s="571" t="s">
        <v>237</v>
      </c>
      <c r="E136" s="555"/>
      <c r="F136" s="555"/>
      <c r="G136" s="556"/>
      <c r="H136" s="113">
        <f xml:space="preserve"> 'Drug Acquisition Costs'!E39</f>
        <v>0</v>
      </c>
      <c r="I136" s="113">
        <f xml:space="preserve"> 'Drug Acquisition Costs'!F39</f>
        <v>0</v>
      </c>
      <c r="J136" s="113">
        <f xml:space="preserve"> 'Drug Acquisition Costs'!G39</f>
        <v>0</v>
      </c>
      <c r="K136" s="113">
        <f xml:space="preserve"> 'Drug Acquisition Costs'!H39</f>
        <v>0</v>
      </c>
      <c r="L136" s="115">
        <f xml:space="preserve"> 'Drug Acquisition Costs'!I39</f>
        <v>0</v>
      </c>
    </row>
    <row r="137" spans="2:14" x14ac:dyDescent="0.25">
      <c r="B137" s="557"/>
      <c r="C137" s="558"/>
      <c r="D137" s="571" t="s">
        <v>60</v>
      </c>
      <c r="E137" s="555"/>
      <c r="F137" s="555"/>
      <c r="G137" s="556"/>
      <c r="H137" s="69">
        <f>('Patient Population'!E36*'Patient Population'!E59*'Patient Population'!E99)</f>
        <v>0</v>
      </c>
      <c r="I137" s="69">
        <f>('Patient Population'!F36*'Patient Population'!F59*'Patient Population'!F99)</f>
        <v>0</v>
      </c>
      <c r="J137" s="69">
        <f>('Patient Population'!G36*'Patient Population'!G59*'Patient Population'!G99)</f>
        <v>0</v>
      </c>
      <c r="K137" s="69">
        <f>('Patient Population'!H36*'Patient Population'!H59*'Patient Population'!H99)</f>
        <v>0</v>
      </c>
      <c r="L137" s="72">
        <f>('Patient Population'!I36*'Patient Population'!I59*'Patient Population'!I99)</f>
        <v>0</v>
      </c>
    </row>
    <row r="138" spans="2:14" ht="15.75" thickBot="1" x14ac:dyDescent="0.3">
      <c r="B138" s="559"/>
      <c r="C138" s="560"/>
      <c r="D138" s="568" t="s">
        <v>61</v>
      </c>
      <c r="E138" s="569"/>
      <c r="F138" s="569"/>
      <c r="G138" s="570"/>
      <c r="H138" s="79">
        <f>'Patient Population'!E30*'Patient Population'!E31*'Patient Population'!E33*'Patient Population'!E35*'Patient Population'!E59</f>
        <v>0</v>
      </c>
      <c r="I138" s="79">
        <f>'Patient Population'!F30*'Patient Population'!F31*'Patient Population'!F33*'Patient Population'!F35*'Patient Population'!F59</f>
        <v>0</v>
      </c>
      <c r="J138" s="79">
        <f>'Patient Population'!G30*'Patient Population'!G31*'Patient Population'!G33*'Patient Population'!G35*'Patient Population'!G59</f>
        <v>0</v>
      </c>
      <c r="K138" s="79">
        <f>'Patient Population'!H30*'Patient Population'!H31*'Patient Population'!H33*'Patient Population'!H35*'Patient Population'!H59</f>
        <v>0</v>
      </c>
      <c r="L138" s="81">
        <f>'Patient Population'!I30*'Patient Population'!I31*'Patient Population'!I33*'Patient Population'!I35*'Patient Population'!I59</f>
        <v>0</v>
      </c>
    </row>
    <row r="139" spans="2:14" x14ac:dyDescent="0.25">
      <c r="B139" s="557" t="str">
        <f>CONCATENATE("Comparator 12: ",NameComparator12)</f>
        <v xml:space="preserve">Comparator 12: </v>
      </c>
      <c r="C139" s="558"/>
      <c r="D139" s="578" t="s">
        <v>238</v>
      </c>
      <c r="E139" s="562"/>
      <c r="F139" s="562"/>
      <c r="G139" s="563"/>
      <c r="H139" s="80">
        <f>'Patient Population'!E118</f>
        <v>0</v>
      </c>
      <c r="I139" s="80">
        <f>'Patient Population'!F118</f>
        <v>0</v>
      </c>
      <c r="J139" s="80">
        <f>'Patient Population'!G118</f>
        <v>0</v>
      </c>
      <c r="K139" s="80">
        <f>'Patient Population'!H118</f>
        <v>0</v>
      </c>
      <c r="L139" s="82">
        <f>'Patient Population'!I118</f>
        <v>0</v>
      </c>
    </row>
    <row r="140" spans="2:14" x14ac:dyDescent="0.25">
      <c r="B140" s="557"/>
      <c r="C140" s="558"/>
      <c r="D140" s="571" t="s">
        <v>239</v>
      </c>
      <c r="E140" s="555"/>
      <c r="F140" s="555"/>
      <c r="G140" s="556"/>
      <c r="H140" s="113">
        <f xml:space="preserve"> 'Drug Acquisition Costs'!E40</f>
        <v>0</v>
      </c>
      <c r="I140" s="113">
        <f xml:space="preserve"> 'Drug Acquisition Costs'!F40</f>
        <v>0</v>
      </c>
      <c r="J140" s="113">
        <f xml:space="preserve"> 'Drug Acquisition Costs'!G40</f>
        <v>0</v>
      </c>
      <c r="K140" s="113">
        <f xml:space="preserve"> 'Drug Acquisition Costs'!H40</f>
        <v>0</v>
      </c>
      <c r="L140" s="115">
        <f xml:space="preserve"> 'Drug Acquisition Costs'!I40</f>
        <v>0</v>
      </c>
    </row>
    <row r="141" spans="2:14" x14ac:dyDescent="0.25">
      <c r="B141" s="557"/>
      <c r="C141" s="558"/>
      <c r="D141" s="571" t="s">
        <v>60</v>
      </c>
      <c r="E141" s="555"/>
      <c r="F141" s="555"/>
      <c r="G141" s="556"/>
      <c r="H141" s="69">
        <f>('Patient Population'!E36*'Patient Population'!E60*'Patient Population'!E100)</f>
        <v>0</v>
      </c>
      <c r="I141" s="69">
        <f>('Patient Population'!F36*'Patient Population'!F60*'Patient Population'!F100)</f>
        <v>0</v>
      </c>
      <c r="J141" s="69">
        <f>('Patient Population'!G36*'Patient Population'!G60*'Patient Population'!G100)</f>
        <v>0</v>
      </c>
      <c r="K141" s="69">
        <f>('Patient Population'!H36*'Patient Population'!H60*'Patient Population'!H100)</f>
        <v>0</v>
      </c>
      <c r="L141" s="72">
        <f>('Patient Population'!I36*'Patient Population'!I60*'Patient Population'!I100)</f>
        <v>0</v>
      </c>
    </row>
    <row r="142" spans="2:14" ht="15.75" thickBot="1" x14ac:dyDescent="0.3">
      <c r="B142" s="559"/>
      <c r="C142" s="560"/>
      <c r="D142" s="568" t="s">
        <v>61</v>
      </c>
      <c r="E142" s="569"/>
      <c r="F142" s="569"/>
      <c r="G142" s="570"/>
      <c r="H142" s="79">
        <f>'Patient Population'!E30*'Patient Population'!E31*'Patient Population'!E33*'Patient Population'!E35*'Patient Population'!E60</f>
        <v>0</v>
      </c>
      <c r="I142" s="79">
        <f>'Patient Population'!F30*'Patient Population'!F31*'Patient Population'!F33*'Patient Population'!F35*'Patient Population'!F60</f>
        <v>0</v>
      </c>
      <c r="J142" s="79">
        <f>'Patient Population'!G30*'Patient Population'!G31*'Patient Population'!G33*'Patient Population'!G35*'Patient Population'!G60</f>
        <v>0</v>
      </c>
      <c r="K142" s="79">
        <f>'Patient Population'!H30*'Patient Population'!H31*'Patient Population'!H33*'Patient Population'!H35*'Patient Population'!H60</f>
        <v>0</v>
      </c>
      <c r="L142" s="81">
        <f>'Patient Population'!I30*'Patient Population'!I31*'Patient Population'!I33*'Patient Population'!I35*'Patient Population'!I60</f>
        <v>0</v>
      </c>
    </row>
    <row r="143" spans="2:14" ht="15.75" thickBot="1" x14ac:dyDescent="0.3">
      <c r="B143" s="410" t="s">
        <v>57</v>
      </c>
      <c r="C143" s="411"/>
      <c r="D143" s="411"/>
      <c r="E143" s="411"/>
      <c r="F143" s="411"/>
      <c r="G143" s="412"/>
      <c r="H143" s="120">
        <f>(H95*H96)+((H97+H98)*(0.5*H96))+(H99*H100)+((H101+H102)*(0.5*H100))+(H103*H104)+((H105+H106)*(0.5*H104))+(H107*H108)+((H109+H110)*(0.5*H108))+(H111*H112)+((H113+H114)*(0.5*H112))+(H115*H116)+((H117+H118)*(0.5*H116))+(H119*H120)+((H121+H122)*(0.5*H120))+(H123*H124)+((H125+H126)*(0.5*H124))+(H127*H128)+((H129+H130)*(0.5*H128))+(H131*H132)+((H133+H134)*(0.5*H132))+(H135*H136)+((H137+H138)*(0.5*H136))+(H139*H140)+((H141+H142)*(0.5*H140))</f>
        <v>0</v>
      </c>
      <c r="I143" s="120">
        <f t="shared" ref="I143:L143" si="2">(I95*I96)+((I97+I98)*(0.5*I96))+(I99*I100)+((I101+I102)*(0.5*I100))+(I103*I104)+((I105+I106)*(0.5*I104))+(I107*I108)+((I109+I110)*(0.5*I108))+(I111*I112)+((I113+I114)*(0.5*I112))+(I115*I116)+((I117+I118)*(0.5*I116))+(I119*I120)+((I121+I122)*(0.5*I120))+(I123*I124)+((I125+I126)*(0.5*I124))+(I127*I128)+((I129+I130)*(0.5*I128))+(I131*I132)+((I133+I134)*(0.5*I132))+(I135*I136)+((I137+I138)*(0.5*I136))+(I139*I140)+((I141+I142)*(0.5*I140))</f>
        <v>0</v>
      </c>
      <c r="J143" s="120">
        <f t="shared" si="2"/>
        <v>0</v>
      </c>
      <c r="K143" s="120">
        <f t="shared" si="2"/>
        <v>0</v>
      </c>
      <c r="L143" s="120">
        <f t="shared" si="2"/>
        <v>0</v>
      </c>
      <c r="N143" s="119">
        <f>SUM(H143:L143)</f>
        <v>0</v>
      </c>
    </row>
    <row r="144" spans="2:14" ht="15.75" thickBot="1" x14ac:dyDescent="0.3"/>
    <row r="145" spans="2:17" ht="15.75" thickBot="1" x14ac:dyDescent="0.3">
      <c r="B145" s="410" t="s">
        <v>55</v>
      </c>
      <c r="C145" s="411"/>
      <c r="D145" s="411"/>
      <c r="E145" s="411"/>
      <c r="F145" s="411"/>
      <c r="G145" s="412"/>
      <c r="H145" s="121">
        <f>H36+H90-H143</f>
        <v>0</v>
      </c>
      <c r="I145" s="121">
        <f>I36+I90-I143</f>
        <v>0</v>
      </c>
      <c r="J145" s="121">
        <f>J36+J90-J143</f>
        <v>0</v>
      </c>
      <c r="K145" s="121">
        <f>K36+K90-K143</f>
        <v>0</v>
      </c>
      <c r="L145" s="119">
        <f>L36+L90-L143</f>
        <v>0</v>
      </c>
      <c r="N145" s="119">
        <f>SUM(H145:L145)</f>
        <v>0</v>
      </c>
    </row>
    <row r="148" spans="2:17" ht="16.5" thickBot="1" x14ac:dyDescent="0.3">
      <c r="B148" s="567" t="s">
        <v>56</v>
      </c>
      <c r="C148" s="567"/>
      <c r="D148" s="567"/>
      <c r="E148" s="567"/>
      <c r="F148" s="567"/>
      <c r="G148" s="567"/>
    </row>
    <row r="149" spans="2:17" ht="15.75" thickBot="1" x14ac:dyDescent="0.3">
      <c r="H149" s="17" t="s">
        <v>6</v>
      </c>
      <c r="I149" s="13" t="s">
        <v>7</v>
      </c>
      <c r="J149" s="13" t="s">
        <v>8</v>
      </c>
      <c r="K149" s="13" t="s">
        <v>9</v>
      </c>
      <c r="L149" s="13" t="s">
        <v>10</v>
      </c>
      <c r="Q149" s="139"/>
    </row>
    <row r="150" spans="2:17" ht="15.75" thickBot="1" x14ac:dyDescent="0.3">
      <c r="B150" s="550" t="s">
        <v>112</v>
      </c>
      <c r="C150" s="551"/>
      <c r="D150" s="551"/>
      <c r="E150" s="551"/>
      <c r="F150" s="551"/>
      <c r="G150" s="552"/>
      <c r="H150" s="132">
        <f>'Additional Costs'!F25*(H30-(0.5*(H32+H33)))</f>
        <v>0</v>
      </c>
      <c r="I150" s="132">
        <f>'Additional Costs'!G25*(I30-(0.5*(I32+I33)))</f>
        <v>0</v>
      </c>
      <c r="J150" s="132">
        <f>'Additional Costs'!H25*(J30-(0.5*(J32+J33)))</f>
        <v>0</v>
      </c>
      <c r="K150" s="132">
        <f>'Additional Costs'!I25*(K30-(0.5*(K32+K33)))</f>
        <v>0</v>
      </c>
      <c r="L150" s="116">
        <f>'Additional Costs'!J25*(L30-(0.5*(L32+L33)))</f>
        <v>0</v>
      </c>
    </row>
    <row r="151" spans="2:17" ht="15.75" thickBot="1" x14ac:dyDescent="0.3"/>
    <row r="152" spans="2:17" ht="15.75" thickBot="1" x14ac:dyDescent="0.3">
      <c r="B152" s="410" t="s">
        <v>56</v>
      </c>
      <c r="C152" s="411"/>
      <c r="D152" s="411"/>
      <c r="E152" s="411"/>
      <c r="F152" s="411"/>
      <c r="G152" s="412"/>
      <c r="H152" s="119">
        <f>H145+H150</f>
        <v>0</v>
      </c>
      <c r="I152" s="119">
        <f t="shared" ref="I152:L152" si="3">I145+I150</f>
        <v>0</v>
      </c>
      <c r="J152" s="119">
        <f t="shared" si="3"/>
        <v>0</v>
      </c>
      <c r="K152" s="119">
        <f t="shared" si="3"/>
        <v>0</v>
      </c>
      <c r="L152" s="119">
        <f t="shared" si="3"/>
        <v>0</v>
      </c>
      <c r="N152" s="119">
        <f>SUM(H152:L152)</f>
        <v>0</v>
      </c>
    </row>
    <row r="154" spans="2:17" x14ac:dyDescent="0.25">
      <c r="B154" s="566" t="s">
        <v>213</v>
      </c>
      <c r="C154" s="566"/>
      <c r="D154" s="566"/>
      <c r="E154" s="566"/>
      <c r="F154" s="566"/>
      <c r="G154" s="566"/>
      <c r="H154" s="566"/>
      <c r="I154" s="566"/>
      <c r="J154" s="566"/>
      <c r="K154" s="566"/>
      <c r="L154" s="566"/>
    </row>
    <row r="155" spans="2:17" x14ac:dyDescent="0.25">
      <c r="B155" s="566"/>
      <c r="C155" s="566"/>
      <c r="D155" s="566"/>
      <c r="E155" s="566"/>
      <c r="F155" s="566"/>
      <c r="G155" s="566"/>
      <c r="H155" s="566"/>
      <c r="I155" s="566"/>
      <c r="J155" s="566"/>
      <c r="K155" s="566"/>
      <c r="L155" s="566"/>
    </row>
  </sheetData>
  <mergeCells count="141">
    <mergeCell ref="B119:C122"/>
    <mergeCell ref="D119:G119"/>
    <mergeCell ref="D120:G120"/>
    <mergeCell ref="D121:G121"/>
    <mergeCell ref="D122:G122"/>
    <mergeCell ref="B123:C126"/>
    <mergeCell ref="D123:G123"/>
    <mergeCell ref="D124:G124"/>
    <mergeCell ref="D125:G125"/>
    <mergeCell ref="D126:G126"/>
    <mergeCell ref="D134:G134"/>
    <mergeCell ref="B127:C130"/>
    <mergeCell ref="D127:G127"/>
    <mergeCell ref="D128:G128"/>
    <mergeCell ref="D129:G129"/>
    <mergeCell ref="D130:G130"/>
    <mergeCell ref="D68:G68"/>
    <mergeCell ref="D69:G69"/>
    <mergeCell ref="B139:C142"/>
    <mergeCell ref="D139:G139"/>
    <mergeCell ref="D140:G140"/>
    <mergeCell ref="D141:G141"/>
    <mergeCell ref="D142:G142"/>
    <mergeCell ref="B135:C138"/>
    <mergeCell ref="D135:G135"/>
    <mergeCell ref="D136:G136"/>
    <mergeCell ref="D137:G137"/>
    <mergeCell ref="D138:G138"/>
    <mergeCell ref="B131:C134"/>
    <mergeCell ref="D131:G131"/>
    <mergeCell ref="D132:G132"/>
    <mergeCell ref="D133:G133"/>
    <mergeCell ref="B74:C77"/>
    <mergeCell ref="D74:G74"/>
    <mergeCell ref="D75:G75"/>
    <mergeCell ref="D76:G76"/>
    <mergeCell ref="D77:G77"/>
    <mergeCell ref="B70:C73"/>
    <mergeCell ref="D70:G70"/>
    <mergeCell ref="D71:G71"/>
    <mergeCell ref="D72:G72"/>
    <mergeCell ref="D73:G73"/>
    <mergeCell ref="B66:C69"/>
    <mergeCell ref="D66:G66"/>
    <mergeCell ref="D67:G67"/>
    <mergeCell ref="B30:C33"/>
    <mergeCell ref="D30:G30"/>
    <mergeCell ref="D31:G31"/>
    <mergeCell ref="D32:G32"/>
    <mergeCell ref="D33:G33"/>
    <mergeCell ref="D95:G95"/>
    <mergeCell ref="D99:G99"/>
    <mergeCell ref="D103:G103"/>
    <mergeCell ref="D107:G107"/>
    <mergeCell ref="D96:G96"/>
    <mergeCell ref="D100:G100"/>
    <mergeCell ref="D104:G104"/>
    <mergeCell ref="B95:C98"/>
    <mergeCell ref="B41:G41"/>
    <mergeCell ref="B90:G90"/>
    <mergeCell ref="D44:G44"/>
    <mergeCell ref="D48:G48"/>
    <mergeCell ref="B82:C85"/>
    <mergeCell ref="D82:G82"/>
    <mergeCell ref="D83:G83"/>
    <mergeCell ref="D84:G84"/>
    <mergeCell ref="D85:G85"/>
    <mergeCell ref="B78:C81"/>
    <mergeCell ref="D78:G78"/>
    <mergeCell ref="B25:G25"/>
    <mergeCell ref="B22:G22"/>
    <mergeCell ref="B17:J20"/>
    <mergeCell ref="B28:G28"/>
    <mergeCell ref="B42:C45"/>
    <mergeCell ref="B34:G34"/>
    <mergeCell ref="B39:G39"/>
    <mergeCell ref="B36:G36"/>
    <mergeCell ref="D116:G116"/>
    <mergeCell ref="D42:G42"/>
    <mergeCell ref="D43:G43"/>
    <mergeCell ref="D46:G46"/>
    <mergeCell ref="D47:G47"/>
    <mergeCell ref="D50:G50"/>
    <mergeCell ref="D51:G51"/>
    <mergeCell ref="D54:G54"/>
    <mergeCell ref="D55:G55"/>
    <mergeCell ref="D58:G58"/>
    <mergeCell ref="D97:G97"/>
    <mergeCell ref="D105:G105"/>
    <mergeCell ref="D63:G63"/>
    <mergeCell ref="D62:G62"/>
    <mergeCell ref="D56:G56"/>
    <mergeCell ref="D60:G60"/>
    <mergeCell ref="D45:G45"/>
    <mergeCell ref="D49:G49"/>
    <mergeCell ref="D53:G53"/>
    <mergeCell ref="D57:G57"/>
    <mergeCell ref="D61:G61"/>
    <mergeCell ref="D65:G65"/>
    <mergeCell ref="D98:G98"/>
    <mergeCell ref="D102:G102"/>
    <mergeCell ref="D106:G106"/>
    <mergeCell ref="D101:G101"/>
    <mergeCell ref="B94:G94"/>
    <mergeCell ref="D64:G64"/>
    <mergeCell ref="D59:G59"/>
    <mergeCell ref="B46:C49"/>
    <mergeCell ref="B50:C53"/>
    <mergeCell ref="B54:C57"/>
    <mergeCell ref="B58:C61"/>
    <mergeCell ref="B62:C65"/>
    <mergeCell ref="D87:G87"/>
    <mergeCell ref="D88:G88"/>
    <mergeCell ref="D89:G89"/>
    <mergeCell ref="D79:G79"/>
    <mergeCell ref="D80:G80"/>
    <mergeCell ref="D81:G81"/>
    <mergeCell ref="D52:G52"/>
    <mergeCell ref="B86:C89"/>
    <mergeCell ref="D86:G86"/>
    <mergeCell ref="B99:C102"/>
    <mergeCell ref="B103:C106"/>
    <mergeCell ref="B107:C110"/>
    <mergeCell ref="B111:C114"/>
    <mergeCell ref="B115:C118"/>
    <mergeCell ref="B154:L155"/>
    <mergeCell ref="B143:G143"/>
    <mergeCell ref="B145:G145"/>
    <mergeCell ref="B148:G148"/>
    <mergeCell ref="B150:G150"/>
    <mergeCell ref="B152:G152"/>
    <mergeCell ref="D118:G118"/>
    <mergeCell ref="D109:G109"/>
    <mergeCell ref="D113:G113"/>
    <mergeCell ref="D117:G117"/>
    <mergeCell ref="D110:G110"/>
    <mergeCell ref="D114:G114"/>
    <mergeCell ref="D108:G108"/>
    <mergeCell ref="D111:G111"/>
    <mergeCell ref="D112:G112"/>
    <mergeCell ref="D115:G1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7:R155"/>
  <sheetViews>
    <sheetView zoomScale="75" zoomScaleNormal="75" workbookViewId="0">
      <selection activeCell="M16" sqref="M16"/>
    </sheetView>
  </sheetViews>
  <sheetFormatPr defaultColWidth="9.140625" defaultRowHeight="15" x14ac:dyDescent="0.25"/>
  <cols>
    <col min="1" max="1" width="9.140625" style="1"/>
    <col min="2" max="3" width="9.140625" style="26"/>
    <col min="4" max="7" width="11.42578125" style="1" customWidth="1"/>
    <col min="8" max="12" width="16.42578125" style="1" customWidth="1"/>
    <col min="13" max="13" width="7.42578125" style="1" customWidth="1"/>
    <col min="14" max="14" width="16.42578125" style="1" customWidth="1"/>
    <col min="15" max="16" width="9.140625" style="1"/>
    <col min="17" max="17" width="10.7109375" style="1" bestFit="1" customWidth="1"/>
    <col min="18" max="18" width="10.85546875" style="1" bestFit="1" customWidth="1"/>
    <col min="19" max="16384" width="9.140625" style="1"/>
  </cols>
  <sheetData>
    <row r="17" spans="2:14" ht="15" customHeight="1" x14ac:dyDescent="0.25">
      <c r="B17" s="421" t="s">
        <v>267</v>
      </c>
      <c r="C17" s="421"/>
      <c r="D17" s="421"/>
      <c r="E17" s="421"/>
      <c r="F17" s="421"/>
      <c r="G17" s="421"/>
      <c r="H17" s="421"/>
      <c r="I17" s="421"/>
      <c r="J17" s="421"/>
    </row>
    <row r="18" spans="2:14" x14ac:dyDescent="0.25">
      <c r="B18" s="421"/>
      <c r="C18" s="421"/>
      <c r="D18" s="421"/>
      <c r="E18" s="421"/>
      <c r="F18" s="421"/>
      <c r="G18" s="421"/>
      <c r="H18" s="421"/>
      <c r="I18" s="421"/>
      <c r="J18" s="421"/>
    </row>
    <row r="19" spans="2:14" x14ac:dyDescent="0.25">
      <c r="B19" s="421"/>
      <c r="C19" s="421"/>
      <c r="D19" s="421"/>
      <c r="E19" s="421"/>
      <c r="F19" s="421"/>
      <c r="G19" s="421"/>
      <c r="H19" s="421"/>
      <c r="I19" s="421"/>
      <c r="J19" s="421"/>
    </row>
    <row r="20" spans="2:14" x14ac:dyDescent="0.25">
      <c r="B20" s="421"/>
      <c r="C20" s="421"/>
      <c r="D20" s="421"/>
      <c r="E20" s="421"/>
      <c r="F20" s="421"/>
      <c r="G20" s="421"/>
      <c r="H20" s="421"/>
      <c r="I20" s="421"/>
      <c r="J20" s="421"/>
    </row>
    <row r="22" spans="2:14" ht="15.75" x14ac:dyDescent="0.25">
      <c r="B22" s="567" t="s">
        <v>13</v>
      </c>
      <c r="C22" s="567"/>
      <c r="D22" s="567"/>
      <c r="E22" s="567"/>
      <c r="F22" s="567"/>
      <c r="G22" s="567"/>
    </row>
    <row r="23" spans="2:14" ht="15.75" thickBot="1" x14ac:dyDescent="0.3"/>
    <row r="24" spans="2:14" ht="15.75" thickBot="1" x14ac:dyDescent="0.3">
      <c r="H24" s="314" t="s">
        <v>6</v>
      </c>
      <c r="I24" s="311" t="s">
        <v>7</v>
      </c>
      <c r="J24" s="311" t="s">
        <v>8</v>
      </c>
      <c r="K24" s="311" t="s">
        <v>9</v>
      </c>
      <c r="L24" s="311" t="s">
        <v>10</v>
      </c>
      <c r="N24" s="311" t="s">
        <v>17</v>
      </c>
    </row>
    <row r="25" spans="2:14" ht="15.75" thickBot="1" x14ac:dyDescent="0.3">
      <c r="B25" s="550" t="s">
        <v>33</v>
      </c>
      <c r="C25" s="551"/>
      <c r="D25" s="551"/>
      <c r="E25" s="551"/>
      <c r="F25" s="551"/>
      <c r="G25" s="552"/>
      <c r="H25" s="44">
        <f>'Patient Population'!E36</f>
        <v>0</v>
      </c>
      <c r="I25" s="44">
        <f>'Patient Population'!F36</f>
        <v>0</v>
      </c>
      <c r="J25" s="44">
        <f>'Patient Population'!G36</f>
        <v>0</v>
      </c>
      <c r="K25" s="44">
        <f>'Patient Population'!H36</f>
        <v>0</v>
      </c>
      <c r="L25" s="45">
        <f>'Patient Population'!I36</f>
        <v>0</v>
      </c>
      <c r="N25" s="18">
        <f>SUM(H25:L25)</f>
        <v>0</v>
      </c>
    </row>
    <row r="28" spans="2:14" ht="16.5" thickBot="1" x14ac:dyDescent="0.3">
      <c r="B28" s="567" t="s">
        <v>54</v>
      </c>
      <c r="C28" s="567"/>
      <c r="D28" s="567"/>
      <c r="E28" s="567"/>
      <c r="F28" s="567"/>
      <c r="G28" s="567"/>
    </row>
    <row r="29" spans="2:14" ht="15.75" thickBot="1" x14ac:dyDescent="0.3">
      <c r="H29" s="47" t="s">
        <v>6</v>
      </c>
      <c r="I29" s="48" t="s">
        <v>7</v>
      </c>
      <c r="J29" s="48" t="s">
        <v>8</v>
      </c>
      <c r="K29" s="48" t="s">
        <v>9</v>
      </c>
      <c r="L29" s="48" t="s">
        <v>10</v>
      </c>
    </row>
    <row r="30" spans="2:14" x14ac:dyDescent="0.25">
      <c r="B30" s="564" t="str">
        <f>CONCATENATE("Intervention: ",InterventionINN)</f>
        <v xml:space="preserve">Intervention: </v>
      </c>
      <c r="C30" s="565"/>
      <c r="D30" s="589" t="s">
        <v>26</v>
      </c>
      <c r="E30" s="586"/>
      <c r="F30" s="586"/>
      <c r="G30" s="590"/>
      <c r="H30" s="74">
        <f>'Patient Population'!E126</f>
        <v>0</v>
      </c>
      <c r="I30" s="71">
        <f>'Patient Population'!F126</f>
        <v>0</v>
      </c>
      <c r="J30" s="74">
        <f>'Patient Population'!G126</f>
        <v>0</v>
      </c>
      <c r="K30" s="71">
        <f>'Patient Population'!H126</f>
        <v>0</v>
      </c>
      <c r="L30" s="77">
        <f>'Patient Population'!I126</f>
        <v>0</v>
      </c>
    </row>
    <row r="31" spans="2:14" x14ac:dyDescent="0.25">
      <c r="B31" s="557"/>
      <c r="C31" s="558"/>
      <c r="D31" s="591" t="s">
        <v>59</v>
      </c>
      <c r="E31" s="587"/>
      <c r="F31" s="587"/>
      <c r="G31" s="592"/>
      <c r="H31" s="325">
        <f>'Drug Acquisition Costs (PAS)'!E28</f>
        <v>0</v>
      </c>
      <c r="I31" s="325">
        <f>'Drug Acquisition Costs (PAS)'!F28</f>
        <v>0</v>
      </c>
      <c r="J31" s="325">
        <f>'Drug Acquisition Costs (PAS)'!G28</f>
        <v>0</v>
      </c>
      <c r="K31" s="325">
        <f>'Drug Acquisition Costs (PAS)'!H28</f>
        <v>0</v>
      </c>
      <c r="L31" s="325">
        <f>'Drug Acquisition Costs (PAS)'!I28</f>
        <v>0</v>
      </c>
    </row>
    <row r="32" spans="2:14" x14ac:dyDescent="0.25">
      <c r="B32" s="557"/>
      <c r="C32" s="558"/>
      <c r="D32" s="591" t="s">
        <v>60</v>
      </c>
      <c r="E32" s="587"/>
      <c r="F32" s="587"/>
      <c r="G32" s="592"/>
      <c r="H32" s="75">
        <f>('Patient Population'!E36*'Patient Population'!E68*'Patient Population'!E88)</f>
        <v>0</v>
      </c>
      <c r="I32" s="72">
        <f>('Patient Population'!F36*'Patient Population'!F68*'Patient Population'!F88)</f>
        <v>0</v>
      </c>
      <c r="J32" s="75">
        <f>('Patient Population'!G36*'Patient Population'!G68*'Patient Population'!G88)</f>
        <v>0</v>
      </c>
      <c r="K32" s="72">
        <f>('Patient Population'!H36*'Patient Population'!H68*'Patient Population'!H88)</f>
        <v>0</v>
      </c>
      <c r="L32" s="78">
        <f>('Patient Population'!I36*'Patient Population'!I68*'Patient Population'!I88)</f>
        <v>0</v>
      </c>
    </row>
    <row r="33" spans="2:14" ht="15.75" thickBot="1" x14ac:dyDescent="0.3">
      <c r="B33" s="559"/>
      <c r="C33" s="560"/>
      <c r="D33" s="593" t="s">
        <v>61</v>
      </c>
      <c r="E33" s="594"/>
      <c r="F33" s="594"/>
      <c r="G33" s="595"/>
      <c r="H33" s="83">
        <f>'Patient Population'!E30*'Patient Population'!E31*'Patient Population'!E33*'Patient Population'!E35*'Patient Population'!E68</f>
        <v>0</v>
      </c>
      <c r="I33" s="81">
        <f>'Patient Population'!F30*'Patient Population'!F31*'Patient Population'!F33*'Patient Population'!F35*'Patient Population'!F68</f>
        <v>0</v>
      </c>
      <c r="J33" s="83">
        <f>'Patient Population'!G30*'Patient Population'!G31*'Patient Population'!G33*'Patient Population'!G35*'Patient Population'!G68</f>
        <v>0</v>
      </c>
      <c r="K33" s="81">
        <f>'Patient Population'!H30*'Patient Population'!H31*'Patient Population'!H33*'Patient Population'!H35*'Patient Population'!H68</f>
        <v>0</v>
      </c>
      <c r="L33" s="85">
        <f>'Patient Population'!I30*'Patient Population'!I31*'Patient Population'!I33*'Patient Population'!I35*'Patient Population'!I68</f>
        <v>0</v>
      </c>
    </row>
    <row r="34" spans="2:14" ht="15.75" thickBot="1" x14ac:dyDescent="0.3">
      <c r="B34" s="410" t="s">
        <v>58</v>
      </c>
      <c r="C34" s="411"/>
      <c r="D34" s="411"/>
      <c r="E34" s="411"/>
      <c r="F34" s="411"/>
      <c r="G34" s="412"/>
      <c r="H34" s="326">
        <f>(H30*H31)+((0.5*H31)*(H32+H33))</f>
        <v>0</v>
      </c>
      <c r="I34" s="327">
        <f>(I30*I31)+((0.5*I31)*(I32+I33))</f>
        <v>0</v>
      </c>
      <c r="J34" s="327">
        <f>(J30*J31)+((0.5*J31)*(J32+J33))</f>
        <v>0</v>
      </c>
      <c r="K34" s="327">
        <f>(K30*K31)+((0.5*K31)*(K32+K33))</f>
        <v>0</v>
      </c>
      <c r="L34" s="328">
        <f>(L30*L31)+((0.5*L31)*(L32+L33))</f>
        <v>0</v>
      </c>
    </row>
    <row r="35" spans="2:14" ht="15.75" thickBot="1" x14ac:dyDescent="0.3"/>
    <row r="36" spans="2:14" ht="15.75" thickBot="1" x14ac:dyDescent="0.3">
      <c r="B36" s="410" t="s">
        <v>54</v>
      </c>
      <c r="C36" s="411"/>
      <c r="D36" s="411"/>
      <c r="E36" s="411"/>
      <c r="F36" s="411"/>
      <c r="G36" s="412"/>
      <c r="H36" s="329">
        <f>H34</f>
        <v>0</v>
      </c>
      <c r="I36" s="329">
        <f>I34</f>
        <v>0</v>
      </c>
      <c r="J36" s="329">
        <f>J34</f>
        <v>0</v>
      </c>
      <c r="K36" s="329">
        <f>K34</f>
        <v>0</v>
      </c>
      <c r="L36" s="330">
        <f>L34</f>
        <v>0</v>
      </c>
      <c r="N36" s="330">
        <f t="shared" ref="N36" si="0">SUM(H36:L36)</f>
        <v>0</v>
      </c>
    </row>
    <row r="39" spans="2:14" ht="15.75" x14ac:dyDescent="0.25">
      <c r="B39" s="567" t="s">
        <v>55</v>
      </c>
      <c r="C39" s="567"/>
      <c r="D39" s="567"/>
      <c r="E39" s="567"/>
      <c r="F39" s="567"/>
      <c r="G39" s="567"/>
    </row>
    <row r="40" spans="2:14" ht="15.75" thickBot="1" x14ac:dyDescent="0.3">
      <c r="D40" s="313"/>
      <c r="E40" s="313"/>
      <c r="F40" s="313"/>
      <c r="G40" s="313"/>
    </row>
    <row r="41" spans="2:14" ht="15.75" thickBot="1" x14ac:dyDescent="0.3">
      <c r="B41" s="596" t="s">
        <v>102</v>
      </c>
      <c r="C41" s="596"/>
      <c r="D41" s="596"/>
      <c r="E41" s="596"/>
      <c r="F41" s="596"/>
      <c r="G41" s="596"/>
      <c r="H41" s="311" t="s">
        <v>6</v>
      </c>
      <c r="I41" s="315" t="s">
        <v>7</v>
      </c>
      <c r="J41" s="311" t="s">
        <v>8</v>
      </c>
      <c r="K41" s="315" t="s">
        <v>9</v>
      </c>
      <c r="L41" s="311" t="s">
        <v>10</v>
      </c>
    </row>
    <row r="42" spans="2:14" x14ac:dyDescent="0.25">
      <c r="B42" s="564" t="str">
        <f>CONCATENATE("Comparator 1: ",NameComparator1)</f>
        <v xml:space="preserve">Comparator 1: </v>
      </c>
      <c r="C42" s="565"/>
      <c r="D42" s="577" t="s">
        <v>18</v>
      </c>
      <c r="E42" s="586"/>
      <c r="F42" s="586"/>
      <c r="G42" s="586"/>
      <c r="H42" s="209">
        <f>'Patient Population'!E127</f>
        <v>0</v>
      </c>
      <c r="I42" s="210">
        <f>'Patient Population'!F127</f>
        <v>0</v>
      </c>
      <c r="J42" s="209">
        <f>'Patient Population'!G127</f>
        <v>0</v>
      </c>
      <c r="K42" s="210">
        <f>'Patient Population'!H127</f>
        <v>0</v>
      </c>
      <c r="L42" s="209">
        <f>'Patient Population'!I127</f>
        <v>0</v>
      </c>
    </row>
    <row r="43" spans="2:14" x14ac:dyDescent="0.25">
      <c r="B43" s="557"/>
      <c r="C43" s="558"/>
      <c r="D43" s="556" t="s">
        <v>23</v>
      </c>
      <c r="E43" s="587"/>
      <c r="F43" s="587"/>
      <c r="G43" s="587"/>
      <c r="H43" s="211" t="str">
        <f>'Drug Acquisition Costs (PAS)'!E29</f>
        <v/>
      </c>
      <c r="I43" s="211" t="str">
        <f>'Drug Acquisition Costs (PAS)'!F29</f>
        <v/>
      </c>
      <c r="J43" s="211" t="str">
        <f>'Drug Acquisition Costs (PAS)'!G29</f>
        <v/>
      </c>
      <c r="K43" s="211" t="str">
        <f>'Drug Acquisition Costs (PAS)'!H29</f>
        <v/>
      </c>
      <c r="L43" s="211" t="str">
        <f>'Drug Acquisition Costs (PAS)'!I29</f>
        <v/>
      </c>
    </row>
    <row r="44" spans="2:14" x14ac:dyDescent="0.25">
      <c r="B44" s="557"/>
      <c r="C44" s="558"/>
      <c r="D44" s="556" t="s">
        <v>60</v>
      </c>
      <c r="E44" s="587"/>
      <c r="F44" s="587"/>
      <c r="G44" s="587"/>
      <c r="H44" s="213">
        <f>('Patient Population'!E36*'Patient Population'!E69*'Patient Population'!E89)</f>
        <v>0</v>
      </c>
      <c r="I44" s="214">
        <f>('Patient Population'!F36*'Patient Population'!F69*'Patient Population'!F89)</f>
        <v>0</v>
      </c>
      <c r="J44" s="213">
        <f>('Patient Population'!G36*'Patient Population'!G69*'Patient Population'!G89)</f>
        <v>0</v>
      </c>
      <c r="K44" s="214">
        <f>('Patient Population'!H36*'Patient Population'!H69*'Patient Population'!H89)</f>
        <v>0</v>
      </c>
      <c r="L44" s="213">
        <f>('Patient Population'!I36*'Patient Population'!I69*'Patient Population'!I89)</f>
        <v>0</v>
      </c>
    </row>
    <row r="45" spans="2:14" ht="15.75" thickBot="1" x14ac:dyDescent="0.3">
      <c r="B45" s="559"/>
      <c r="C45" s="560"/>
      <c r="D45" s="579" t="s">
        <v>61</v>
      </c>
      <c r="E45" s="580"/>
      <c r="F45" s="580"/>
      <c r="G45" s="580"/>
      <c r="H45" s="204">
        <f>'Patient Population'!E30*'Patient Population'!E31*'Patient Population'!E33*'Patient Population'!E35*'Patient Population'!E69</f>
        <v>0</v>
      </c>
      <c r="I45" s="202">
        <f>'Patient Population'!F30*'Patient Population'!F31*'Patient Population'!F33*'Patient Population'!F35*'Patient Population'!F69</f>
        <v>0</v>
      </c>
      <c r="J45" s="204">
        <f>'Patient Population'!G30*'Patient Population'!G31*'Patient Population'!G33*'Patient Population'!G35*'Patient Population'!G69</f>
        <v>0</v>
      </c>
      <c r="K45" s="202">
        <f>'Patient Population'!H30*'Patient Population'!H31*'Patient Population'!H33*'Patient Population'!H35*'Patient Population'!H69</f>
        <v>0</v>
      </c>
      <c r="L45" s="204">
        <f>'Patient Population'!I30*'Patient Population'!I31*'Patient Population'!I33*'Patient Population'!I35*'Patient Population'!I69</f>
        <v>0</v>
      </c>
    </row>
    <row r="46" spans="2:14" ht="15" customHeight="1" x14ac:dyDescent="0.25">
      <c r="B46" s="557" t="str">
        <f>CONCATENATE("Comparator 2: ",NameComparator2)</f>
        <v xml:space="preserve">Comparator 2: </v>
      </c>
      <c r="C46" s="558"/>
      <c r="D46" s="577" t="s">
        <v>19</v>
      </c>
      <c r="E46" s="586"/>
      <c r="F46" s="586"/>
      <c r="G46" s="586"/>
      <c r="H46" s="209">
        <f>'Patient Population'!E128</f>
        <v>0</v>
      </c>
      <c r="I46" s="210">
        <f>'Patient Population'!F128</f>
        <v>0</v>
      </c>
      <c r="J46" s="209">
        <f>'Patient Population'!G128</f>
        <v>0</v>
      </c>
      <c r="K46" s="210">
        <f>'Patient Population'!H128</f>
        <v>0</v>
      </c>
      <c r="L46" s="209">
        <f>'Patient Population'!I128</f>
        <v>0</v>
      </c>
    </row>
    <row r="47" spans="2:14" x14ac:dyDescent="0.25">
      <c r="B47" s="557"/>
      <c r="C47" s="558"/>
      <c r="D47" s="556" t="s">
        <v>22</v>
      </c>
      <c r="E47" s="587"/>
      <c r="F47" s="587"/>
      <c r="G47" s="587"/>
      <c r="H47" s="211" t="str">
        <f>'Drug Acquisition Costs (PAS)'!E30</f>
        <v/>
      </c>
      <c r="I47" s="211" t="str">
        <f>'Drug Acquisition Costs (PAS)'!F30</f>
        <v/>
      </c>
      <c r="J47" s="211" t="str">
        <f>'Drug Acquisition Costs (PAS)'!G30</f>
        <v/>
      </c>
      <c r="K47" s="211" t="str">
        <f>'Drug Acquisition Costs (PAS)'!H30</f>
        <v/>
      </c>
      <c r="L47" s="211" t="str">
        <f>'Drug Acquisition Costs (PAS)'!I30</f>
        <v/>
      </c>
    </row>
    <row r="48" spans="2:14" x14ac:dyDescent="0.25">
      <c r="B48" s="557"/>
      <c r="C48" s="558"/>
      <c r="D48" s="563" t="s">
        <v>60</v>
      </c>
      <c r="E48" s="599"/>
      <c r="F48" s="599"/>
      <c r="G48" s="599"/>
      <c r="H48" s="215">
        <f>('Patient Population'!E36*'Patient Population'!E70*'Patient Population'!E90)</f>
        <v>0</v>
      </c>
      <c r="I48" s="216">
        <f>('Patient Population'!F36*'Patient Population'!F70*'Patient Population'!F90)</f>
        <v>0</v>
      </c>
      <c r="J48" s="215">
        <f>('Patient Population'!G36*'Patient Population'!G70*'Patient Population'!G90)</f>
        <v>0</v>
      </c>
      <c r="K48" s="216">
        <f>('Patient Population'!H36*'Patient Population'!H70*'Patient Population'!H90)</f>
        <v>0</v>
      </c>
      <c r="L48" s="215">
        <f>('Patient Population'!I36*'Patient Population'!I70*'Patient Population'!I90)</f>
        <v>0</v>
      </c>
    </row>
    <row r="49" spans="1:12" ht="15.75" thickBot="1" x14ac:dyDescent="0.3">
      <c r="B49" s="557"/>
      <c r="C49" s="558"/>
      <c r="D49" s="581" t="s">
        <v>61</v>
      </c>
      <c r="E49" s="581"/>
      <c r="F49" s="581"/>
      <c r="G49" s="581"/>
      <c r="H49" s="203">
        <f>'Patient Population'!E30*'Patient Population'!E31*'Patient Population'!E33*'Patient Population'!E35*'Patient Population'!E70</f>
        <v>0</v>
      </c>
      <c r="I49" s="200">
        <f>'Patient Population'!F30*'Patient Population'!F31*'Patient Population'!F33*'Patient Population'!F35*'Patient Population'!F70</f>
        <v>0</v>
      </c>
      <c r="J49" s="203">
        <f>'Patient Population'!G30*'Patient Population'!G31*'Patient Population'!G33*'Patient Population'!G35*'Patient Population'!G70</f>
        <v>0</v>
      </c>
      <c r="K49" s="200">
        <f>'Patient Population'!H30*'Patient Population'!H31*'Patient Population'!H33*'Patient Population'!H35*'Patient Population'!H70</f>
        <v>0</v>
      </c>
      <c r="L49" s="203">
        <f>'Patient Population'!I30*'Patient Population'!I31*'Patient Population'!I33*'Patient Population'!I35*'Patient Population'!I70</f>
        <v>0</v>
      </c>
    </row>
    <row r="50" spans="1:12" ht="15" customHeight="1" x14ac:dyDescent="0.25">
      <c r="B50" s="564" t="str">
        <f>CONCATENATE("Comparator 3: ",NameComparator3)</f>
        <v xml:space="preserve">Comparator 3: </v>
      </c>
      <c r="C50" s="565"/>
      <c r="D50" s="588" t="s">
        <v>20</v>
      </c>
      <c r="E50" s="576"/>
      <c r="F50" s="576"/>
      <c r="G50" s="577"/>
      <c r="H50" s="209">
        <f>'Patient Population'!E129</f>
        <v>0</v>
      </c>
      <c r="I50" s="210">
        <f>'Patient Population'!F129</f>
        <v>0</v>
      </c>
      <c r="J50" s="209">
        <f>'Patient Population'!G129</f>
        <v>0</v>
      </c>
      <c r="K50" s="210">
        <f>'Patient Population'!H129</f>
        <v>0</v>
      </c>
      <c r="L50" s="209">
        <f>'Patient Population'!I129</f>
        <v>0</v>
      </c>
    </row>
    <row r="51" spans="1:12" x14ac:dyDescent="0.25">
      <c r="B51" s="557"/>
      <c r="C51" s="558"/>
      <c r="D51" s="554" t="s">
        <v>24</v>
      </c>
      <c r="E51" s="555"/>
      <c r="F51" s="555"/>
      <c r="G51" s="556"/>
      <c r="H51" s="211" t="str">
        <f>'Drug Acquisition Costs (PAS)'!E31</f>
        <v/>
      </c>
      <c r="I51" s="211" t="str">
        <f>'Drug Acquisition Costs (PAS)'!F31</f>
        <v/>
      </c>
      <c r="J51" s="211" t="str">
        <f>'Drug Acquisition Costs (PAS)'!G31</f>
        <v/>
      </c>
      <c r="K51" s="211" t="str">
        <f>'Drug Acquisition Costs (PAS)'!H31</f>
        <v/>
      </c>
      <c r="L51" s="211" t="str">
        <f>'Drug Acquisition Costs (PAS)'!I31</f>
        <v/>
      </c>
    </row>
    <row r="52" spans="1:12" x14ac:dyDescent="0.25">
      <c r="B52" s="557"/>
      <c r="C52" s="558"/>
      <c r="D52" s="554" t="s">
        <v>60</v>
      </c>
      <c r="E52" s="555"/>
      <c r="F52" s="555"/>
      <c r="G52" s="556"/>
      <c r="H52" s="213">
        <f>('Patient Population'!E36*'Patient Population'!E71*'Patient Population'!E91)</f>
        <v>0</v>
      </c>
      <c r="I52" s="214">
        <f>('Patient Population'!F36*'Patient Population'!F71*'Patient Population'!F91)</f>
        <v>0</v>
      </c>
      <c r="J52" s="213">
        <f>('Patient Population'!G36*'Patient Population'!G71*'Patient Population'!G91)</f>
        <v>0</v>
      </c>
      <c r="K52" s="214">
        <f>('Patient Population'!H36*'Patient Population'!H71*'Patient Population'!H91)</f>
        <v>0</v>
      </c>
      <c r="L52" s="213">
        <f>('Patient Population'!I36*'Patient Population'!I71*'Patient Population'!I91)</f>
        <v>0</v>
      </c>
    </row>
    <row r="53" spans="1:12" ht="15.75" thickBot="1" x14ac:dyDescent="0.3">
      <c r="B53" s="559"/>
      <c r="C53" s="560"/>
      <c r="D53" s="582" t="s">
        <v>61</v>
      </c>
      <c r="E53" s="569"/>
      <c r="F53" s="569"/>
      <c r="G53" s="570"/>
      <c r="H53" s="204">
        <f>'Patient Population'!E30*'Patient Population'!E31*'Patient Population'!E33*'Patient Population'!E35*'Patient Population'!E71</f>
        <v>0</v>
      </c>
      <c r="I53" s="202">
        <f>'Patient Population'!F30*'Patient Population'!F31*'Patient Population'!F33*'Patient Population'!F35*'Patient Population'!F71</f>
        <v>0</v>
      </c>
      <c r="J53" s="204">
        <f>'Patient Population'!G30*'Patient Population'!G31*'Patient Population'!G33*'Patient Population'!G35*'Patient Population'!G71</f>
        <v>0</v>
      </c>
      <c r="K53" s="202">
        <f>'Patient Population'!H30*'Patient Population'!H31*'Patient Population'!H33*'Patient Population'!H35*'Patient Population'!H71</f>
        <v>0</v>
      </c>
      <c r="L53" s="204">
        <f>'Patient Population'!I30*'Patient Population'!I31*'Patient Population'!I33*'Patient Population'!I35*'Patient Population'!I71</f>
        <v>0</v>
      </c>
    </row>
    <row r="54" spans="1:12" ht="15" customHeight="1" x14ac:dyDescent="0.25">
      <c r="B54" s="557" t="str">
        <f>CONCATENATE("Comparator 4: ",NameComparator4)</f>
        <v xml:space="preserve">Comparator 4: </v>
      </c>
      <c r="C54" s="558"/>
      <c r="D54" s="561" t="s">
        <v>21</v>
      </c>
      <c r="E54" s="562"/>
      <c r="F54" s="562"/>
      <c r="G54" s="563"/>
      <c r="H54" s="209">
        <f>'Patient Population'!E130</f>
        <v>0</v>
      </c>
      <c r="I54" s="210">
        <f>'Patient Population'!F130</f>
        <v>0</v>
      </c>
      <c r="J54" s="209">
        <f>'Patient Population'!G130</f>
        <v>0</v>
      </c>
      <c r="K54" s="210">
        <f>'Patient Population'!H130</f>
        <v>0</v>
      </c>
      <c r="L54" s="209">
        <f>'Patient Population'!I130</f>
        <v>0</v>
      </c>
    </row>
    <row r="55" spans="1:12" x14ac:dyDescent="0.25">
      <c r="B55" s="557"/>
      <c r="C55" s="558"/>
      <c r="D55" s="554" t="s">
        <v>25</v>
      </c>
      <c r="E55" s="555"/>
      <c r="F55" s="555"/>
      <c r="G55" s="556"/>
      <c r="H55" s="211" t="str">
        <f>'Drug Acquisition Costs (PAS)'!E32</f>
        <v/>
      </c>
      <c r="I55" s="211" t="str">
        <f>'Drug Acquisition Costs (PAS)'!F32</f>
        <v/>
      </c>
      <c r="J55" s="211" t="str">
        <f>'Drug Acquisition Costs (PAS)'!G32</f>
        <v/>
      </c>
      <c r="K55" s="211" t="str">
        <f>'Drug Acquisition Costs (PAS)'!H32</f>
        <v/>
      </c>
      <c r="L55" s="211" t="str">
        <f>'Drug Acquisition Costs (PAS)'!I32</f>
        <v/>
      </c>
    </row>
    <row r="56" spans="1:12" x14ac:dyDescent="0.25">
      <c r="B56" s="557"/>
      <c r="C56" s="558"/>
      <c r="D56" s="554" t="s">
        <v>60</v>
      </c>
      <c r="E56" s="555"/>
      <c r="F56" s="555"/>
      <c r="G56" s="556"/>
      <c r="H56" s="213">
        <f>('Patient Population'!E36*'Patient Population'!E72*'Patient Population'!E92)</f>
        <v>0</v>
      </c>
      <c r="I56" s="214">
        <f>('Patient Population'!F36*'Patient Population'!F72*'Patient Population'!F92)</f>
        <v>0</v>
      </c>
      <c r="J56" s="213">
        <f>('Patient Population'!G36*'Patient Population'!G72*'Patient Population'!G92)</f>
        <v>0</v>
      </c>
      <c r="K56" s="214">
        <f>('Patient Population'!H36*'Patient Population'!H72*'Patient Population'!H92)</f>
        <v>0</v>
      </c>
      <c r="L56" s="213">
        <f>('Patient Population'!I36*'Patient Population'!I72*'Patient Population'!I92)</f>
        <v>0</v>
      </c>
    </row>
    <row r="57" spans="1:12" ht="15.75" thickBot="1" x14ac:dyDescent="0.3">
      <c r="B57" s="557"/>
      <c r="C57" s="558"/>
      <c r="D57" s="583" t="s">
        <v>61</v>
      </c>
      <c r="E57" s="573"/>
      <c r="F57" s="573"/>
      <c r="G57" s="574"/>
      <c r="H57" s="203">
        <f>'Patient Population'!E30*'Patient Population'!E31*'Patient Population'!E33*'Patient Population'!E35*'Patient Population'!E72</f>
        <v>0</v>
      </c>
      <c r="I57" s="200">
        <f>'Patient Population'!F30*'Patient Population'!F31*'Patient Population'!F33*'Patient Population'!F35*'Patient Population'!F72</f>
        <v>0</v>
      </c>
      <c r="J57" s="203">
        <f>'Patient Population'!G30*'Patient Population'!G31*'Patient Population'!G33*'Patient Population'!G35*'Patient Population'!G72</f>
        <v>0</v>
      </c>
      <c r="K57" s="200">
        <f>'Patient Population'!H30*'Patient Population'!H31*'Patient Population'!H33*'Patient Population'!H35*'Patient Population'!H72</f>
        <v>0</v>
      </c>
      <c r="L57" s="203">
        <f>'Patient Population'!I30*'Patient Population'!I31*'Patient Population'!I33*'Patient Population'!I35*'Patient Population'!I72</f>
        <v>0</v>
      </c>
    </row>
    <row r="58" spans="1:12" ht="15" customHeight="1" x14ac:dyDescent="0.25">
      <c r="B58" s="564" t="str">
        <f>CONCATENATE("Comparator 5: ",NameComparator5)</f>
        <v xml:space="preserve">Comparator 5: </v>
      </c>
      <c r="C58" s="565"/>
      <c r="D58" s="588" t="s">
        <v>47</v>
      </c>
      <c r="E58" s="576"/>
      <c r="F58" s="576"/>
      <c r="G58" s="577"/>
      <c r="H58" s="209">
        <f>'Patient Population'!E131</f>
        <v>0</v>
      </c>
      <c r="I58" s="210">
        <f>'Patient Population'!F131</f>
        <v>0</v>
      </c>
      <c r="J58" s="209">
        <f>'Patient Population'!G131</f>
        <v>0</v>
      </c>
      <c r="K58" s="210">
        <f>'Patient Population'!H131</f>
        <v>0</v>
      </c>
      <c r="L58" s="209">
        <f>'Patient Population'!I131</f>
        <v>0</v>
      </c>
    </row>
    <row r="59" spans="1:12" x14ac:dyDescent="0.25">
      <c r="A59" s="312"/>
      <c r="B59" s="557"/>
      <c r="C59" s="558"/>
      <c r="D59" s="554" t="s">
        <v>48</v>
      </c>
      <c r="E59" s="555"/>
      <c r="F59" s="555"/>
      <c r="G59" s="556"/>
      <c r="H59" s="211" t="str">
        <f>'Drug Acquisition Costs (PAS)'!E33</f>
        <v/>
      </c>
      <c r="I59" s="211" t="str">
        <f>'Drug Acquisition Costs (PAS)'!F33</f>
        <v/>
      </c>
      <c r="J59" s="211" t="str">
        <f>'Drug Acquisition Costs (PAS)'!G33</f>
        <v/>
      </c>
      <c r="K59" s="211" t="str">
        <f>'Drug Acquisition Costs (PAS)'!H33</f>
        <v/>
      </c>
      <c r="L59" s="211" t="str">
        <f>'Drug Acquisition Costs (PAS)'!I33</f>
        <v/>
      </c>
    </row>
    <row r="60" spans="1:12" x14ac:dyDescent="0.25">
      <c r="A60" s="312"/>
      <c r="B60" s="557"/>
      <c r="C60" s="558"/>
      <c r="D60" s="554" t="s">
        <v>60</v>
      </c>
      <c r="E60" s="555"/>
      <c r="F60" s="555"/>
      <c r="G60" s="556"/>
      <c r="H60" s="213">
        <f>('Patient Population'!E36*'Patient Population'!E73*'Patient Population'!E93)</f>
        <v>0</v>
      </c>
      <c r="I60" s="214">
        <f>('Patient Population'!F36*'Patient Population'!F73*'Patient Population'!F93)</f>
        <v>0</v>
      </c>
      <c r="J60" s="213">
        <f>('Patient Population'!G36*'Patient Population'!G73*'Patient Population'!G93)</f>
        <v>0</v>
      </c>
      <c r="K60" s="214">
        <f>('Patient Population'!H36*'Patient Population'!H73*'Patient Population'!H93)</f>
        <v>0</v>
      </c>
      <c r="L60" s="213">
        <f>('Patient Population'!I36*'Patient Population'!I73*'Patient Population'!I93)</f>
        <v>0</v>
      </c>
    </row>
    <row r="61" spans="1:12" ht="15.75" thickBot="1" x14ac:dyDescent="0.3">
      <c r="A61" s="312"/>
      <c r="B61" s="559"/>
      <c r="C61" s="560"/>
      <c r="D61" s="582" t="s">
        <v>61</v>
      </c>
      <c r="E61" s="569"/>
      <c r="F61" s="569"/>
      <c r="G61" s="570"/>
      <c r="H61" s="204">
        <f>'Patient Population'!E30*'Patient Population'!E31*'Patient Population'!E33*'Patient Population'!E35*'Patient Population'!E73</f>
        <v>0</v>
      </c>
      <c r="I61" s="202">
        <f>'Patient Population'!F30*'Patient Population'!F31*'Patient Population'!F33*'Patient Population'!F35*'Patient Population'!F73</f>
        <v>0</v>
      </c>
      <c r="J61" s="204">
        <f>'Patient Population'!G30*'Patient Population'!G31*'Patient Population'!G33*'Patient Population'!G35*'Patient Population'!G73</f>
        <v>0</v>
      </c>
      <c r="K61" s="202">
        <f>'Patient Population'!H30*'Patient Population'!H31*'Patient Population'!H33*'Patient Population'!H35*'Patient Population'!H73</f>
        <v>0</v>
      </c>
      <c r="L61" s="204">
        <f>'Patient Population'!I30*'Patient Population'!I31*'Patient Population'!I33*'Patient Population'!I35*'Patient Population'!I73</f>
        <v>0</v>
      </c>
    </row>
    <row r="62" spans="1:12" ht="15" customHeight="1" x14ac:dyDescent="0.25">
      <c r="A62" s="312"/>
      <c r="B62" s="557" t="str">
        <f>CONCATENATE("Comparator 6: ",NameComparator6)</f>
        <v xml:space="preserve">Comparator 6: </v>
      </c>
      <c r="C62" s="558"/>
      <c r="D62" s="561" t="s">
        <v>49</v>
      </c>
      <c r="E62" s="562"/>
      <c r="F62" s="562"/>
      <c r="G62" s="563"/>
      <c r="H62" s="209">
        <f>'Patient Population'!E132</f>
        <v>0</v>
      </c>
      <c r="I62" s="210">
        <f>'Patient Population'!F132</f>
        <v>0</v>
      </c>
      <c r="J62" s="209">
        <f>'Patient Population'!G132</f>
        <v>0</v>
      </c>
      <c r="K62" s="210">
        <f>'Patient Population'!H132</f>
        <v>0</v>
      </c>
      <c r="L62" s="209">
        <f>'Patient Population'!I132</f>
        <v>0</v>
      </c>
    </row>
    <row r="63" spans="1:12" x14ac:dyDescent="0.25">
      <c r="B63" s="557"/>
      <c r="C63" s="558"/>
      <c r="D63" s="554" t="s">
        <v>50</v>
      </c>
      <c r="E63" s="555"/>
      <c r="F63" s="555"/>
      <c r="G63" s="556"/>
      <c r="H63" s="211" t="str">
        <f>'Drug Acquisition Costs (PAS)'!E34</f>
        <v/>
      </c>
      <c r="I63" s="211" t="str">
        <f>'Drug Acquisition Costs (PAS)'!F34</f>
        <v/>
      </c>
      <c r="J63" s="211" t="str">
        <f>'Drug Acquisition Costs (PAS)'!G34</f>
        <v/>
      </c>
      <c r="K63" s="211" t="str">
        <f>'Drug Acquisition Costs (PAS)'!H34</f>
        <v/>
      </c>
      <c r="L63" s="211" t="str">
        <f>'Drug Acquisition Costs (PAS)'!I34</f>
        <v/>
      </c>
    </row>
    <row r="64" spans="1:12" x14ac:dyDescent="0.25">
      <c r="B64" s="557"/>
      <c r="C64" s="558"/>
      <c r="D64" s="554" t="s">
        <v>60</v>
      </c>
      <c r="E64" s="555"/>
      <c r="F64" s="555"/>
      <c r="G64" s="556"/>
      <c r="H64" s="213">
        <f>('Patient Population'!E36*'Patient Population'!E74*'Patient Population'!E94)</f>
        <v>0</v>
      </c>
      <c r="I64" s="214">
        <f>('Patient Population'!F36*'Patient Population'!F74*'Patient Population'!F94)</f>
        <v>0</v>
      </c>
      <c r="J64" s="213">
        <f>('Patient Population'!G36*'Patient Population'!G74*'Patient Population'!G94)</f>
        <v>0</v>
      </c>
      <c r="K64" s="214">
        <f>('Patient Population'!H36*'Patient Population'!H74*'Patient Population'!H94)</f>
        <v>0</v>
      </c>
      <c r="L64" s="213">
        <f>('Patient Population'!I36*'Patient Population'!I74*'Patient Population'!I94)</f>
        <v>0</v>
      </c>
    </row>
    <row r="65" spans="2:12" ht="15.75" thickBot="1" x14ac:dyDescent="0.3">
      <c r="B65" s="559"/>
      <c r="C65" s="560"/>
      <c r="D65" s="582" t="s">
        <v>61</v>
      </c>
      <c r="E65" s="569"/>
      <c r="F65" s="569"/>
      <c r="G65" s="570"/>
      <c r="H65" s="204">
        <f>'Patient Population'!E30*'Patient Population'!E31*'Patient Population'!E33*'Patient Population'!E35*'Patient Population'!E74</f>
        <v>0</v>
      </c>
      <c r="I65" s="202">
        <f>'Patient Population'!F30*'Patient Population'!F31*'Patient Population'!F33*'Patient Population'!F35*'Patient Population'!F74</f>
        <v>0</v>
      </c>
      <c r="J65" s="204">
        <f>'Patient Population'!G30*'Patient Population'!G31*'Patient Population'!G33*'Patient Population'!G35*'Patient Population'!G74</f>
        <v>0</v>
      </c>
      <c r="K65" s="202">
        <f>'Patient Population'!H30*'Patient Population'!H31*'Patient Population'!H33*'Patient Population'!H35*'Patient Population'!H74</f>
        <v>0</v>
      </c>
      <c r="L65" s="204">
        <f>'Patient Population'!I30*'Patient Population'!I31*'Patient Population'!I33*'Patient Population'!I35*'Patient Population'!I74</f>
        <v>0</v>
      </c>
    </row>
    <row r="66" spans="2:12" x14ac:dyDescent="0.25">
      <c r="B66" s="557" t="str">
        <f>CONCATENATE("Comparator 7: ",NameComparator7)</f>
        <v xml:space="preserve">Comparator 7: </v>
      </c>
      <c r="C66" s="558"/>
      <c r="D66" s="561" t="s">
        <v>228</v>
      </c>
      <c r="E66" s="562"/>
      <c r="F66" s="562"/>
      <c r="G66" s="563"/>
      <c r="H66" s="209">
        <f>'Patient Population'!E133</f>
        <v>0</v>
      </c>
      <c r="I66" s="210">
        <f>'Patient Population'!F133</f>
        <v>0</v>
      </c>
      <c r="J66" s="209">
        <f>'Patient Population'!G133</f>
        <v>0</v>
      </c>
      <c r="K66" s="210">
        <f>'Patient Population'!H133</f>
        <v>0</v>
      </c>
      <c r="L66" s="209">
        <f>'Patient Population'!I133</f>
        <v>0</v>
      </c>
    </row>
    <row r="67" spans="2:12" x14ac:dyDescent="0.25">
      <c r="B67" s="557"/>
      <c r="C67" s="558"/>
      <c r="D67" s="554" t="s">
        <v>229</v>
      </c>
      <c r="E67" s="555"/>
      <c r="F67" s="555"/>
      <c r="G67" s="556"/>
      <c r="H67" s="211" t="str">
        <f>'Drug Acquisition Costs (PAS)'!E35</f>
        <v/>
      </c>
      <c r="I67" s="211" t="str">
        <f>'Drug Acquisition Costs (PAS)'!F35</f>
        <v/>
      </c>
      <c r="J67" s="211" t="str">
        <f>'Drug Acquisition Costs (PAS)'!G35</f>
        <v/>
      </c>
      <c r="K67" s="211" t="str">
        <f>'Drug Acquisition Costs (PAS)'!H35</f>
        <v/>
      </c>
      <c r="L67" s="211" t="str">
        <f>'Drug Acquisition Costs (PAS)'!I35</f>
        <v/>
      </c>
    </row>
    <row r="68" spans="2:12" x14ac:dyDescent="0.25">
      <c r="B68" s="557"/>
      <c r="C68" s="558"/>
      <c r="D68" s="554" t="s">
        <v>60</v>
      </c>
      <c r="E68" s="555"/>
      <c r="F68" s="555"/>
      <c r="G68" s="556"/>
      <c r="H68" s="213">
        <f>('Patient Population'!E36*'Patient Population'!E75*'Patient Population'!E95)</f>
        <v>0</v>
      </c>
      <c r="I68" s="214">
        <f>('Patient Population'!F36*'Patient Population'!F75*'Patient Population'!F95)</f>
        <v>0</v>
      </c>
      <c r="J68" s="213">
        <f>('Patient Population'!G36*'Patient Population'!G75*'Patient Population'!G95)</f>
        <v>0</v>
      </c>
      <c r="K68" s="214">
        <f>('Patient Population'!H36*'Patient Population'!H75*'Patient Population'!H95)</f>
        <v>0</v>
      </c>
      <c r="L68" s="213">
        <f>('Patient Population'!I36*'Patient Population'!I75*'Patient Population'!I95)</f>
        <v>0</v>
      </c>
    </row>
    <row r="69" spans="2:12" ht="15.75" thickBot="1" x14ac:dyDescent="0.3">
      <c r="B69" s="559"/>
      <c r="C69" s="560"/>
      <c r="D69" s="582" t="s">
        <v>61</v>
      </c>
      <c r="E69" s="569"/>
      <c r="F69" s="569"/>
      <c r="G69" s="570"/>
      <c r="H69" s="204">
        <f>'Patient Population'!E30*'Patient Population'!E31*'Patient Population'!E33*'Patient Population'!E35*'Patient Population'!E75</f>
        <v>0</v>
      </c>
      <c r="I69" s="202">
        <f>'Patient Population'!F30*'Patient Population'!F31*'Patient Population'!F33*'Patient Population'!F35*'Patient Population'!F75</f>
        <v>0</v>
      </c>
      <c r="J69" s="204">
        <f>'Patient Population'!G30*'Patient Population'!G31*'Patient Population'!G33*'Patient Population'!G35*'Patient Population'!G75</f>
        <v>0</v>
      </c>
      <c r="K69" s="202">
        <f>'Patient Population'!H30*'Patient Population'!H31*'Patient Population'!H33*'Patient Population'!H35*'Patient Population'!H75</f>
        <v>0</v>
      </c>
      <c r="L69" s="204">
        <f>'Patient Population'!I30*'Patient Population'!I31*'Patient Population'!I33*'Patient Population'!I35*'Patient Population'!I75</f>
        <v>0</v>
      </c>
    </row>
    <row r="70" spans="2:12" x14ac:dyDescent="0.25">
      <c r="B70" s="557" t="str">
        <f>CONCATENATE("Comparator 8: ",NameComparator8)</f>
        <v xml:space="preserve">Comparator 8: </v>
      </c>
      <c r="C70" s="558"/>
      <c r="D70" s="561" t="s">
        <v>230</v>
      </c>
      <c r="E70" s="562"/>
      <c r="F70" s="562"/>
      <c r="G70" s="563"/>
      <c r="H70" s="209">
        <f>'Patient Population'!E134</f>
        <v>0</v>
      </c>
      <c r="I70" s="210">
        <f>'Patient Population'!F134</f>
        <v>0</v>
      </c>
      <c r="J70" s="209">
        <f>'Patient Population'!G134</f>
        <v>0</v>
      </c>
      <c r="K70" s="210">
        <f>'Patient Population'!H134</f>
        <v>0</v>
      </c>
      <c r="L70" s="209">
        <f>'Patient Population'!I134</f>
        <v>0</v>
      </c>
    </row>
    <row r="71" spans="2:12" x14ac:dyDescent="0.25">
      <c r="B71" s="557"/>
      <c r="C71" s="558"/>
      <c r="D71" s="554" t="s">
        <v>231</v>
      </c>
      <c r="E71" s="555"/>
      <c r="F71" s="555"/>
      <c r="G71" s="556"/>
      <c r="H71" s="211" t="str">
        <f>'Drug Acquisition Costs (PAS)'!E36</f>
        <v/>
      </c>
      <c r="I71" s="211" t="str">
        <f>'Drug Acquisition Costs (PAS)'!F36</f>
        <v/>
      </c>
      <c r="J71" s="211" t="str">
        <f>'Drug Acquisition Costs (PAS)'!G36</f>
        <v/>
      </c>
      <c r="K71" s="211" t="str">
        <f>'Drug Acquisition Costs (PAS)'!H36</f>
        <v/>
      </c>
      <c r="L71" s="211" t="str">
        <f>'Drug Acquisition Costs (PAS)'!I36</f>
        <v/>
      </c>
    </row>
    <row r="72" spans="2:12" x14ac:dyDescent="0.25">
      <c r="B72" s="557"/>
      <c r="C72" s="558"/>
      <c r="D72" s="554" t="s">
        <v>60</v>
      </c>
      <c r="E72" s="555"/>
      <c r="F72" s="555"/>
      <c r="G72" s="556"/>
      <c r="H72" s="213">
        <f>('Patient Population'!E36*'Patient Population'!E76*'Patient Population'!E96)</f>
        <v>0</v>
      </c>
      <c r="I72" s="214">
        <f>('Patient Population'!F36*'Patient Population'!F76*'Patient Population'!F96)</f>
        <v>0</v>
      </c>
      <c r="J72" s="213">
        <f>('Patient Population'!G36*'Patient Population'!G76*'Patient Population'!G96)</f>
        <v>0</v>
      </c>
      <c r="K72" s="214">
        <f>('Patient Population'!H36*'Patient Population'!H76*'Patient Population'!H96)</f>
        <v>0</v>
      </c>
      <c r="L72" s="213">
        <f>('Patient Population'!I36*'Patient Population'!I76*'Patient Population'!I96)</f>
        <v>0</v>
      </c>
    </row>
    <row r="73" spans="2:12" ht="15.75" thickBot="1" x14ac:dyDescent="0.3">
      <c r="B73" s="559"/>
      <c r="C73" s="560"/>
      <c r="D73" s="582" t="s">
        <v>61</v>
      </c>
      <c r="E73" s="569"/>
      <c r="F73" s="569"/>
      <c r="G73" s="570"/>
      <c r="H73" s="204">
        <f>'Patient Population'!E30*'Patient Population'!E31*'Patient Population'!E33*'Patient Population'!E35*'Patient Population'!E76</f>
        <v>0</v>
      </c>
      <c r="I73" s="202">
        <f>'Patient Population'!F30*'Patient Population'!F31*'Patient Population'!F33*'Patient Population'!F35*'Patient Population'!F76</f>
        <v>0</v>
      </c>
      <c r="J73" s="204">
        <f>'Patient Population'!G30*'Patient Population'!G31*'Patient Population'!G33*'Patient Population'!G35*'Patient Population'!G76</f>
        <v>0</v>
      </c>
      <c r="K73" s="202">
        <f>'Patient Population'!H30*'Patient Population'!H31*'Patient Population'!H33*'Patient Population'!H35*'Patient Population'!H76</f>
        <v>0</v>
      </c>
      <c r="L73" s="204">
        <f>'Patient Population'!I30*'Patient Population'!I31*'Patient Population'!I33*'Patient Population'!I35*'Patient Population'!I76</f>
        <v>0</v>
      </c>
    </row>
    <row r="74" spans="2:12" x14ac:dyDescent="0.25">
      <c r="B74" s="557" t="str">
        <f>CONCATENATE("Comparator 9: ",NameComparator9)</f>
        <v xml:space="preserve">Comparator 9: </v>
      </c>
      <c r="C74" s="558"/>
      <c r="D74" s="561" t="s">
        <v>232</v>
      </c>
      <c r="E74" s="562"/>
      <c r="F74" s="562"/>
      <c r="G74" s="563"/>
      <c r="H74" s="209">
        <f>'Patient Population'!E135</f>
        <v>0</v>
      </c>
      <c r="I74" s="210">
        <f>'Patient Population'!F135</f>
        <v>0</v>
      </c>
      <c r="J74" s="209">
        <f>'Patient Population'!G135</f>
        <v>0</v>
      </c>
      <c r="K74" s="210">
        <f>'Patient Population'!H135</f>
        <v>0</v>
      </c>
      <c r="L74" s="209">
        <f>'Patient Population'!I135</f>
        <v>0</v>
      </c>
    </row>
    <row r="75" spans="2:12" x14ac:dyDescent="0.25">
      <c r="B75" s="557"/>
      <c r="C75" s="558"/>
      <c r="D75" s="554" t="s">
        <v>233</v>
      </c>
      <c r="E75" s="555"/>
      <c r="F75" s="555"/>
      <c r="G75" s="556"/>
      <c r="H75" s="211" t="str">
        <f>'Drug Acquisition Costs (PAS)'!E37</f>
        <v/>
      </c>
      <c r="I75" s="211" t="str">
        <f>'Drug Acquisition Costs (PAS)'!F37</f>
        <v/>
      </c>
      <c r="J75" s="211" t="str">
        <f>'Drug Acquisition Costs (PAS)'!G37</f>
        <v/>
      </c>
      <c r="K75" s="211" t="str">
        <f>'Drug Acquisition Costs (PAS)'!H37</f>
        <v/>
      </c>
      <c r="L75" s="211" t="str">
        <f>'Drug Acquisition Costs (PAS)'!I37</f>
        <v/>
      </c>
    </row>
    <row r="76" spans="2:12" x14ac:dyDescent="0.25">
      <c r="B76" s="557"/>
      <c r="C76" s="558"/>
      <c r="D76" s="554" t="s">
        <v>60</v>
      </c>
      <c r="E76" s="555"/>
      <c r="F76" s="555"/>
      <c r="G76" s="556"/>
      <c r="H76" s="213">
        <f>('Patient Population'!E36*'Patient Population'!E77*'Patient Population'!E97)</f>
        <v>0</v>
      </c>
      <c r="I76" s="214">
        <f>('Patient Population'!F36*'Patient Population'!F77*'Patient Population'!F97)</f>
        <v>0</v>
      </c>
      <c r="J76" s="213">
        <f>('Patient Population'!G36*'Patient Population'!G77*'Patient Population'!G97)</f>
        <v>0</v>
      </c>
      <c r="K76" s="214">
        <f>('Patient Population'!H36*'Patient Population'!H77*'Patient Population'!H97)</f>
        <v>0</v>
      </c>
      <c r="L76" s="213">
        <f>('Patient Population'!I36*'Patient Population'!I77*'Patient Population'!I97)</f>
        <v>0</v>
      </c>
    </row>
    <row r="77" spans="2:12" ht="15.75" thickBot="1" x14ac:dyDescent="0.3">
      <c r="B77" s="559"/>
      <c r="C77" s="560"/>
      <c r="D77" s="582" t="s">
        <v>61</v>
      </c>
      <c r="E77" s="569"/>
      <c r="F77" s="569"/>
      <c r="G77" s="570"/>
      <c r="H77" s="204">
        <f>'Patient Population'!E30*'Patient Population'!E31*'Patient Population'!E33*'Patient Population'!E35*'Patient Population'!E77</f>
        <v>0</v>
      </c>
      <c r="I77" s="202">
        <f>'Patient Population'!F30*'Patient Population'!F31*'Patient Population'!F33*'Patient Population'!F35*'Patient Population'!F77</f>
        <v>0</v>
      </c>
      <c r="J77" s="204">
        <f>'Patient Population'!G30*'Patient Population'!G31*'Patient Population'!G33*'Patient Population'!G35*'Patient Population'!G77</f>
        <v>0</v>
      </c>
      <c r="K77" s="202">
        <f>'Patient Population'!H30*'Patient Population'!H31*'Patient Population'!H33*'Patient Population'!H35*'Patient Population'!H77</f>
        <v>0</v>
      </c>
      <c r="L77" s="204">
        <f>'Patient Population'!I30*'Patient Population'!I31*'Patient Population'!I33*'Patient Population'!I35*'Patient Population'!I77</f>
        <v>0</v>
      </c>
    </row>
    <row r="78" spans="2:12" x14ac:dyDescent="0.25">
      <c r="B78" s="557" t="str">
        <f>CONCATENATE("Comparator 10: ",NameComparator10)</f>
        <v xml:space="preserve">Comparator 10: </v>
      </c>
      <c r="C78" s="558"/>
      <c r="D78" s="561" t="s">
        <v>234</v>
      </c>
      <c r="E78" s="562"/>
      <c r="F78" s="562"/>
      <c r="G78" s="563"/>
      <c r="H78" s="209">
        <f>'Patient Population'!E136</f>
        <v>0</v>
      </c>
      <c r="I78" s="210">
        <f>'Patient Population'!F136</f>
        <v>0</v>
      </c>
      <c r="J78" s="209">
        <f>'Patient Population'!G136</f>
        <v>0</v>
      </c>
      <c r="K78" s="210">
        <f>'Patient Population'!H136</f>
        <v>0</v>
      </c>
      <c r="L78" s="209">
        <f>'Patient Population'!I136</f>
        <v>0</v>
      </c>
    </row>
    <row r="79" spans="2:12" x14ac:dyDescent="0.25">
      <c r="B79" s="557"/>
      <c r="C79" s="558"/>
      <c r="D79" s="554" t="s">
        <v>235</v>
      </c>
      <c r="E79" s="555"/>
      <c r="F79" s="555"/>
      <c r="G79" s="556"/>
      <c r="H79" s="211" t="str">
        <f>'Drug Acquisition Costs (PAS)'!E38</f>
        <v/>
      </c>
      <c r="I79" s="211" t="str">
        <f>'Drug Acquisition Costs (PAS)'!F38</f>
        <v/>
      </c>
      <c r="J79" s="211" t="str">
        <f>'Drug Acquisition Costs (PAS)'!G38</f>
        <v/>
      </c>
      <c r="K79" s="211" t="str">
        <f>'Drug Acquisition Costs (PAS)'!H38</f>
        <v/>
      </c>
      <c r="L79" s="211" t="str">
        <f>'Drug Acquisition Costs (PAS)'!I38</f>
        <v/>
      </c>
    </row>
    <row r="80" spans="2:12" x14ac:dyDescent="0.25">
      <c r="B80" s="557"/>
      <c r="C80" s="558"/>
      <c r="D80" s="554" t="s">
        <v>60</v>
      </c>
      <c r="E80" s="555"/>
      <c r="F80" s="555"/>
      <c r="G80" s="556"/>
      <c r="H80" s="213">
        <f>('Patient Population'!E36*'Patient Population'!E78*'Patient Population'!E98)</f>
        <v>0</v>
      </c>
      <c r="I80" s="214">
        <f>('Patient Population'!F36*'Patient Population'!F78*'Patient Population'!F98)</f>
        <v>0</v>
      </c>
      <c r="J80" s="213">
        <f>('Patient Population'!G36*'Patient Population'!G78*'Patient Population'!G98)</f>
        <v>0</v>
      </c>
      <c r="K80" s="214">
        <f>('Patient Population'!H36*'Patient Population'!H78*'Patient Population'!H98)</f>
        <v>0</v>
      </c>
      <c r="L80" s="213">
        <f>('Patient Population'!I36*'Patient Population'!I78*'Patient Population'!I98)</f>
        <v>0</v>
      </c>
    </row>
    <row r="81" spans="2:14" ht="15.75" thickBot="1" x14ac:dyDescent="0.3">
      <c r="B81" s="559"/>
      <c r="C81" s="560"/>
      <c r="D81" s="582" t="s">
        <v>61</v>
      </c>
      <c r="E81" s="569"/>
      <c r="F81" s="569"/>
      <c r="G81" s="570"/>
      <c r="H81" s="204">
        <f>'Patient Population'!E30*'Patient Population'!E31*'Patient Population'!E33*'Patient Population'!E35*'Patient Population'!E78</f>
        <v>0</v>
      </c>
      <c r="I81" s="202">
        <f>'Patient Population'!F30*'Patient Population'!F31*'Patient Population'!F33*'Patient Population'!F35*'Patient Population'!F78</f>
        <v>0</v>
      </c>
      <c r="J81" s="204">
        <f>'Patient Population'!G30*'Patient Population'!G31*'Patient Population'!G33*'Patient Population'!G35*'Patient Population'!G78</f>
        <v>0</v>
      </c>
      <c r="K81" s="202">
        <f>'Patient Population'!H30*'Patient Population'!H31*'Patient Population'!H33*'Patient Population'!H35*'Patient Population'!H78</f>
        <v>0</v>
      </c>
      <c r="L81" s="204">
        <f>'Patient Population'!I30*'Patient Population'!I31*'Patient Population'!I33*'Patient Population'!I35*'Patient Population'!I78</f>
        <v>0</v>
      </c>
    </row>
    <row r="82" spans="2:14" x14ac:dyDescent="0.25">
      <c r="B82" s="557" t="str">
        <f>CONCATENATE("Comparator 11: ",NameComparator11)</f>
        <v xml:space="preserve">Comparator 11: </v>
      </c>
      <c r="C82" s="558"/>
      <c r="D82" s="561" t="s">
        <v>236</v>
      </c>
      <c r="E82" s="562"/>
      <c r="F82" s="562"/>
      <c r="G82" s="563"/>
      <c r="H82" s="209">
        <f>'Patient Population'!E137</f>
        <v>0</v>
      </c>
      <c r="I82" s="210">
        <f>'Patient Population'!F137</f>
        <v>0</v>
      </c>
      <c r="J82" s="209">
        <f>'Patient Population'!G137</f>
        <v>0</v>
      </c>
      <c r="K82" s="210">
        <f>'Patient Population'!H137</f>
        <v>0</v>
      </c>
      <c r="L82" s="209">
        <f>'Patient Population'!I137</f>
        <v>0</v>
      </c>
    </row>
    <row r="83" spans="2:14" x14ac:dyDescent="0.25">
      <c r="B83" s="557"/>
      <c r="C83" s="558"/>
      <c r="D83" s="554" t="s">
        <v>237</v>
      </c>
      <c r="E83" s="555"/>
      <c r="F83" s="555"/>
      <c r="G83" s="556"/>
      <c r="H83" s="211" t="str">
        <f>'Drug Acquisition Costs (PAS)'!E39</f>
        <v/>
      </c>
      <c r="I83" s="211" t="str">
        <f>'Drug Acquisition Costs (PAS)'!F39</f>
        <v/>
      </c>
      <c r="J83" s="211" t="str">
        <f>'Drug Acquisition Costs (PAS)'!G39</f>
        <v/>
      </c>
      <c r="K83" s="211" t="str">
        <f>'Drug Acquisition Costs (PAS)'!H39</f>
        <v/>
      </c>
      <c r="L83" s="211" t="str">
        <f>'Drug Acquisition Costs (PAS)'!I39</f>
        <v/>
      </c>
    </row>
    <row r="84" spans="2:14" x14ac:dyDescent="0.25">
      <c r="B84" s="557"/>
      <c r="C84" s="558"/>
      <c r="D84" s="554" t="s">
        <v>60</v>
      </c>
      <c r="E84" s="555"/>
      <c r="F84" s="555"/>
      <c r="G84" s="556"/>
      <c r="H84" s="213">
        <f>('Patient Population'!E36*'Patient Population'!E79*'Patient Population'!E99)</f>
        <v>0</v>
      </c>
      <c r="I84" s="214">
        <f>('Patient Population'!F36*'Patient Population'!F79*'Patient Population'!F99)</f>
        <v>0</v>
      </c>
      <c r="J84" s="213">
        <f>('Patient Population'!G36*'Patient Population'!G79*'Patient Population'!G99)</f>
        <v>0</v>
      </c>
      <c r="K84" s="214">
        <f>('Patient Population'!H36*'Patient Population'!H79*'Patient Population'!H99)</f>
        <v>0</v>
      </c>
      <c r="L84" s="213">
        <f>('Patient Population'!I36*'Patient Population'!I79*'Patient Population'!I99)</f>
        <v>0</v>
      </c>
    </row>
    <row r="85" spans="2:14" ht="15.75" thickBot="1" x14ac:dyDescent="0.3">
      <c r="B85" s="559"/>
      <c r="C85" s="560"/>
      <c r="D85" s="582" t="s">
        <v>61</v>
      </c>
      <c r="E85" s="569"/>
      <c r="F85" s="569"/>
      <c r="G85" s="570"/>
      <c r="H85" s="204">
        <f>'Patient Population'!E30*'Patient Population'!E31*'Patient Population'!E33*'Patient Population'!E35*'Patient Population'!E79</f>
        <v>0</v>
      </c>
      <c r="I85" s="202">
        <f>'Patient Population'!F30*'Patient Population'!F31*'Patient Population'!F33*'Patient Population'!F35*'Patient Population'!F79</f>
        <v>0</v>
      </c>
      <c r="J85" s="204">
        <f>'Patient Population'!G30*'Patient Population'!G31*'Patient Population'!G33*'Patient Population'!G35*'Patient Population'!G79</f>
        <v>0</v>
      </c>
      <c r="K85" s="202">
        <f>'Patient Population'!H30*'Patient Population'!H31*'Patient Population'!H33*'Patient Population'!H35*'Patient Population'!H79</f>
        <v>0</v>
      </c>
      <c r="L85" s="204">
        <f>'Patient Population'!I30*'Patient Population'!I31*'Patient Population'!I33*'Patient Population'!I35*'Patient Population'!I79</f>
        <v>0</v>
      </c>
    </row>
    <row r="86" spans="2:14" x14ac:dyDescent="0.25">
      <c r="B86" s="557" t="str">
        <f>CONCATENATE("Comparator 12: ",NameComparator12)</f>
        <v xml:space="preserve">Comparator 12: </v>
      </c>
      <c r="C86" s="558"/>
      <c r="D86" s="561" t="s">
        <v>238</v>
      </c>
      <c r="E86" s="562"/>
      <c r="F86" s="562"/>
      <c r="G86" s="563"/>
      <c r="H86" s="209">
        <f>'Patient Population'!E138</f>
        <v>0</v>
      </c>
      <c r="I86" s="210">
        <f>'Patient Population'!F138</f>
        <v>0</v>
      </c>
      <c r="J86" s="209">
        <f>'Patient Population'!G138</f>
        <v>0</v>
      </c>
      <c r="K86" s="210">
        <f>'Patient Population'!H138</f>
        <v>0</v>
      </c>
      <c r="L86" s="209">
        <f>'Patient Population'!I138</f>
        <v>0</v>
      </c>
    </row>
    <row r="87" spans="2:14" x14ac:dyDescent="0.25">
      <c r="B87" s="557"/>
      <c r="C87" s="558"/>
      <c r="D87" s="554" t="s">
        <v>239</v>
      </c>
      <c r="E87" s="555"/>
      <c r="F87" s="555"/>
      <c r="G87" s="556"/>
      <c r="H87" s="211" t="str">
        <f>'Drug Acquisition Costs (PAS)'!E40</f>
        <v/>
      </c>
      <c r="I87" s="211" t="str">
        <f>'Drug Acquisition Costs (PAS)'!F40</f>
        <v/>
      </c>
      <c r="J87" s="211" t="str">
        <f>'Drug Acquisition Costs (PAS)'!G40</f>
        <v/>
      </c>
      <c r="K87" s="211" t="str">
        <f>'Drug Acquisition Costs (PAS)'!H40</f>
        <v/>
      </c>
      <c r="L87" s="211" t="str">
        <f>'Drug Acquisition Costs (PAS)'!I40</f>
        <v/>
      </c>
    </row>
    <row r="88" spans="2:14" x14ac:dyDescent="0.25">
      <c r="B88" s="557"/>
      <c r="C88" s="558"/>
      <c r="D88" s="554" t="s">
        <v>60</v>
      </c>
      <c r="E88" s="555"/>
      <c r="F88" s="555"/>
      <c r="G88" s="556"/>
      <c r="H88" s="213">
        <f>('Patient Population'!E36*'Patient Population'!E80*'Patient Population'!E100)</f>
        <v>0</v>
      </c>
      <c r="I88" s="214">
        <f>('Patient Population'!F36*'Patient Population'!F80*'Patient Population'!F100)</f>
        <v>0</v>
      </c>
      <c r="J88" s="213">
        <f>('Patient Population'!G36*'Patient Population'!G80*'Patient Population'!G100)</f>
        <v>0</v>
      </c>
      <c r="K88" s="214">
        <f>('Patient Population'!H36*'Patient Population'!H80*'Patient Population'!H100)</f>
        <v>0</v>
      </c>
      <c r="L88" s="213">
        <f>('Patient Population'!I36*'Patient Population'!I80*'Patient Population'!I100)</f>
        <v>0</v>
      </c>
    </row>
    <row r="89" spans="2:14" ht="15.75" thickBot="1" x14ac:dyDescent="0.3">
      <c r="B89" s="559"/>
      <c r="C89" s="560"/>
      <c r="D89" s="582" t="s">
        <v>61</v>
      </c>
      <c r="E89" s="569"/>
      <c r="F89" s="569"/>
      <c r="G89" s="570"/>
      <c r="H89" s="204">
        <f>'Patient Population'!E30*'Patient Population'!E31*'Patient Population'!E33*'Patient Population'!E35*'Patient Population'!E80</f>
        <v>0</v>
      </c>
      <c r="I89" s="202">
        <f>'Patient Population'!F30*'Patient Population'!F31*'Patient Population'!F33*'Patient Population'!F35*'Patient Population'!F80</f>
        <v>0</v>
      </c>
      <c r="J89" s="204">
        <f>'Patient Population'!G30*'Patient Population'!G31*'Patient Population'!G33*'Patient Population'!G35*'Patient Population'!G80</f>
        <v>0</v>
      </c>
      <c r="K89" s="202">
        <f>'Patient Population'!H30*'Patient Population'!H31*'Patient Population'!H33*'Patient Population'!H35*'Patient Population'!H80</f>
        <v>0</v>
      </c>
      <c r="L89" s="204">
        <f>'Patient Population'!I30*'Patient Population'!I31*'Patient Population'!I33*'Patient Population'!I35*'Patient Population'!I80</f>
        <v>0</v>
      </c>
    </row>
    <row r="90" spans="2:14" ht="15.75" thickBot="1" x14ac:dyDescent="0.3">
      <c r="B90" s="597" t="s">
        <v>57</v>
      </c>
      <c r="C90" s="598"/>
      <c r="D90" s="598"/>
      <c r="E90" s="598"/>
      <c r="F90" s="598"/>
      <c r="G90" s="598"/>
      <c r="H90" s="201" t="e">
        <f>(H42*H43)+((H44+H45)*(0.5*H43))+(H46*H47)+((H48+H49)*(0.5*H47))+(H50*H51)+((H52+H53)*(0.5*H51))+(H54*H55)+((H56+H57)*(0.5*H55))+(H58*H59)+((H60+H61)*(0.5*H59))+(H62*H63)+((H64+H65)*(0.5*H63))+(H66*H67)+((H68+H69)*(0.5*H67))+(H70*H71)+((H72+H73)*(0.5*H71))+(H74*H75)+((H76+H77)*(0.5*H75))+(H78*H79)+((H80+H81)*(0.5*H79))+(H82*H83)+((H84+H85)*(0.5*H83))+(H86*H87)+((H88+H89)*(0.5*H87))</f>
        <v>#VALUE!</v>
      </c>
      <c r="I90" s="201" t="e">
        <f t="shared" ref="I90:L90" si="1">(I42*I43)+((I44+I45)*(0.5*I43))+(I46*I47)+((I48+I49)*(0.5*I47))+(I50*I51)+((I52+I53)*(0.5*I51))+(I54*I55)+((I56+I57)*(0.5*I55))+(I58*I59)+((I60+I61)*(0.5*I59))+(I62*I63)+((I64+I65)*(0.5*I63))+(I66*I67)+((I68+I69)*(0.5*I67))+(I70*I71)+((I72+I73)*(0.5*I71))+(I74*I75)+((I76+I77)*(0.5*I75))+(I78*I79)+((I80+I81)*(0.5*I79))+(I82*I83)+((I84+I85)*(0.5*I83))+(I86*I87)+((I88+I89)*(0.5*I87))</f>
        <v>#VALUE!</v>
      </c>
      <c r="J90" s="201" t="e">
        <f t="shared" si="1"/>
        <v>#VALUE!</v>
      </c>
      <c r="K90" s="201" t="e">
        <f t="shared" si="1"/>
        <v>#VALUE!</v>
      </c>
      <c r="L90" s="201" t="e">
        <f t="shared" si="1"/>
        <v>#VALUE!</v>
      </c>
      <c r="N90" s="119" t="e">
        <f>SUM(H90:L90)</f>
        <v>#VALUE!</v>
      </c>
    </row>
    <row r="91" spans="2:14" x14ac:dyDescent="0.25">
      <c r="H91" s="5"/>
      <c r="I91" s="5"/>
      <c r="J91" s="5"/>
      <c r="K91" s="5"/>
      <c r="L91" s="5"/>
    </row>
    <row r="93" spans="2:14" ht="15.75" thickBot="1" x14ac:dyDescent="0.3"/>
    <row r="94" spans="2:14" ht="15.75" thickBot="1" x14ac:dyDescent="0.3">
      <c r="B94" s="584" t="s">
        <v>103</v>
      </c>
      <c r="C94" s="584"/>
      <c r="D94" s="584"/>
      <c r="E94" s="584"/>
      <c r="F94" s="584"/>
      <c r="G94" s="585"/>
      <c r="H94" s="47" t="s">
        <v>6</v>
      </c>
      <c r="I94" s="48" t="s">
        <v>7</v>
      </c>
      <c r="J94" s="87" t="s">
        <v>8</v>
      </c>
      <c r="K94" s="48" t="s">
        <v>9</v>
      </c>
      <c r="L94" s="86" t="s">
        <v>10</v>
      </c>
    </row>
    <row r="95" spans="2:14" x14ac:dyDescent="0.25">
      <c r="B95" s="564" t="str">
        <f>CONCATENATE("Comparator 1: ",NameComparator1)</f>
        <v xml:space="preserve">Comparator 1: </v>
      </c>
      <c r="C95" s="565"/>
      <c r="D95" s="575" t="s">
        <v>18</v>
      </c>
      <c r="E95" s="576"/>
      <c r="F95" s="576"/>
      <c r="G95" s="577"/>
      <c r="H95" s="68">
        <f>'Patient Population'!E107</f>
        <v>0</v>
      </c>
      <c r="I95" s="71">
        <f>'Patient Population'!F107</f>
        <v>0</v>
      </c>
      <c r="J95" s="74">
        <f>'Patient Population'!G107</f>
        <v>0</v>
      </c>
      <c r="K95" s="71">
        <f>'Patient Population'!H107</f>
        <v>0</v>
      </c>
      <c r="L95" s="77">
        <f>'Patient Population'!I107</f>
        <v>0</v>
      </c>
    </row>
    <row r="96" spans="2:14" x14ac:dyDescent="0.25">
      <c r="B96" s="557"/>
      <c r="C96" s="558"/>
      <c r="D96" s="571" t="s">
        <v>23</v>
      </c>
      <c r="E96" s="555"/>
      <c r="F96" s="555"/>
      <c r="G96" s="556"/>
      <c r="H96" s="113" t="str">
        <f>'Drug Acquisition Costs (PAS)'!E29</f>
        <v/>
      </c>
      <c r="I96" s="113" t="str">
        <f>'Drug Acquisition Costs (PAS)'!F29</f>
        <v/>
      </c>
      <c r="J96" s="113" t="str">
        <f>'Drug Acquisition Costs (PAS)'!G29</f>
        <v/>
      </c>
      <c r="K96" s="113" t="str">
        <f>'Drug Acquisition Costs (PAS)'!H29</f>
        <v/>
      </c>
      <c r="L96" s="115" t="str">
        <f>'Drug Acquisition Costs (PAS)'!I29</f>
        <v/>
      </c>
    </row>
    <row r="97" spans="2:18" x14ac:dyDescent="0.25">
      <c r="B97" s="557"/>
      <c r="C97" s="558"/>
      <c r="D97" s="571" t="s">
        <v>60</v>
      </c>
      <c r="E97" s="555"/>
      <c r="F97" s="555"/>
      <c r="G97" s="556"/>
      <c r="H97" s="69">
        <f>('Patient Population'!E36*'Patient Population'!E49*'Patient Population'!E89)</f>
        <v>0</v>
      </c>
      <c r="I97" s="72">
        <f>('Patient Population'!F36*'Patient Population'!F49*'Patient Population'!F89)</f>
        <v>0</v>
      </c>
      <c r="J97" s="75">
        <f>('Patient Population'!G36*'Patient Population'!G49*'Patient Population'!G89)</f>
        <v>0</v>
      </c>
      <c r="K97" s="72">
        <f>('Patient Population'!H36*'Patient Population'!H49*'Patient Population'!H89)</f>
        <v>0</v>
      </c>
      <c r="L97" s="72">
        <f>('Patient Population'!I36*'Patient Population'!I49*'Patient Population'!I89)</f>
        <v>0</v>
      </c>
    </row>
    <row r="98" spans="2:18" ht="15.75" thickBot="1" x14ac:dyDescent="0.3">
      <c r="B98" s="559"/>
      <c r="C98" s="560"/>
      <c r="D98" s="568" t="s">
        <v>61</v>
      </c>
      <c r="E98" s="569"/>
      <c r="F98" s="569"/>
      <c r="G98" s="570"/>
      <c r="H98" s="70">
        <f>'Patient Population'!E30*'Patient Population'!E31*'Patient Population'!E33*'Patient Population'!E35*'Patient Population'!E49</f>
        <v>0</v>
      </c>
      <c r="I98" s="73">
        <f>'Patient Population'!F30*'Patient Population'!F31*'Patient Population'!F33*'Patient Population'!F35*'Patient Population'!F49</f>
        <v>0</v>
      </c>
      <c r="J98" s="76">
        <f>'Patient Population'!G30*'Patient Population'!G31*'Patient Population'!G33*'Patient Population'!G35*'Patient Population'!G49</f>
        <v>0</v>
      </c>
      <c r="K98" s="73">
        <f>'Patient Population'!H30*'Patient Population'!H31*'Patient Population'!H33*'Patient Population'!H35*'Patient Population'!H49</f>
        <v>0</v>
      </c>
      <c r="L98" s="73">
        <f>'Patient Population'!I30*'Patient Population'!I31*'Patient Population'!I33*'Patient Population'!I35*'Patient Population'!I49</f>
        <v>0</v>
      </c>
    </row>
    <row r="99" spans="2:18" x14ac:dyDescent="0.25">
      <c r="B99" s="557" t="str">
        <f>CONCATENATE("Comparator 2: ",NameComparator2)</f>
        <v xml:space="preserve">Comparator 2: </v>
      </c>
      <c r="C99" s="558"/>
      <c r="D99" s="578" t="s">
        <v>19</v>
      </c>
      <c r="E99" s="562"/>
      <c r="F99" s="562"/>
      <c r="G99" s="563"/>
      <c r="H99" s="68">
        <f>'Patient Population'!E108</f>
        <v>0</v>
      </c>
      <c r="I99" s="71">
        <f>'Patient Population'!F108</f>
        <v>0</v>
      </c>
      <c r="J99" s="74">
        <f>'Patient Population'!G108</f>
        <v>0</v>
      </c>
      <c r="K99" s="71">
        <f>'Patient Population'!H108</f>
        <v>0</v>
      </c>
      <c r="L99" s="71">
        <f>'Patient Population'!I108</f>
        <v>0</v>
      </c>
      <c r="R99" s="46"/>
    </row>
    <row r="100" spans="2:18" x14ac:dyDescent="0.25">
      <c r="B100" s="557"/>
      <c r="C100" s="558"/>
      <c r="D100" s="571" t="s">
        <v>22</v>
      </c>
      <c r="E100" s="555"/>
      <c r="F100" s="555"/>
      <c r="G100" s="556"/>
      <c r="H100" s="113" t="str">
        <f>'Drug Acquisition Costs (PAS)'!E30</f>
        <v/>
      </c>
      <c r="I100" s="113" t="str">
        <f>'Drug Acquisition Costs (PAS)'!F30</f>
        <v/>
      </c>
      <c r="J100" s="113" t="str">
        <f>'Drug Acquisition Costs (PAS)'!G30</f>
        <v/>
      </c>
      <c r="K100" s="113" t="str">
        <f>'Drug Acquisition Costs (PAS)'!H30</f>
        <v/>
      </c>
      <c r="L100" s="115" t="str">
        <f>'Drug Acquisition Costs (PAS)'!I30</f>
        <v/>
      </c>
      <c r="R100" s="46"/>
    </row>
    <row r="101" spans="2:18" x14ac:dyDescent="0.25">
      <c r="B101" s="557"/>
      <c r="C101" s="558"/>
      <c r="D101" s="571" t="s">
        <v>60</v>
      </c>
      <c r="E101" s="555"/>
      <c r="F101" s="555"/>
      <c r="G101" s="556"/>
      <c r="H101" s="69">
        <f>('Patient Population'!E36*'Patient Population'!E50*'Patient Population'!E90)</f>
        <v>0</v>
      </c>
      <c r="I101" s="72">
        <f>('Patient Population'!F36*'Patient Population'!F50*'Patient Population'!F90)</f>
        <v>0</v>
      </c>
      <c r="J101" s="75">
        <f>('Patient Population'!G36*'Patient Population'!G50*'Patient Population'!G90)</f>
        <v>0</v>
      </c>
      <c r="K101" s="72">
        <f>('Patient Population'!H36*'Patient Population'!H50*'Patient Population'!H90)</f>
        <v>0</v>
      </c>
      <c r="L101" s="72">
        <f>('Patient Population'!I36*'Patient Population'!I50*'Patient Population'!I90)</f>
        <v>0</v>
      </c>
      <c r="R101" s="46"/>
    </row>
    <row r="102" spans="2:18" ht="15.75" thickBot="1" x14ac:dyDescent="0.3">
      <c r="B102" s="557"/>
      <c r="C102" s="558"/>
      <c r="D102" s="572" t="s">
        <v>61</v>
      </c>
      <c r="E102" s="573"/>
      <c r="F102" s="573"/>
      <c r="G102" s="574"/>
      <c r="H102" s="70">
        <f>'Patient Population'!E30*'Patient Population'!E31*'Patient Population'!E33*'Patient Population'!E35*'Patient Population'!E50</f>
        <v>0</v>
      </c>
      <c r="I102" s="73">
        <f>'Patient Population'!F30*'Patient Population'!F31*'Patient Population'!F33*'Patient Population'!F35*'Patient Population'!F50</f>
        <v>0</v>
      </c>
      <c r="J102" s="76">
        <f>'Patient Population'!G30*'Patient Population'!G31*'Patient Population'!G33*'Patient Population'!G35*'Patient Population'!G50</f>
        <v>0</v>
      </c>
      <c r="K102" s="73">
        <f>'Patient Population'!H30*'Patient Population'!H31*'Patient Population'!H33*'Patient Population'!H35*'Patient Population'!H50</f>
        <v>0</v>
      </c>
      <c r="L102" s="73">
        <f>'Patient Population'!I30*'Patient Population'!I31*'Patient Population'!I33*'Patient Population'!I35*'Patient Population'!I50</f>
        <v>0</v>
      </c>
      <c r="R102" s="46"/>
    </row>
    <row r="103" spans="2:18" x14ac:dyDescent="0.25">
      <c r="B103" s="564" t="str">
        <f>CONCATENATE("Comparator 3: ",NameComparator3)</f>
        <v xml:space="preserve">Comparator 3: </v>
      </c>
      <c r="C103" s="565"/>
      <c r="D103" s="575" t="s">
        <v>20</v>
      </c>
      <c r="E103" s="576"/>
      <c r="F103" s="576"/>
      <c r="G103" s="577"/>
      <c r="H103" s="68">
        <f>'Patient Population'!E109</f>
        <v>0</v>
      </c>
      <c r="I103" s="71">
        <f>'Patient Population'!F109</f>
        <v>0</v>
      </c>
      <c r="J103" s="74">
        <f>'Patient Population'!G109</f>
        <v>0</v>
      </c>
      <c r="K103" s="71">
        <f>'Patient Population'!H109</f>
        <v>0</v>
      </c>
      <c r="L103" s="71">
        <f>'Patient Population'!I109</f>
        <v>0</v>
      </c>
    </row>
    <row r="104" spans="2:18" x14ac:dyDescent="0.25">
      <c r="B104" s="557"/>
      <c r="C104" s="558"/>
      <c r="D104" s="571" t="s">
        <v>24</v>
      </c>
      <c r="E104" s="555"/>
      <c r="F104" s="555"/>
      <c r="G104" s="556"/>
      <c r="H104" s="113" t="str">
        <f>'Drug Acquisition Costs (PAS)'!E31</f>
        <v/>
      </c>
      <c r="I104" s="113" t="str">
        <f>'Drug Acquisition Costs (PAS)'!F31</f>
        <v/>
      </c>
      <c r="J104" s="113" t="str">
        <f>'Drug Acquisition Costs (PAS)'!G31</f>
        <v/>
      </c>
      <c r="K104" s="113" t="str">
        <f>'Drug Acquisition Costs (PAS)'!H31</f>
        <v/>
      </c>
      <c r="L104" s="115" t="str">
        <f>'Drug Acquisition Costs (PAS)'!I31</f>
        <v/>
      </c>
    </row>
    <row r="105" spans="2:18" x14ac:dyDescent="0.25">
      <c r="B105" s="557"/>
      <c r="C105" s="558"/>
      <c r="D105" s="571" t="s">
        <v>60</v>
      </c>
      <c r="E105" s="555"/>
      <c r="F105" s="555"/>
      <c r="G105" s="556"/>
      <c r="H105" s="69">
        <f>('Patient Population'!E36*'Patient Population'!E51*'Patient Population'!E91)</f>
        <v>0</v>
      </c>
      <c r="I105" s="72">
        <f>('Patient Population'!F36*'Patient Population'!F51*'Patient Population'!F91)</f>
        <v>0</v>
      </c>
      <c r="J105" s="75">
        <f>('Patient Population'!G36*'Patient Population'!G51*'Patient Population'!G91)</f>
        <v>0</v>
      </c>
      <c r="K105" s="72">
        <f>('Patient Population'!H36*'Patient Population'!H51*'Patient Population'!H91)</f>
        <v>0</v>
      </c>
      <c r="L105" s="72">
        <f>('Patient Population'!I36*'Patient Population'!I51*'Patient Population'!I91)</f>
        <v>0</v>
      </c>
    </row>
    <row r="106" spans="2:18" ht="15.75" thickBot="1" x14ac:dyDescent="0.3">
      <c r="B106" s="559"/>
      <c r="C106" s="560"/>
      <c r="D106" s="568" t="s">
        <v>61</v>
      </c>
      <c r="E106" s="569"/>
      <c r="F106" s="569"/>
      <c r="G106" s="570"/>
      <c r="H106" s="79">
        <f>'Patient Population'!E30*'Patient Population'!E31*'Patient Population'!E33*'Patient Population'!E35*'Patient Population'!E51</f>
        <v>0</v>
      </c>
      <c r="I106" s="81">
        <f>'Patient Population'!F30*'Patient Population'!F31*'Patient Population'!F33*'Patient Population'!F35*'Patient Population'!F51</f>
        <v>0</v>
      </c>
      <c r="J106" s="83">
        <f>'Patient Population'!G30*'Patient Population'!G31*'Patient Population'!G33*'Patient Population'!G35*'Patient Population'!G51</f>
        <v>0</v>
      </c>
      <c r="K106" s="81">
        <f>'Patient Population'!H30*'Patient Population'!H31*'Patient Population'!H33*'Patient Population'!H35*'Patient Population'!H51</f>
        <v>0</v>
      </c>
      <c r="L106" s="81">
        <f>'Patient Population'!I30*'Patient Population'!I31*'Patient Population'!I33*'Patient Population'!I35*'Patient Population'!I51</f>
        <v>0</v>
      </c>
    </row>
    <row r="107" spans="2:18" x14ac:dyDescent="0.25">
      <c r="B107" s="557" t="str">
        <f>CONCATENATE("Comparator 4: ",NameComparator4)</f>
        <v xml:space="preserve">Comparator 4: </v>
      </c>
      <c r="C107" s="558"/>
      <c r="D107" s="578" t="s">
        <v>21</v>
      </c>
      <c r="E107" s="562"/>
      <c r="F107" s="562"/>
      <c r="G107" s="563"/>
      <c r="H107" s="68">
        <f>'Patient Population'!E110</f>
        <v>0</v>
      </c>
      <c r="I107" s="71">
        <f>'Patient Population'!F110</f>
        <v>0</v>
      </c>
      <c r="J107" s="74">
        <f>'Patient Population'!G110</f>
        <v>0</v>
      </c>
      <c r="K107" s="71">
        <f>'Patient Population'!H110</f>
        <v>0</v>
      </c>
      <c r="L107" s="71">
        <f>'Patient Population'!I110</f>
        <v>0</v>
      </c>
    </row>
    <row r="108" spans="2:18" x14ac:dyDescent="0.25">
      <c r="B108" s="557"/>
      <c r="C108" s="558"/>
      <c r="D108" s="571" t="s">
        <v>25</v>
      </c>
      <c r="E108" s="555"/>
      <c r="F108" s="555"/>
      <c r="G108" s="556"/>
      <c r="H108" s="113" t="str">
        <f>'Drug Acquisition Costs (PAS)'!E32</f>
        <v/>
      </c>
      <c r="I108" s="113" t="str">
        <f>'Drug Acquisition Costs (PAS)'!F32</f>
        <v/>
      </c>
      <c r="J108" s="113" t="str">
        <f>'Drug Acquisition Costs (PAS)'!G32</f>
        <v/>
      </c>
      <c r="K108" s="113" t="str">
        <f>'Drug Acquisition Costs (PAS)'!H32</f>
        <v/>
      </c>
      <c r="L108" s="115" t="str">
        <f>'Drug Acquisition Costs (PAS)'!I32</f>
        <v/>
      </c>
    </row>
    <row r="109" spans="2:18" x14ac:dyDescent="0.25">
      <c r="B109" s="557"/>
      <c r="C109" s="558"/>
      <c r="D109" s="571" t="s">
        <v>60</v>
      </c>
      <c r="E109" s="555"/>
      <c r="F109" s="555"/>
      <c r="G109" s="556"/>
      <c r="H109" s="69">
        <f>('Patient Population'!E36*'Patient Population'!E52*'Patient Population'!E92)</f>
        <v>0</v>
      </c>
      <c r="I109" s="72">
        <f>('Patient Population'!F36*'Patient Population'!F52*'Patient Population'!F92)</f>
        <v>0</v>
      </c>
      <c r="J109" s="75">
        <f>('Patient Population'!G36*'Patient Population'!G52*'Patient Population'!G92)</f>
        <v>0</v>
      </c>
      <c r="K109" s="72">
        <f>('Patient Population'!H36*'Patient Population'!H52*'Patient Population'!H92)</f>
        <v>0</v>
      </c>
      <c r="L109" s="72">
        <f>('Patient Population'!I36*'Patient Population'!I52*'Patient Population'!I92)</f>
        <v>0</v>
      </c>
    </row>
    <row r="110" spans="2:18" ht="15.75" thickBot="1" x14ac:dyDescent="0.3">
      <c r="B110" s="557"/>
      <c r="C110" s="558"/>
      <c r="D110" s="572" t="s">
        <v>61</v>
      </c>
      <c r="E110" s="573"/>
      <c r="F110" s="573"/>
      <c r="G110" s="574"/>
      <c r="H110" s="79">
        <f>'Patient Population'!E30*'Patient Population'!E31*'Patient Population'!E33*'Patient Population'!E35*'Patient Population'!E52</f>
        <v>0</v>
      </c>
      <c r="I110" s="81">
        <f>'Patient Population'!F30*'Patient Population'!F31*'Patient Population'!F33*'Patient Population'!F35*'Patient Population'!F52</f>
        <v>0</v>
      </c>
      <c r="J110" s="83">
        <f>'Patient Population'!G30*'Patient Population'!G31*'Patient Population'!G33*'Patient Population'!G35*'Patient Population'!G52</f>
        <v>0</v>
      </c>
      <c r="K110" s="81">
        <f>'Patient Population'!H30*'Patient Population'!H31*'Patient Population'!H33*'Patient Population'!H35*'Patient Population'!H52</f>
        <v>0</v>
      </c>
      <c r="L110" s="81">
        <f>'Patient Population'!I30*'Patient Population'!I31*'Patient Population'!I33*'Patient Population'!I35*'Patient Population'!I52</f>
        <v>0</v>
      </c>
    </row>
    <row r="111" spans="2:18" x14ac:dyDescent="0.25">
      <c r="B111" s="564" t="str">
        <f>CONCATENATE("Comparator 5: ",NameComparator5)</f>
        <v xml:space="preserve">Comparator 5: </v>
      </c>
      <c r="C111" s="565"/>
      <c r="D111" s="575" t="s">
        <v>47</v>
      </c>
      <c r="E111" s="576"/>
      <c r="F111" s="576"/>
      <c r="G111" s="577"/>
      <c r="H111" s="80">
        <f>'Patient Population'!E111</f>
        <v>0</v>
      </c>
      <c r="I111" s="82">
        <f>'Patient Population'!F111</f>
        <v>0</v>
      </c>
      <c r="J111" s="84">
        <f>'Patient Population'!G111</f>
        <v>0</v>
      </c>
      <c r="K111" s="82">
        <f>'Patient Population'!H111</f>
        <v>0</v>
      </c>
      <c r="L111" s="82">
        <f>'Patient Population'!I111</f>
        <v>0</v>
      </c>
    </row>
    <row r="112" spans="2:18" x14ac:dyDescent="0.25">
      <c r="B112" s="557"/>
      <c r="C112" s="558"/>
      <c r="D112" s="571" t="s">
        <v>48</v>
      </c>
      <c r="E112" s="555"/>
      <c r="F112" s="555"/>
      <c r="G112" s="556"/>
      <c r="H112" s="113" t="str">
        <f>'Drug Acquisition Costs (PAS)'!E33</f>
        <v/>
      </c>
      <c r="I112" s="113" t="str">
        <f>'Drug Acquisition Costs (PAS)'!F33</f>
        <v/>
      </c>
      <c r="J112" s="113" t="str">
        <f>'Drug Acquisition Costs (PAS)'!G33</f>
        <v/>
      </c>
      <c r="K112" s="113" t="str">
        <f>'Drug Acquisition Costs (PAS)'!H33</f>
        <v/>
      </c>
      <c r="L112" s="115" t="str">
        <f>'Drug Acquisition Costs (PAS)'!I33</f>
        <v/>
      </c>
    </row>
    <row r="113" spans="2:12" x14ac:dyDescent="0.25">
      <c r="B113" s="557"/>
      <c r="C113" s="558"/>
      <c r="D113" s="571" t="s">
        <v>60</v>
      </c>
      <c r="E113" s="555"/>
      <c r="F113" s="555"/>
      <c r="G113" s="556"/>
      <c r="H113" s="69">
        <f>('Patient Population'!E36*'Patient Population'!E53*'Patient Population'!E93)</f>
        <v>0</v>
      </c>
      <c r="I113" s="72">
        <f>('Patient Population'!F36*'Patient Population'!F53*'Patient Population'!F93)</f>
        <v>0</v>
      </c>
      <c r="J113" s="75">
        <f>('Patient Population'!G36*'Patient Population'!G53*'Patient Population'!G93)</f>
        <v>0</v>
      </c>
      <c r="K113" s="72">
        <f>('Patient Population'!H36*'Patient Population'!H53*'Patient Population'!H93)</f>
        <v>0</v>
      </c>
      <c r="L113" s="72">
        <f>('Patient Population'!I36*'Patient Population'!I53*'Patient Population'!I93)</f>
        <v>0</v>
      </c>
    </row>
    <row r="114" spans="2:12" ht="15.75" thickBot="1" x14ac:dyDescent="0.3">
      <c r="B114" s="559"/>
      <c r="C114" s="560"/>
      <c r="D114" s="568" t="s">
        <v>61</v>
      </c>
      <c r="E114" s="569"/>
      <c r="F114" s="569"/>
      <c r="G114" s="570"/>
      <c r="H114" s="79">
        <f>'Patient Population'!E30*'Patient Population'!E31*'Patient Population'!E33*'Patient Population'!E35*'Patient Population'!E53</f>
        <v>0</v>
      </c>
      <c r="I114" s="81">
        <f>'Patient Population'!F30*'Patient Population'!F31*'Patient Population'!F33*'Patient Population'!F35*'Patient Population'!F53</f>
        <v>0</v>
      </c>
      <c r="J114" s="83">
        <f>'Patient Population'!G30*'Patient Population'!G31*'Patient Population'!G33*'Patient Population'!G35*'Patient Population'!G53</f>
        <v>0</v>
      </c>
      <c r="K114" s="81">
        <f>'Patient Population'!H30*'Patient Population'!H31*'Patient Population'!H33*'Patient Population'!H35*'Patient Population'!H53</f>
        <v>0</v>
      </c>
      <c r="L114" s="81">
        <f>'Patient Population'!I30*'Patient Population'!I31*'Patient Population'!I33*'Patient Population'!I35*'Patient Population'!I53</f>
        <v>0</v>
      </c>
    </row>
    <row r="115" spans="2:12" x14ac:dyDescent="0.25">
      <c r="B115" s="557" t="str">
        <f>CONCATENATE("Comparator 6: ",NameComparator6)</f>
        <v xml:space="preserve">Comparator 6: </v>
      </c>
      <c r="C115" s="558"/>
      <c r="D115" s="578" t="s">
        <v>49</v>
      </c>
      <c r="E115" s="562"/>
      <c r="F115" s="562"/>
      <c r="G115" s="563"/>
      <c r="H115" s="80">
        <f>'Patient Population'!E112</f>
        <v>0</v>
      </c>
      <c r="I115" s="82">
        <f>'Patient Population'!F112</f>
        <v>0</v>
      </c>
      <c r="J115" s="84">
        <f>'Patient Population'!G112</f>
        <v>0</v>
      </c>
      <c r="K115" s="82">
        <f>'Patient Population'!H112</f>
        <v>0</v>
      </c>
      <c r="L115" s="82">
        <f>'Patient Population'!I112</f>
        <v>0</v>
      </c>
    </row>
    <row r="116" spans="2:12" x14ac:dyDescent="0.25">
      <c r="B116" s="557"/>
      <c r="C116" s="558"/>
      <c r="D116" s="571" t="s">
        <v>50</v>
      </c>
      <c r="E116" s="555"/>
      <c r="F116" s="555"/>
      <c r="G116" s="556"/>
      <c r="H116" s="113" t="str">
        <f>'Drug Acquisition Costs (PAS)'!E34</f>
        <v/>
      </c>
      <c r="I116" s="113" t="str">
        <f>'Drug Acquisition Costs (PAS)'!F34</f>
        <v/>
      </c>
      <c r="J116" s="113" t="str">
        <f>'Drug Acquisition Costs (PAS)'!G34</f>
        <v/>
      </c>
      <c r="K116" s="113" t="str">
        <f>'Drug Acquisition Costs (PAS)'!H34</f>
        <v/>
      </c>
      <c r="L116" s="115" t="str">
        <f>'Drug Acquisition Costs (PAS)'!I34</f>
        <v/>
      </c>
    </row>
    <row r="117" spans="2:12" x14ac:dyDescent="0.25">
      <c r="B117" s="557"/>
      <c r="C117" s="558"/>
      <c r="D117" s="571" t="s">
        <v>60</v>
      </c>
      <c r="E117" s="555"/>
      <c r="F117" s="555"/>
      <c r="G117" s="556"/>
      <c r="H117" s="69">
        <f>('Patient Population'!E36*'Patient Population'!E54*'Patient Population'!E94)</f>
        <v>0</v>
      </c>
      <c r="I117" s="72">
        <f>('Patient Population'!F36*'Patient Population'!F54*'Patient Population'!F94)</f>
        <v>0</v>
      </c>
      <c r="J117" s="75">
        <f>('Patient Population'!G36*'Patient Population'!G54*'Patient Population'!G94)</f>
        <v>0</v>
      </c>
      <c r="K117" s="72">
        <f>('Patient Population'!H36*'Patient Population'!H54*'Patient Population'!H94)</f>
        <v>0</v>
      </c>
      <c r="L117" s="72">
        <f>('Patient Population'!I36*'Patient Population'!I54*'Patient Population'!I94)</f>
        <v>0</v>
      </c>
    </row>
    <row r="118" spans="2:12" ht="15.75" thickBot="1" x14ac:dyDescent="0.3">
      <c r="B118" s="559"/>
      <c r="C118" s="560"/>
      <c r="D118" s="568" t="s">
        <v>61</v>
      </c>
      <c r="E118" s="569"/>
      <c r="F118" s="569"/>
      <c r="G118" s="570"/>
      <c r="H118" s="79">
        <f>'Patient Population'!E30*'Patient Population'!E31*'Patient Population'!E33*'Patient Population'!E35*'Patient Population'!E54</f>
        <v>0</v>
      </c>
      <c r="I118" s="81">
        <f>'Patient Population'!F30*'Patient Population'!F31*'Patient Population'!F33*'Patient Population'!F35*'Patient Population'!F54</f>
        <v>0</v>
      </c>
      <c r="J118" s="83">
        <f>'Patient Population'!G30*'Patient Population'!G31*'Patient Population'!G33*'Patient Population'!G35*'Patient Population'!G54</f>
        <v>0</v>
      </c>
      <c r="K118" s="81">
        <f>'Patient Population'!H30*'Patient Population'!H31*'Patient Population'!H33*'Patient Population'!H35*'Patient Population'!H54</f>
        <v>0</v>
      </c>
      <c r="L118" s="81">
        <f>'Patient Population'!I30*'Patient Population'!I31*'Patient Population'!I33*'Patient Population'!I35*'Patient Population'!I54</f>
        <v>0</v>
      </c>
    </row>
    <row r="119" spans="2:12" x14ac:dyDescent="0.25">
      <c r="B119" s="557" t="str">
        <f>CONCATENATE("Comparator 7: ",NameComparator7)</f>
        <v xml:space="preserve">Comparator 7: </v>
      </c>
      <c r="C119" s="558"/>
      <c r="D119" s="578" t="s">
        <v>228</v>
      </c>
      <c r="E119" s="562"/>
      <c r="F119" s="562"/>
      <c r="G119" s="563"/>
      <c r="H119" s="80">
        <f>'Patient Population'!E113</f>
        <v>0</v>
      </c>
      <c r="I119" s="80">
        <f>'Patient Population'!F113</f>
        <v>0</v>
      </c>
      <c r="J119" s="80">
        <f>'Patient Population'!G113</f>
        <v>0</v>
      </c>
      <c r="K119" s="80">
        <f>'Patient Population'!H113</f>
        <v>0</v>
      </c>
      <c r="L119" s="82">
        <f>'Patient Population'!I113</f>
        <v>0</v>
      </c>
    </row>
    <row r="120" spans="2:12" x14ac:dyDescent="0.25">
      <c r="B120" s="557"/>
      <c r="C120" s="558"/>
      <c r="D120" s="571" t="s">
        <v>229</v>
      </c>
      <c r="E120" s="555"/>
      <c r="F120" s="555"/>
      <c r="G120" s="556"/>
      <c r="H120" s="113" t="str">
        <f>'Drug Acquisition Costs (PAS)'!E35</f>
        <v/>
      </c>
      <c r="I120" s="113" t="str">
        <f>'Drug Acquisition Costs (PAS)'!F35</f>
        <v/>
      </c>
      <c r="J120" s="113" t="str">
        <f>'Drug Acquisition Costs (PAS)'!G35</f>
        <v/>
      </c>
      <c r="K120" s="113" t="str">
        <f>'Drug Acquisition Costs (PAS)'!H35</f>
        <v/>
      </c>
      <c r="L120" s="115" t="str">
        <f>'Drug Acquisition Costs (PAS)'!I35</f>
        <v/>
      </c>
    </row>
    <row r="121" spans="2:12" x14ac:dyDescent="0.25">
      <c r="B121" s="557"/>
      <c r="C121" s="558"/>
      <c r="D121" s="571" t="s">
        <v>60</v>
      </c>
      <c r="E121" s="555"/>
      <c r="F121" s="555"/>
      <c r="G121" s="556"/>
      <c r="H121" s="69">
        <f>('Patient Population'!E36*'Patient Population'!E55*'Patient Population'!E95)</f>
        <v>0</v>
      </c>
      <c r="I121" s="69">
        <f>('Patient Population'!F36*'Patient Population'!F55*'Patient Population'!F95)</f>
        <v>0</v>
      </c>
      <c r="J121" s="69">
        <f>('Patient Population'!G36*'Patient Population'!G55*'Patient Population'!G95)</f>
        <v>0</v>
      </c>
      <c r="K121" s="69">
        <f>('Patient Population'!H36*'Patient Population'!H55*'Patient Population'!H95)</f>
        <v>0</v>
      </c>
      <c r="L121" s="72">
        <f>('Patient Population'!I36*'Patient Population'!I55*'Patient Population'!I95)</f>
        <v>0</v>
      </c>
    </row>
    <row r="122" spans="2:12" ht="15.75" thickBot="1" x14ac:dyDescent="0.3">
      <c r="B122" s="559"/>
      <c r="C122" s="560"/>
      <c r="D122" s="568" t="s">
        <v>61</v>
      </c>
      <c r="E122" s="569"/>
      <c r="F122" s="569"/>
      <c r="G122" s="570"/>
      <c r="H122" s="79">
        <f>'Patient Population'!E30*'Patient Population'!E31*'Patient Population'!E33*'Patient Population'!E35*'Patient Population'!E55</f>
        <v>0</v>
      </c>
      <c r="I122" s="79">
        <f>'Patient Population'!F30*'Patient Population'!F31*'Patient Population'!F33*'Patient Population'!F35*'Patient Population'!F55</f>
        <v>0</v>
      </c>
      <c r="J122" s="79">
        <f>'Patient Population'!G30*'Patient Population'!G31*'Patient Population'!G33*'Patient Population'!G35*'Patient Population'!G55</f>
        <v>0</v>
      </c>
      <c r="K122" s="79">
        <f>'Patient Population'!H30*'Patient Population'!H31*'Patient Population'!H33*'Patient Population'!H35*'Patient Population'!H55</f>
        <v>0</v>
      </c>
      <c r="L122" s="81">
        <f>'Patient Population'!I30*'Patient Population'!I31*'Patient Population'!I33*'Patient Population'!I35*'Patient Population'!I55</f>
        <v>0</v>
      </c>
    </row>
    <row r="123" spans="2:12" x14ac:dyDescent="0.25">
      <c r="B123" s="557" t="str">
        <f>CONCATENATE("Comparator 8: ",NameComparator8)</f>
        <v xml:space="preserve">Comparator 8: </v>
      </c>
      <c r="C123" s="558"/>
      <c r="D123" s="578" t="s">
        <v>230</v>
      </c>
      <c r="E123" s="562"/>
      <c r="F123" s="562"/>
      <c r="G123" s="563"/>
      <c r="H123" s="80">
        <f>'Patient Population'!E114</f>
        <v>0</v>
      </c>
      <c r="I123" s="80">
        <f>'Patient Population'!F114</f>
        <v>0</v>
      </c>
      <c r="J123" s="80">
        <f>'Patient Population'!G114</f>
        <v>0</v>
      </c>
      <c r="K123" s="80">
        <f>'Patient Population'!H114</f>
        <v>0</v>
      </c>
      <c r="L123" s="82">
        <f>'Patient Population'!I114</f>
        <v>0</v>
      </c>
    </row>
    <row r="124" spans="2:12" x14ac:dyDescent="0.25">
      <c r="B124" s="557"/>
      <c r="C124" s="558"/>
      <c r="D124" s="571" t="s">
        <v>231</v>
      </c>
      <c r="E124" s="555"/>
      <c r="F124" s="555"/>
      <c r="G124" s="556"/>
      <c r="H124" s="113" t="str">
        <f>'Drug Acquisition Costs (PAS)'!E36</f>
        <v/>
      </c>
      <c r="I124" s="113" t="str">
        <f>'Drug Acquisition Costs (PAS)'!F36</f>
        <v/>
      </c>
      <c r="J124" s="113" t="str">
        <f>'Drug Acquisition Costs (PAS)'!G36</f>
        <v/>
      </c>
      <c r="K124" s="113" t="str">
        <f>'Drug Acquisition Costs (PAS)'!H36</f>
        <v/>
      </c>
      <c r="L124" s="115" t="str">
        <f>'Drug Acquisition Costs (PAS)'!I36</f>
        <v/>
      </c>
    </row>
    <row r="125" spans="2:12" x14ac:dyDescent="0.25">
      <c r="B125" s="557"/>
      <c r="C125" s="558"/>
      <c r="D125" s="571" t="s">
        <v>60</v>
      </c>
      <c r="E125" s="555"/>
      <c r="F125" s="555"/>
      <c r="G125" s="556"/>
      <c r="H125" s="69">
        <f>('Patient Population'!E36*'Patient Population'!E56*'Patient Population'!E96)</f>
        <v>0</v>
      </c>
      <c r="I125" s="69">
        <f>('Patient Population'!F36*'Patient Population'!F56*'Patient Population'!F96)</f>
        <v>0</v>
      </c>
      <c r="J125" s="69">
        <f>('Patient Population'!G36*'Patient Population'!G56*'Patient Population'!G96)</f>
        <v>0</v>
      </c>
      <c r="K125" s="69">
        <f>('Patient Population'!H36*'Patient Population'!H56*'Patient Population'!H96)</f>
        <v>0</v>
      </c>
      <c r="L125" s="72">
        <f>('Patient Population'!I36*'Patient Population'!I56*'Patient Population'!I96)</f>
        <v>0</v>
      </c>
    </row>
    <row r="126" spans="2:12" ht="15.75" thickBot="1" x14ac:dyDescent="0.3">
      <c r="B126" s="559"/>
      <c r="C126" s="560"/>
      <c r="D126" s="568" t="s">
        <v>61</v>
      </c>
      <c r="E126" s="569"/>
      <c r="F126" s="569"/>
      <c r="G126" s="570"/>
      <c r="H126" s="79">
        <f>'Patient Population'!E30*'Patient Population'!E31*'Patient Population'!E33*'Patient Population'!E35*'Patient Population'!E56</f>
        <v>0</v>
      </c>
      <c r="I126" s="79">
        <f>'Patient Population'!F30*'Patient Population'!F31*'Patient Population'!F33*'Patient Population'!F35*'Patient Population'!F56</f>
        <v>0</v>
      </c>
      <c r="J126" s="79">
        <f>'Patient Population'!G30*'Patient Population'!G31*'Patient Population'!G33*'Patient Population'!G35*'Patient Population'!G56</f>
        <v>0</v>
      </c>
      <c r="K126" s="79">
        <f>'Patient Population'!H30*'Patient Population'!H31*'Patient Population'!H33*'Patient Population'!H35*'Patient Population'!H56</f>
        <v>0</v>
      </c>
      <c r="L126" s="81">
        <f>'Patient Population'!I30*'Patient Population'!I31*'Patient Population'!I33*'Patient Population'!I35*'Patient Population'!I56</f>
        <v>0</v>
      </c>
    </row>
    <row r="127" spans="2:12" x14ac:dyDescent="0.25">
      <c r="B127" s="557" t="str">
        <f>CONCATENATE("Comparator 9: ",NameComparator9)</f>
        <v xml:space="preserve">Comparator 9: </v>
      </c>
      <c r="C127" s="558"/>
      <c r="D127" s="578" t="s">
        <v>232</v>
      </c>
      <c r="E127" s="562"/>
      <c r="F127" s="562"/>
      <c r="G127" s="563"/>
      <c r="H127" s="80">
        <f>'Patient Population'!E115</f>
        <v>0</v>
      </c>
      <c r="I127" s="80">
        <f>'Patient Population'!F115</f>
        <v>0</v>
      </c>
      <c r="J127" s="80">
        <f>'Patient Population'!G115</f>
        <v>0</v>
      </c>
      <c r="K127" s="80">
        <f>'Patient Population'!H115</f>
        <v>0</v>
      </c>
      <c r="L127" s="82">
        <f>'Patient Population'!I115</f>
        <v>0</v>
      </c>
    </row>
    <row r="128" spans="2:12" x14ac:dyDescent="0.25">
      <c r="B128" s="557"/>
      <c r="C128" s="558"/>
      <c r="D128" s="571" t="s">
        <v>233</v>
      </c>
      <c r="E128" s="555"/>
      <c r="F128" s="555"/>
      <c r="G128" s="556"/>
      <c r="H128" s="113" t="str">
        <f>'Drug Acquisition Costs (PAS)'!E37</f>
        <v/>
      </c>
      <c r="I128" s="113" t="str">
        <f>'Drug Acquisition Costs (PAS)'!F37</f>
        <v/>
      </c>
      <c r="J128" s="113" t="str">
        <f>'Drug Acquisition Costs (PAS)'!G37</f>
        <v/>
      </c>
      <c r="K128" s="113" t="str">
        <f>'Drug Acquisition Costs (PAS)'!H37</f>
        <v/>
      </c>
      <c r="L128" s="115" t="str">
        <f>'Drug Acquisition Costs (PAS)'!I37</f>
        <v/>
      </c>
    </row>
    <row r="129" spans="2:14" x14ac:dyDescent="0.25">
      <c r="B129" s="557"/>
      <c r="C129" s="558"/>
      <c r="D129" s="571" t="s">
        <v>60</v>
      </c>
      <c r="E129" s="555"/>
      <c r="F129" s="555"/>
      <c r="G129" s="556"/>
      <c r="H129" s="69">
        <f>('Patient Population'!E36*'Patient Population'!E57*'Patient Population'!E97)</f>
        <v>0</v>
      </c>
      <c r="I129" s="69">
        <f>('Patient Population'!F36*'Patient Population'!F57*'Patient Population'!F97)</f>
        <v>0</v>
      </c>
      <c r="J129" s="69">
        <f>('Patient Population'!G36*'Patient Population'!G57*'Patient Population'!G97)</f>
        <v>0</v>
      </c>
      <c r="K129" s="69">
        <f>('Patient Population'!H36*'Patient Population'!H57*'Patient Population'!H97)</f>
        <v>0</v>
      </c>
      <c r="L129" s="72">
        <f>('Patient Population'!I36*'Patient Population'!I57*'Patient Population'!I97)</f>
        <v>0</v>
      </c>
    </row>
    <row r="130" spans="2:14" ht="15.75" thickBot="1" x14ac:dyDescent="0.3">
      <c r="B130" s="559"/>
      <c r="C130" s="560"/>
      <c r="D130" s="568" t="s">
        <v>61</v>
      </c>
      <c r="E130" s="569"/>
      <c r="F130" s="569"/>
      <c r="G130" s="570"/>
      <c r="H130" s="79">
        <f>'Patient Population'!E30*'Patient Population'!E31*'Patient Population'!E33*'Patient Population'!E35*'Patient Population'!E57</f>
        <v>0</v>
      </c>
      <c r="I130" s="79">
        <f>'Patient Population'!F30*'Patient Population'!F31*'Patient Population'!F33*'Patient Population'!F35*'Patient Population'!F57</f>
        <v>0</v>
      </c>
      <c r="J130" s="79">
        <f>'Patient Population'!G30*'Patient Population'!G31*'Patient Population'!G33*'Patient Population'!G35*'Patient Population'!G57</f>
        <v>0</v>
      </c>
      <c r="K130" s="79">
        <f>'Patient Population'!H30*'Patient Population'!H31*'Patient Population'!H33*'Patient Population'!H35*'Patient Population'!H57</f>
        <v>0</v>
      </c>
      <c r="L130" s="81">
        <f>'Patient Population'!I30*'Patient Population'!I31*'Patient Population'!I33*'Patient Population'!I35*'Patient Population'!I57</f>
        <v>0</v>
      </c>
    </row>
    <row r="131" spans="2:14" x14ac:dyDescent="0.25">
      <c r="B131" s="557" t="str">
        <f>CONCATENATE("Comparator 10: ",NameComparator10)</f>
        <v xml:space="preserve">Comparator 10: </v>
      </c>
      <c r="C131" s="558"/>
      <c r="D131" s="578" t="s">
        <v>234</v>
      </c>
      <c r="E131" s="562"/>
      <c r="F131" s="562"/>
      <c r="G131" s="563"/>
      <c r="H131" s="80">
        <f>'Patient Population'!E116</f>
        <v>0</v>
      </c>
      <c r="I131" s="80">
        <f>'Patient Population'!F116</f>
        <v>0</v>
      </c>
      <c r="J131" s="80">
        <f>'Patient Population'!G116</f>
        <v>0</v>
      </c>
      <c r="K131" s="80">
        <f>'Patient Population'!H116</f>
        <v>0</v>
      </c>
      <c r="L131" s="82">
        <f>'Patient Population'!I116</f>
        <v>0</v>
      </c>
    </row>
    <row r="132" spans="2:14" x14ac:dyDescent="0.25">
      <c r="B132" s="557"/>
      <c r="C132" s="558"/>
      <c r="D132" s="571" t="s">
        <v>235</v>
      </c>
      <c r="E132" s="555"/>
      <c r="F132" s="555"/>
      <c r="G132" s="556"/>
      <c r="H132" s="113" t="str">
        <f>'Drug Acquisition Costs (PAS)'!E38</f>
        <v/>
      </c>
      <c r="I132" s="113" t="str">
        <f>'Drug Acquisition Costs (PAS)'!F38</f>
        <v/>
      </c>
      <c r="J132" s="113" t="str">
        <f>'Drug Acquisition Costs (PAS)'!G38</f>
        <v/>
      </c>
      <c r="K132" s="113" t="str">
        <f>'Drug Acquisition Costs (PAS)'!H38</f>
        <v/>
      </c>
      <c r="L132" s="115" t="str">
        <f>'Drug Acquisition Costs (PAS)'!I38</f>
        <v/>
      </c>
    </row>
    <row r="133" spans="2:14" x14ac:dyDescent="0.25">
      <c r="B133" s="557"/>
      <c r="C133" s="558"/>
      <c r="D133" s="571" t="s">
        <v>60</v>
      </c>
      <c r="E133" s="555"/>
      <c r="F133" s="555"/>
      <c r="G133" s="556"/>
      <c r="H133" s="69">
        <f>('Patient Population'!E36*'Patient Population'!E58*'Patient Population'!E98)</f>
        <v>0</v>
      </c>
      <c r="I133" s="69">
        <f>('Patient Population'!F36*'Patient Population'!F58*'Patient Population'!F98)</f>
        <v>0</v>
      </c>
      <c r="J133" s="69">
        <f>('Patient Population'!G36*'Patient Population'!G58*'Patient Population'!G98)</f>
        <v>0</v>
      </c>
      <c r="K133" s="69">
        <f>('Patient Population'!H36*'Patient Population'!H58*'Patient Population'!H98)</f>
        <v>0</v>
      </c>
      <c r="L133" s="72">
        <f>('Patient Population'!I36*'Patient Population'!I58*'Patient Population'!I98)</f>
        <v>0</v>
      </c>
    </row>
    <row r="134" spans="2:14" ht="15.75" thickBot="1" x14ac:dyDescent="0.3">
      <c r="B134" s="559"/>
      <c r="C134" s="560"/>
      <c r="D134" s="568" t="s">
        <v>61</v>
      </c>
      <c r="E134" s="569"/>
      <c r="F134" s="569"/>
      <c r="G134" s="570"/>
      <c r="H134" s="79">
        <f>'Patient Population'!E30*'Patient Population'!E31*'Patient Population'!E33*'Patient Population'!E35*'Patient Population'!E58</f>
        <v>0</v>
      </c>
      <c r="I134" s="79">
        <f>'Patient Population'!F30*'Patient Population'!F31*'Patient Population'!F33*'Patient Population'!F35*'Patient Population'!F58</f>
        <v>0</v>
      </c>
      <c r="J134" s="79">
        <f>'Patient Population'!G30*'Patient Population'!G31*'Patient Population'!G33*'Patient Population'!G35*'Patient Population'!G58</f>
        <v>0</v>
      </c>
      <c r="K134" s="79">
        <f>'Patient Population'!H30*'Patient Population'!H31*'Patient Population'!H33*'Patient Population'!H35*'Patient Population'!H58</f>
        <v>0</v>
      </c>
      <c r="L134" s="81">
        <f>'Patient Population'!I30*'Patient Population'!I31*'Patient Population'!I33*'Patient Population'!I35*'Patient Population'!I58</f>
        <v>0</v>
      </c>
    </row>
    <row r="135" spans="2:14" x14ac:dyDescent="0.25">
      <c r="B135" s="557" t="str">
        <f>CONCATENATE("Comparator 11: ",NameComparator11)</f>
        <v xml:space="preserve">Comparator 11: </v>
      </c>
      <c r="C135" s="558"/>
      <c r="D135" s="578" t="s">
        <v>236</v>
      </c>
      <c r="E135" s="562"/>
      <c r="F135" s="562"/>
      <c r="G135" s="563"/>
      <c r="H135" s="80">
        <f>'Patient Population'!E117</f>
        <v>0</v>
      </c>
      <c r="I135" s="80">
        <f>'Patient Population'!F117</f>
        <v>0</v>
      </c>
      <c r="J135" s="80">
        <f>'Patient Population'!G117</f>
        <v>0</v>
      </c>
      <c r="K135" s="80">
        <f>'Patient Population'!H117</f>
        <v>0</v>
      </c>
      <c r="L135" s="82">
        <f>'Patient Population'!I117</f>
        <v>0</v>
      </c>
    </row>
    <row r="136" spans="2:14" x14ac:dyDescent="0.25">
      <c r="B136" s="557"/>
      <c r="C136" s="558"/>
      <c r="D136" s="571" t="s">
        <v>237</v>
      </c>
      <c r="E136" s="555"/>
      <c r="F136" s="555"/>
      <c r="G136" s="556"/>
      <c r="H136" s="113" t="str">
        <f>'Drug Acquisition Costs (PAS)'!E39</f>
        <v/>
      </c>
      <c r="I136" s="113" t="str">
        <f>'Drug Acquisition Costs (PAS)'!F39</f>
        <v/>
      </c>
      <c r="J136" s="113" t="str">
        <f>'Drug Acquisition Costs (PAS)'!G39</f>
        <v/>
      </c>
      <c r="K136" s="113" t="str">
        <f>'Drug Acquisition Costs (PAS)'!H39</f>
        <v/>
      </c>
      <c r="L136" s="115" t="str">
        <f>'Drug Acquisition Costs (PAS)'!I39</f>
        <v/>
      </c>
    </row>
    <row r="137" spans="2:14" x14ac:dyDescent="0.25">
      <c r="B137" s="557"/>
      <c r="C137" s="558"/>
      <c r="D137" s="571" t="s">
        <v>60</v>
      </c>
      <c r="E137" s="555"/>
      <c r="F137" s="555"/>
      <c r="G137" s="556"/>
      <c r="H137" s="69">
        <f>('Patient Population'!E36*'Patient Population'!E59*'Patient Population'!E99)</f>
        <v>0</v>
      </c>
      <c r="I137" s="69">
        <f>('Patient Population'!F36*'Patient Population'!F59*'Patient Population'!F99)</f>
        <v>0</v>
      </c>
      <c r="J137" s="69">
        <f>('Patient Population'!G36*'Patient Population'!G59*'Patient Population'!G99)</f>
        <v>0</v>
      </c>
      <c r="K137" s="69">
        <f>('Patient Population'!H36*'Patient Population'!H59*'Patient Population'!H99)</f>
        <v>0</v>
      </c>
      <c r="L137" s="72">
        <f>('Patient Population'!I36*'Patient Population'!I59*'Patient Population'!I99)</f>
        <v>0</v>
      </c>
    </row>
    <row r="138" spans="2:14" ht="15.75" thickBot="1" x14ac:dyDescent="0.3">
      <c r="B138" s="559"/>
      <c r="C138" s="560"/>
      <c r="D138" s="568" t="s">
        <v>61</v>
      </c>
      <c r="E138" s="569"/>
      <c r="F138" s="569"/>
      <c r="G138" s="570"/>
      <c r="H138" s="79">
        <f>'Patient Population'!E30*'Patient Population'!E31*'Patient Population'!E33*'Patient Population'!E35*'Patient Population'!E59</f>
        <v>0</v>
      </c>
      <c r="I138" s="79">
        <f>'Patient Population'!F30*'Patient Population'!F31*'Patient Population'!F33*'Patient Population'!F35*'Patient Population'!F59</f>
        <v>0</v>
      </c>
      <c r="J138" s="79">
        <f>'Patient Population'!G30*'Patient Population'!G31*'Patient Population'!G33*'Patient Population'!G35*'Patient Population'!G59</f>
        <v>0</v>
      </c>
      <c r="K138" s="79">
        <f>'Patient Population'!H30*'Patient Population'!H31*'Patient Population'!H33*'Patient Population'!H35*'Patient Population'!H59</f>
        <v>0</v>
      </c>
      <c r="L138" s="81">
        <f>'Patient Population'!I30*'Patient Population'!I31*'Patient Population'!I33*'Patient Population'!I35*'Patient Population'!I59</f>
        <v>0</v>
      </c>
    </row>
    <row r="139" spans="2:14" x14ac:dyDescent="0.25">
      <c r="B139" s="557" t="str">
        <f>CONCATENATE("Comparator 12: ",NameComparator12)</f>
        <v xml:space="preserve">Comparator 12: </v>
      </c>
      <c r="C139" s="558"/>
      <c r="D139" s="578" t="s">
        <v>238</v>
      </c>
      <c r="E139" s="562"/>
      <c r="F139" s="562"/>
      <c r="G139" s="563"/>
      <c r="H139" s="80">
        <f>'Patient Population'!E118</f>
        <v>0</v>
      </c>
      <c r="I139" s="80">
        <f>'Patient Population'!F118</f>
        <v>0</v>
      </c>
      <c r="J139" s="80">
        <f>'Patient Population'!G118</f>
        <v>0</v>
      </c>
      <c r="K139" s="80">
        <f>'Patient Population'!H118</f>
        <v>0</v>
      </c>
      <c r="L139" s="82">
        <f>'Patient Population'!I118</f>
        <v>0</v>
      </c>
    </row>
    <row r="140" spans="2:14" x14ac:dyDescent="0.25">
      <c r="B140" s="557"/>
      <c r="C140" s="558"/>
      <c r="D140" s="571" t="s">
        <v>239</v>
      </c>
      <c r="E140" s="555"/>
      <c r="F140" s="555"/>
      <c r="G140" s="556"/>
      <c r="H140" s="113" t="str">
        <f>'Drug Acquisition Costs (PAS)'!E40</f>
        <v/>
      </c>
      <c r="I140" s="113" t="str">
        <f>'Drug Acquisition Costs (PAS)'!F40</f>
        <v/>
      </c>
      <c r="J140" s="113" t="str">
        <f>'Drug Acquisition Costs (PAS)'!G40</f>
        <v/>
      </c>
      <c r="K140" s="113" t="str">
        <f>'Drug Acquisition Costs (PAS)'!H40</f>
        <v/>
      </c>
      <c r="L140" s="115" t="str">
        <f>'Drug Acquisition Costs (PAS)'!I40</f>
        <v/>
      </c>
    </row>
    <row r="141" spans="2:14" x14ac:dyDescent="0.25">
      <c r="B141" s="557"/>
      <c r="C141" s="558"/>
      <c r="D141" s="571" t="s">
        <v>60</v>
      </c>
      <c r="E141" s="555"/>
      <c r="F141" s="555"/>
      <c r="G141" s="556"/>
      <c r="H141" s="69">
        <f>('Patient Population'!E36*'Patient Population'!E60*'Patient Population'!E100)</f>
        <v>0</v>
      </c>
      <c r="I141" s="69">
        <f>('Patient Population'!F36*'Patient Population'!F60*'Patient Population'!F100)</f>
        <v>0</v>
      </c>
      <c r="J141" s="69">
        <f>('Patient Population'!G36*'Patient Population'!G60*'Patient Population'!G100)</f>
        <v>0</v>
      </c>
      <c r="K141" s="69">
        <f>('Patient Population'!H36*'Patient Population'!H60*'Patient Population'!H100)</f>
        <v>0</v>
      </c>
      <c r="L141" s="72">
        <f>('Patient Population'!I36*'Patient Population'!I60*'Patient Population'!I100)</f>
        <v>0</v>
      </c>
    </row>
    <row r="142" spans="2:14" ht="15.75" thickBot="1" x14ac:dyDescent="0.3">
      <c r="B142" s="559"/>
      <c r="C142" s="560"/>
      <c r="D142" s="568" t="s">
        <v>61</v>
      </c>
      <c r="E142" s="569"/>
      <c r="F142" s="569"/>
      <c r="G142" s="570"/>
      <c r="H142" s="79">
        <f>'Patient Population'!E30*'Patient Population'!E31*'Patient Population'!E33*'Patient Population'!E35*'Patient Population'!E60</f>
        <v>0</v>
      </c>
      <c r="I142" s="79">
        <f>'Patient Population'!F30*'Patient Population'!F31*'Patient Population'!F33*'Patient Population'!F35*'Patient Population'!F60</f>
        <v>0</v>
      </c>
      <c r="J142" s="79">
        <f>'Patient Population'!G30*'Patient Population'!G31*'Patient Population'!G33*'Patient Population'!G35*'Patient Population'!G60</f>
        <v>0</v>
      </c>
      <c r="K142" s="79">
        <f>'Patient Population'!H30*'Patient Population'!H31*'Patient Population'!H33*'Patient Population'!H35*'Patient Population'!H60</f>
        <v>0</v>
      </c>
      <c r="L142" s="81">
        <f>'Patient Population'!I30*'Patient Population'!I31*'Patient Population'!I33*'Patient Population'!I35*'Patient Population'!I60</f>
        <v>0</v>
      </c>
    </row>
    <row r="143" spans="2:14" ht="15.75" thickBot="1" x14ac:dyDescent="0.3">
      <c r="B143" s="410" t="s">
        <v>57</v>
      </c>
      <c r="C143" s="411"/>
      <c r="D143" s="411"/>
      <c r="E143" s="411"/>
      <c r="F143" s="411"/>
      <c r="G143" s="412"/>
      <c r="H143" s="120" t="e">
        <f>(H95*H96)+((H97+H98)*(0.5*H96))+(H99*H100)+((H101+H102)*(0.5*H100))+(H103*H104)+((H105+H106)*(0.5*H104))+(H107*H108)+((H109+H110)*(0.5*H108))+(H111*H112)+((H113+H114)*(0.5*H112))+(H115*H116)+((H117+H118)*(0.5*H116))+(H119*H120)+((H121+H122)*(0.5*H120))+(H123*H124)+((H125+H126)*(0.5*H124))+(H127*H128)+((H129+H130)*(0.5*H128))+(H131*H132)+((H133+H134)*(0.5*H132))+(H135*H136)+((H137+H138)*(0.5*H136))+(H139*H140)+((H141+H142)*(0.5*H140))</f>
        <v>#VALUE!</v>
      </c>
      <c r="I143" s="120" t="e">
        <f t="shared" ref="I143:L143" si="2">(I95*I96)+((I97+I98)*(0.5*I96))+(I99*I100)+((I101+I102)*(0.5*I100))+(I103*I104)+((I105+I106)*(0.5*I104))+(I107*I108)+((I109+I110)*(0.5*I108))+(I111*I112)+((I113+I114)*(0.5*I112))+(I115*I116)+((I117+I118)*(0.5*I116))+(I119*I120)+((I121+I122)*(0.5*I120))+(I123*I124)+((I125+I126)*(0.5*I124))+(I127*I128)+((I129+I130)*(0.5*I128))+(I131*I132)+((I133+I134)*(0.5*I132))+(I135*I136)+((I137+I138)*(0.5*I136))+(I139*I140)+((I141+I142)*(0.5*I140))</f>
        <v>#VALUE!</v>
      </c>
      <c r="J143" s="120" t="e">
        <f t="shared" si="2"/>
        <v>#VALUE!</v>
      </c>
      <c r="K143" s="120" t="e">
        <f t="shared" si="2"/>
        <v>#VALUE!</v>
      </c>
      <c r="L143" s="119" t="e">
        <f t="shared" si="2"/>
        <v>#VALUE!</v>
      </c>
      <c r="N143" s="119" t="e">
        <f>SUM(H143:L143)</f>
        <v>#VALUE!</v>
      </c>
    </row>
    <row r="144" spans="2:14" ht="15.75" thickBot="1" x14ac:dyDescent="0.3"/>
    <row r="145" spans="2:17" ht="15.75" thickBot="1" x14ac:dyDescent="0.3">
      <c r="B145" s="410" t="s">
        <v>55</v>
      </c>
      <c r="C145" s="411"/>
      <c r="D145" s="411"/>
      <c r="E145" s="411"/>
      <c r="F145" s="411"/>
      <c r="G145" s="412"/>
      <c r="H145" s="331" t="e">
        <f>H36+H90-H143</f>
        <v>#VALUE!</v>
      </c>
      <c r="I145" s="331" t="e">
        <f>I36+I90-I143</f>
        <v>#VALUE!</v>
      </c>
      <c r="J145" s="331" t="e">
        <f>J36+J90-J143</f>
        <v>#VALUE!</v>
      </c>
      <c r="K145" s="331" t="e">
        <f>K36+K90-K143</f>
        <v>#VALUE!</v>
      </c>
      <c r="L145" s="330" t="e">
        <f>L36+L90-L143</f>
        <v>#VALUE!</v>
      </c>
      <c r="N145" s="330" t="e">
        <f>SUM(H145:L145)</f>
        <v>#VALUE!</v>
      </c>
    </row>
    <row r="148" spans="2:17" ht="16.5" thickBot="1" x14ac:dyDescent="0.3">
      <c r="B148" s="567" t="s">
        <v>56</v>
      </c>
      <c r="C148" s="567"/>
      <c r="D148" s="567"/>
      <c r="E148" s="567"/>
      <c r="F148" s="567"/>
      <c r="G148" s="567"/>
    </row>
    <row r="149" spans="2:17" ht="15.75" thickBot="1" x14ac:dyDescent="0.3">
      <c r="H149" s="314" t="s">
        <v>6</v>
      </c>
      <c r="I149" s="311" t="s">
        <v>7</v>
      </c>
      <c r="J149" s="311" t="s">
        <v>8</v>
      </c>
      <c r="K149" s="311" t="s">
        <v>9</v>
      </c>
      <c r="L149" s="311" t="s">
        <v>10</v>
      </c>
      <c r="Q149" s="139"/>
    </row>
    <row r="150" spans="2:17" ht="15.75" thickBot="1" x14ac:dyDescent="0.3">
      <c r="B150" s="550" t="s">
        <v>112</v>
      </c>
      <c r="C150" s="551"/>
      <c r="D150" s="551"/>
      <c r="E150" s="551"/>
      <c r="F150" s="551"/>
      <c r="G150" s="552"/>
      <c r="H150" s="132">
        <f>'Additional Costs'!F25*(H30-(0.5*(H32+H33)))</f>
        <v>0</v>
      </c>
      <c r="I150" s="132">
        <f>'Additional Costs'!G25*(I30-(0.5*(I32+I33)))</f>
        <v>0</v>
      </c>
      <c r="J150" s="132">
        <f>'Additional Costs'!H25*(J30-(0.5*(J32+J33)))</f>
        <v>0</v>
      </c>
      <c r="K150" s="132">
        <f>'Additional Costs'!I25*(K30-(0.5*(K32+K33)))</f>
        <v>0</v>
      </c>
      <c r="L150" s="116">
        <f>'Additional Costs'!J25*(L30-(0.5*(L32+L33)))</f>
        <v>0</v>
      </c>
    </row>
    <row r="151" spans="2:17" ht="15.75" thickBot="1" x14ac:dyDescent="0.3"/>
    <row r="152" spans="2:17" ht="15.75" thickBot="1" x14ac:dyDescent="0.3">
      <c r="B152" s="410" t="s">
        <v>56</v>
      </c>
      <c r="C152" s="411"/>
      <c r="D152" s="411"/>
      <c r="E152" s="411"/>
      <c r="F152" s="411"/>
      <c r="G152" s="412"/>
      <c r="H152" s="330" t="e">
        <f>H145+H150</f>
        <v>#VALUE!</v>
      </c>
      <c r="I152" s="330" t="e">
        <f t="shared" ref="I152:L152" si="3">I145+I150</f>
        <v>#VALUE!</v>
      </c>
      <c r="J152" s="330" t="e">
        <f t="shared" si="3"/>
        <v>#VALUE!</v>
      </c>
      <c r="K152" s="330" t="e">
        <f t="shared" si="3"/>
        <v>#VALUE!</v>
      </c>
      <c r="L152" s="330" t="e">
        <f t="shared" si="3"/>
        <v>#VALUE!</v>
      </c>
      <c r="N152" s="330" t="e">
        <f>SUM(H152:L152)</f>
        <v>#VALUE!</v>
      </c>
    </row>
    <row r="154" spans="2:17" x14ac:dyDescent="0.25">
      <c r="B154" s="566" t="s">
        <v>213</v>
      </c>
      <c r="C154" s="566"/>
      <c r="D154" s="566"/>
      <c r="E154" s="566"/>
      <c r="F154" s="566"/>
      <c r="G154" s="566"/>
      <c r="H154" s="566"/>
      <c r="I154" s="566"/>
      <c r="J154" s="566"/>
      <c r="K154" s="566"/>
      <c r="L154" s="566"/>
    </row>
    <row r="155" spans="2:17" x14ac:dyDescent="0.25">
      <c r="B155" s="566"/>
      <c r="C155" s="566"/>
      <c r="D155" s="566"/>
      <c r="E155" s="566"/>
      <c r="F155" s="566"/>
      <c r="G155" s="566"/>
      <c r="H155" s="566"/>
      <c r="I155" s="566"/>
      <c r="J155" s="566"/>
      <c r="K155" s="566"/>
      <c r="L155" s="566"/>
    </row>
  </sheetData>
  <mergeCells count="141">
    <mergeCell ref="B145:G145"/>
    <mergeCell ref="B148:G148"/>
    <mergeCell ref="B150:G150"/>
    <mergeCell ref="B152:G152"/>
    <mergeCell ref="B154:L155"/>
    <mergeCell ref="B139:C142"/>
    <mergeCell ref="D139:G139"/>
    <mergeCell ref="D140:G140"/>
    <mergeCell ref="D141:G141"/>
    <mergeCell ref="D142:G142"/>
    <mergeCell ref="B143:G143"/>
    <mergeCell ref="B131:C134"/>
    <mergeCell ref="D131:G131"/>
    <mergeCell ref="D132:G132"/>
    <mergeCell ref="D133:G133"/>
    <mergeCell ref="D134:G134"/>
    <mergeCell ref="B135:C138"/>
    <mergeCell ref="D135:G135"/>
    <mergeCell ref="D136:G136"/>
    <mergeCell ref="D137:G137"/>
    <mergeCell ref="D138:G138"/>
    <mergeCell ref="B123:C126"/>
    <mergeCell ref="D123:G123"/>
    <mergeCell ref="D124:G124"/>
    <mergeCell ref="D125:G125"/>
    <mergeCell ref="D126:G126"/>
    <mergeCell ref="B127:C130"/>
    <mergeCell ref="D127:G127"/>
    <mergeCell ref="D128:G128"/>
    <mergeCell ref="D129:G129"/>
    <mergeCell ref="D130:G130"/>
    <mergeCell ref="B115:C118"/>
    <mergeCell ref="D115:G115"/>
    <mergeCell ref="D116:G116"/>
    <mergeCell ref="D117:G117"/>
    <mergeCell ref="D118:G118"/>
    <mergeCell ref="B119:C122"/>
    <mergeCell ref="D119:G119"/>
    <mergeCell ref="D120:G120"/>
    <mergeCell ref="D121:G121"/>
    <mergeCell ref="D122:G122"/>
    <mergeCell ref="B107:C110"/>
    <mergeCell ref="D107:G107"/>
    <mergeCell ref="D108:G108"/>
    <mergeCell ref="D109:G109"/>
    <mergeCell ref="D110:G110"/>
    <mergeCell ref="B111:C114"/>
    <mergeCell ref="D111:G111"/>
    <mergeCell ref="D112:G112"/>
    <mergeCell ref="D113:G113"/>
    <mergeCell ref="D114:G114"/>
    <mergeCell ref="B99:C102"/>
    <mergeCell ref="D99:G99"/>
    <mergeCell ref="D100:G100"/>
    <mergeCell ref="D101:G101"/>
    <mergeCell ref="D102:G102"/>
    <mergeCell ref="B103:C106"/>
    <mergeCell ref="D103:G103"/>
    <mergeCell ref="D104:G104"/>
    <mergeCell ref="D105:G105"/>
    <mergeCell ref="D106:G106"/>
    <mergeCell ref="B94:G94"/>
    <mergeCell ref="B95:C98"/>
    <mergeCell ref="D95:G95"/>
    <mergeCell ref="D96:G96"/>
    <mergeCell ref="D97:G97"/>
    <mergeCell ref="D98:G98"/>
    <mergeCell ref="B86:C89"/>
    <mergeCell ref="D86:G86"/>
    <mergeCell ref="D87:G87"/>
    <mergeCell ref="D88:G88"/>
    <mergeCell ref="D89:G89"/>
    <mergeCell ref="B90:G90"/>
    <mergeCell ref="B78:C81"/>
    <mergeCell ref="D78:G78"/>
    <mergeCell ref="D79:G79"/>
    <mergeCell ref="D80:G80"/>
    <mergeCell ref="D81:G81"/>
    <mergeCell ref="B82:C85"/>
    <mergeCell ref="D82:G82"/>
    <mergeCell ref="D83:G83"/>
    <mergeCell ref="D84:G84"/>
    <mergeCell ref="D85:G85"/>
    <mergeCell ref="B70:C73"/>
    <mergeCell ref="D70:G70"/>
    <mergeCell ref="D71:G71"/>
    <mergeCell ref="D72:G72"/>
    <mergeCell ref="D73:G73"/>
    <mergeCell ref="B74:C77"/>
    <mergeCell ref="D74:G74"/>
    <mergeCell ref="D75:G75"/>
    <mergeCell ref="D76:G76"/>
    <mergeCell ref="D77:G77"/>
    <mergeCell ref="B62:C65"/>
    <mergeCell ref="D62:G62"/>
    <mergeCell ref="D63:G63"/>
    <mergeCell ref="D64:G64"/>
    <mergeCell ref="D65:G65"/>
    <mergeCell ref="B66:C69"/>
    <mergeCell ref="D66:G66"/>
    <mergeCell ref="D67:G67"/>
    <mergeCell ref="D68:G68"/>
    <mergeCell ref="D69:G69"/>
    <mergeCell ref="B54:C57"/>
    <mergeCell ref="D54:G54"/>
    <mergeCell ref="D55:G55"/>
    <mergeCell ref="D56:G56"/>
    <mergeCell ref="D57:G57"/>
    <mergeCell ref="B58:C61"/>
    <mergeCell ref="D58:G58"/>
    <mergeCell ref="D59:G59"/>
    <mergeCell ref="D60:G60"/>
    <mergeCell ref="D61:G61"/>
    <mergeCell ref="B46:C49"/>
    <mergeCell ref="D46:G46"/>
    <mergeCell ref="D47:G47"/>
    <mergeCell ref="D48:G48"/>
    <mergeCell ref="D49:G49"/>
    <mergeCell ref="B50:C53"/>
    <mergeCell ref="D50:G50"/>
    <mergeCell ref="D51:G51"/>
    <mergeCell ref="D52:G52"/>
    <mergeCell ref="D53:G53"/>
    <mergeCell ref="B34:G34"/>
    <mergeCell ref="B36:G36"/>
    <mergeCell ref="B39:G39"/>
    <mergeCell ref="B41:G41"/>
    <mergeCell ref="B42:C45"/>
    <mergeCell ref="D42:G42"/>
    <mergeCell ref="D43:G43"/>
    <mergeCell ref="D44:G44"/>
    <mergeCell ref="D45:G45"/>
    <mergeCell ref="B17:J20"/>
    <mergeCell ref="B22:G22"/>
    <mergeCell ref="B25:G25"/>
    <mergeCell ref="B28:G28"/>
    <mergeCell ref="B30:C33"/>
    <mergeCell ref="D30:G30"/>
    <mergeCell ref="D31:G31"/>
    <mergeCell ref="D32:G32"/>
    <mergeCell ref="D33:G3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6:F45"/>
  <sheetViews>
    <sheetView topLeftCell="A10" zoomScale="75" zoomScaleNormal="75" workbookViewId="0">
      <selection activeCell="N32" sqref="N32"/>
    </sheetView>
  </sheetViews>
  <sheetFormatPr defaultColWidth="9.140625" defaultRowHeight="15" x14ac:dyDescent="0.25"/>
  <cols>
    <col min="1" max="4" width="9.140625" style="1"/>
    <col min="5" max="5" width="13.85546875" style="1" customWidth="1"/>
    <col min="6" max="16384" width="9.140625" style="1"/>
  </cols>
  <sheetData>
    <row r="16" spans="1:1" x14ac:dyDescent="0.25">
      <c r="A16" s="348"/>
    </row>
    <row r="17" spans="1:2" x14ac:dyDescent="0.25">
      <c r="A17" s="349" t="s">
        <v>110</v>
      </c>
    </row>
    <row r="18" spans="1:2" s="26" customFormat="1" x14ac:dyDescent="0.25">
      <c r="A18" s="350" t="s">
        <v>44</v>
      </c>
      <c r="B18" s="265" t="s">
        <v>211</v>
      </c>
    </row>
    <row r="19" spans="1:2" x14ac:dyDescent="0.25">
      <c r="A19" s="350" t="s">
        <v>45</v>
      </c>
      <c r="B19" s="6" t="s">
        <v>35</v>
      </c>
    </row>
    <row r="20" spans="1:2" x14ac:dyDescent="0.25">
      <c r="A20" s="350" t="s">
        <v>36</v>
      </c>
      <c r="B20" s="6" t="s">
        <v>16</v>
      </c>
    </row>
    <row r="21" spans="1:2" x14ac:dyDescent="0.25">
      <c r="A21" s="350"/>
      <c r="B21" s="6"/>
    </row>
    <row r="22" spans="1:2" x14ac:dyDescent="0.25">
      <c r="A22" s="349" t="s">
        <v>109</v>
      </c>
    </row>
    <row r="23" spans="1:2" x14ac:dyDescent="0.25">
      <c r="A23" s="350"/>
      <c r="B23" s="6" t="s">
        <v>168</v>
      </c>
    </row>
    <row r="24" spans="1:2" x14ac:dyDescent="0.25">
      <c r="A24" s="348"/>
    </row>
    <row r="25" spans="1:2" x14ac:dyDescent="0.25">
      <c r="A25" s="348"/>
    </row>
    <row r="26" spans="1:2" x14ac:dyDescent="0.25">
      <c r="A26" s="348"/>
    </row>
    <row r="27" spans="1:2" x14ac:dyDescent="0.25">
      <c r="A27" s="348"/>
    </row>
    <row r="28" spans="1:2" x14ac:dyDescent="0.25">
      <c r="A28" s="348"/>
    </row>
    <row r="29" spans="1:2" x14ac:dyDescent="0.25">
      <c r="A29" s="348"/>
    </row>
    <row r="30" spans="1:2" x14ac:dyDescent="0.25">
      <c r="A30" s="348"/>
    </row>
    <row r="31" spans="1:2" x14ac:dyDescent="0.25">
      <c r="A31" s="348"/>
    </row>
    <row r="32" spans="1:2" x14ac:dyDescent="0.25">
      <c r="A32" s="349" t="s">
        <v>111</v>
      </c>
      <c r="B32" s="95" t="s">
        <v>95</v>
      </c>
    </row>
    <row r="33" spans="1:6" x14ac:dyDescent="0.25">
      <c r="A33" s="348"/>
      <c r="B33" s="600" t="s">
        <v>84</v>
      </c>
      <c r="C33" s="601"/>
      <c r="D33" s="601"/>
      <c r="E33" s="602"/>
      <c r="F33" s="99">
        <v>0.08</v>
      </c>
    </row>
    <row r="34" spans="1:6" x14ac:dyDescent="0.25">
      <c r="A34" s="348"/>
      <c r="B34" s="600" t="s">
        <v>85</v>
      </c>
      <c r="C34" s="601"/>
      <c r="D34" s="601"/>
      <c r="E34" s="602"/>
      <c r="F34" s="99">
        <v>0.12</v>
      </c>
    </row>
    <row r="35" spans="1:6" x14ac:dyDescent="0.25">
      <c r="A35" s="348"/>
      <c r="B35" s="600" t="s">
        <v>86</v>
      </c>
      <c r="C35" s="601"/>
      <c r="D35" s="601"/>
      <c r="E35" s="602"/>
      <c r="F35" s="99">
        <v>0.08</v>
      </c>
    </row>
    <row r="36" spans="1:6" x14ac:dyDescent="0.25">
      <c r="B36" s="600" t="s">
        <v>87</v>
      </c>
      <c r="C36" s="601"/>
      <c r="D36" s="601"/>
      <c r="E36" s="602"/>
      <c r="F36" s="99">
        <v>0</v>
      </c>
    </row>
    <row r="37" spans="1:6" x14ac:dyDescent="0.25">
      <c r="B37" s="600" t="s">
        <v>214</v>
      </c>
      <c r="C37" s="601"/>
      <c r="D37" s="601"/>
      <c r="E37" s="602"/>
      <c r="F37" s="100">
        <v>-8.5000000000000006E-2</v>
      </c>
    </row>
    <row r="38" spans="1:6" x14ac:dyDescent="0.25">
      <c r="B38" s="600" t="s">
        <v>215</v>
      </c>
      <c r="C38" s="601"/>
      <c r="D38" s="601"/>
      <c r="E38" s="602"/>
      <c r="F38" s="100">
        <v>-0.125</v>
      </c>
    </row>
    <row r="39" spans="1:6" x14ac:dyDescent="0.25">
      <c r="B39" s="600" t="s">
        <v>88</v>
      </c>
      <c r="C39" s="601"/>
      <c r="D39" s="601"/>
      <c r="E39" s="602"/>
      <c r="F39" s="99">
        <v>0.23</v>
      </c>
    </row>
    <row r="40" spans="1:6" x14ac:dyDescent="0.25">
      <c r="B40" s="600" t="s">
        <v>89</v>
      </c>
      <c r="C40" s="601"/>
      <c r="D40" s="601"/>
      <c r="E40" s="602"/>
      <c r="F40" s="101">
        <v>5.48</v>
      </c>
    </row>
    <row r="41" spans="1:6" x14ac:dyDescent="0.25">
      <c r="B41" s="600" t="s">
        <v>90</v>
      </c>
      <c r="C41" s="601"/>
      <c r="D41" s="601"/>
      <c r="E41" s="602"/>
      <c r="F41" s="101">
        <v>62.03</v>
      </c>
    </row>
    <row r="42" spans="1:6" x14ac:dyDescent="0.25">
      <c r="B42" s="600" t="s">
        <v>169</v>
      </c>
      <c r="C42" s="601"/>
      <c r="D42" s="601"/>
      <c r="E42" s="602"/>
      <c r="F42" s="101">
        <v>31.01</v>
      </c>
    </row>
    <row r="43" spans="1:6" x14ac:dyDescent="0.25">
      <c r="B43" s="600" t="s">
        <v>91</v>
      </c>
      <c r="C43" s="601"/>
      <c r="D43" s="601"/>
      <c r="E43" s="602"/>
      <c r="F43" s="102">
        <v>365.25</v>
      </c>
    </row>
    <row r="44" spans="1:6" x14ac:dyDescent="0.25">
      <c r="A44" s="88"/>
      <c r="C44" s="88"/>
      <c r="D44" s="88"/>
      <c r="E44" s="88"/>
    </row>
    <row r="45" spans="1:6" x14ac:dyDescent="0.25">
      <c r="A45" s="88"/>
      <c r="B45" s="88"/>
      <c r="C45" s="88"/>
      <c r="D45" s="88"/>
      <c r="E45" s="88"/>
    </row>
  </sheetData>
  <mergeCells count="11">
    <mergeCell ref="B42:E42"/>
    <mergeCell ref="B43:E43"/>
    <mergeCell ref="B33:E33"/>
    <mergeCell ref="B34:E34"/>
    <mergeCell ref="B36:E36"/>
    <mergeCell ref="B35:E35"/>
    <mergeCell ref="B38:E38"/>
    <mergeCell ref="B37:E37"/>
    <mergeCell ref="B39:E39"/>
    <mergeCell ref="B40:E40"/>
    <mergeCell ref="B41:E41"/>
  </mergeCells>
  <hyperlinks>
    <hyperlink ref="B19" r:id="rId1" display="http://www.ncpe.ie/wp-content/uploads/2016/09/Final-Guidelines-for-Inclusion-of-Drug-Costs-in-Pharmacoeconomic-Evaluation-v1.16.pdf" xr:uid="{00000000-0004-0000-0A00-000000000000}"/>
  </hyperlinks>
  <pageMargins left="0.7" right="0.7" top="0.75" bottom="0.75" header="0.3" footer="0.3"/>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0:AD106"/>
  <sheetViews>
    <sheetView showZeros="0" zoomScale="75" zoomScaleNormal="75" workbookViewId="0"/>
  </sheetViews>
  <sheetFormatPr defaultColWidth="9.140625" defaultRowHeight="15" x14ac:dyDescent="0.25"/>
  <cols>
    <col min="1" max="1" width="11.42578125" style="1" bestFit="1" customWidth="1"/>
    <col min="2" max="2" width="60.85546875" style="1" customWidth="1"/>
    <col min="3" max="3" width="11.28515625" style="1" bestFit="1" customWidth="1"/>
    <col min="4" max="4" width="21.140625" style="1" bestFit="1" customWidth="1"/>
    <col min="5" max="5" width="17.42578125" style="1" bestFit="1" customWidth="1"/>
    <col min="6" max="6" width="11" style="1" customWidth="1"/>
    <col min="7" max="7" width="10.42578125" style="1" customWidth="1"/>
    <col min="8" max="10" width="10.85546875" style="1" customWidth="1"/>
    <col min="11" max="13" width="11" style="1" customWidth="1"/>
    <col min="14" max="14" width="16.85546875" style="1" customWidth="1"/>
    <col min="15" max="16" width="11.28515625" style="1" bestFit="1" customWidth="1"/>
    <col min="17" max="17" width="14.7109375" style="1" bestFit="1" customWidth="1"/>
    <col min="18" max="21" width="11" style="1" customWidth="1"/>
    <col min="22" max="22" width="11.42578125" style="1" bestFit="1" customWidth="1"/>
    <col min="23" max="23" width="14.7109375" style="1" bestFit="1" customWidth="1"/>
    <col min="24" max="26" width="9.140625" style="1"/>
    <col min="27" max="28" width="11.28515625" style="1" bestFit="1" customWidth="1"/>
    <col min="29" max="29" width="14.7109375" style="1" bestFit="1" customWidth="1"/>
    <col min="30" max="30" width="21" style="1" customWidth="1"/>
    <col min="31" max="16384" width="9.140625" style="1"/>
  </cols>
  <sheetData>
    <row r="10" spans="6:6" x14ac:dyDescent="0.25">
      <c r="F10" s="103"/>
    </row>
    <row r="17" spans="1:25" ht="15" customHeight="1" x14ac:dyDescent="0.25">
      <c r="B17" s="421" t="s">
        <v>170</v>
      </c>
      <c r="C17" s="421"/>
      <c r="D17" s="421"/>
      <c r="E17" s="421"/>
      <c r="F17" s="421"/>
      <c r="G17" s="421"/>
      <c r="H17" s="421"/>
      <c r="I17" s="421"/>
      <c r="J17" s="421"/>
      <c r="K17" s="49"/>
    </row>
    <row r="18" spans="1:25" x14ac:dyDescent="0.25">
      <c r="A18" s="7"/>
      <c r="B18" s="421"/>
      <c r="C18" s="421"/>
      <c r="D18" s="421"/>
      <c r="E18" s="421"/>
      <c r="F18" s="421"/>
      <c r="G18" s="421"/>
      <c r="H18" s="421"/>
      <c r="I18" s="421"/>
      <c r="J18" s="421"/>
      <c r="K18" s="49"/>
    </row>
    <row r="19" spans="1:25" x14ac:dyDescent="0.25">
      <c r="A19" s="7"/>
      <c r="B19" s="421"/>
      <c r="C19" s="421"/>
      <c r="D19" s="421"/>
      <c r="E19" s="421"/>
      <c r="F19" s="421"/>
      <c r="G19" s="421"/>
      <c r="H19" s="421"/>
      <c r="I19" s="421"/>
      <c r="J19" s="421"/>
      <c r="K19" s="49"/>
    </row>
    <row r="20" spans="1:25" x14ac:dyDescent="0.25">
      <c r="A20" s="7"/>
      <c r="B20" s="421"/>
      <c r="C20" s="421"/>
      <c r="D20" s="421"/>
      <c r="E20" s="421"/>
      <c r="F20" s="421"/>
      <c r="G20" s="421"/>
      <c r="H20" s="421"/>
      <c r="I20" s="421"/>
      <c r="J20" s="421"/>
      <c r="K20" s="49"/>
    </row>
    <row r="21" spans="1:25" x14ac:dyDescent="0.25">
      <c r="A21" s="7"/>
      <c r="B21" s="37"/>
      <c r="C21" s="37"/>
      <c r="D21" s="37"/>
      <c r="E21" s="37"/>
      <c r="F21" s="37"/>
      <c r="G21" s="37"/>
      <c r="H21" s="37"/>
      <c r="I21" s="37"/>
      <c r="J21" s="37"/>
      <c r="K21" s="49"/>
    </row>
    <row r="22" spans="1:25" x14ac:dyDescent="0.25">
      <c r="A22" s="7"/>
      <c r="B22" s="42"/>
      <c r="C22" s="37"/>
      <c r="D22" s="37"/>
      <c r="E22" s="37"/>
      <c r="F22" s="128"/>
      <c r="G22" s="37"/>
      <c r="H22" s="37"/>
      <c r="I22" s="37"/>
      <c r="J22" s="37"/>
      <c r="K22" s="49"/>
    </row>
    <row r="23" spans="1:25" x14ac:dyDescent="0.25">
      <c r="A23" s="7"/>
      <c r="B23" s="37"/>
      <c r="C23" s="37"/>
      <c r="D23" s="37"/>
      <c r="E23" s="37"/>
      <c r="F23" s="37"/>
      <c r="G23" s="37"/>
      <c r="H23" s="37"/>
      <c r="I23" s="37"/>
      <c r="J23" s="37"/>
      <c r="K23" s="49"/>
    </row>
    <row r="24" spans="1:25" ht="15.75" thickBot="1" x14ac:dyDescent="0.3"/>
    <row r="25" spans="1:25" ht="15.75" thickBot="1" x14ac:dyDescent="0.3">
      <c r="H25" s="603" t="s">
        <v>178</v>
      </c>
      <c r="I25" s="604"/>
      <c r="J25" s="604"/>
      <c r="K25" s="604"/>
      <c r="L25" s="604"/>
      <c r="M25" s="604"/>
      <c r="N25" s="604"/>
      <c r="O25" s="604"/>
      <c r="P25" s="605"/>
      <c r="Q25" s="603" t="s">
        <v>179</v>
      </c>
      <c r="R25" s="604"/>
      <c r="S25" s="604"/>
      <c r="T25" s="604"/>
      <c r="U25" s="604"/>
      <c r="V25" s="604"/>
      <c r="W25" s="604"/>
      <c r="X25" s="604"/>
      <c r="Y25" s="605"/>
    </row>
    <row r="26" spans="1:25" ht="15.75" thickBot="1" x14ac:dyDescent="0.3">
      <c r="B26" s="621" t="s">
        <v>64</v>
      </c>
      <c r="C26" s="622"/>
      <c r="D26" s="50" t="s">
        <v>65</v>
      </c>
      <c r="E26" s="50" t="s">
        <v>66</v>
      </c>
      <c r="F26" s="50" t="s">
        <v>67</v>
      </c>
      <c r="G26" s="51" t="s">
        <v>68</v>
      </c>
      <c r="H26" s="617" t="s">
        <v>54</v>
      </c>
      <c r="I26" s="615"/>
      <c r="J26" s="615"/>
      <c r="K26" s="615" t="s">
        <v>55</v>
      </c>
      <c r="L26" s="615"/>
      <c r="M26" s="615"/>
      <c r="N26" s="615" t="s">
        <v>56</v>
      </c>
      <c r="O26" s="615"/>
      <c r="P26" s="616"/>
      <c r="Q26" s="617" t="s">
        <v>54</v>
      </c>
      <c r="R26" s="615"/>
      <c r="S26" s="615"/>
      <c r="T26" s="615" t="s">
        <v>55</v>
      </c>
      <c r="U26" s="615"/>
      <c r="V26" s="615"/>
      <c r="W26" s="615" t="s">
        <v>56</v>
      </c>
      <c r="X26" s="615"/>
      <c r="Y26" s="616"/>
    </row>
    <row r="27" spans="1:25" x14ac:dyDescent="0.25">
      <c r="B27" s="623" t="str">
        <f>'Patient Population'!B28:D28</f>
        <v>Prevalent patients</v>
      </c>
      <c r="C27" s="624"/>
      <c r="D27" s="52">
        <v>1</v>
      </c>
      <c r="E27" s="54" t="s">
        <v>69</v>
      </c>
      <c r="F27" s="55">
        <v>-0.2</v>
      </c>
      <c r="G27" s="55">
        <v>0.2</v>
      </c>
      <c r="H27" s="618">
        <v>0</v>
      </c>
      <c r="I27" s="619"/>
      <c r="J27" s="619"/>
      <c r="K27" s="619">
        <v>0</v>
      </c>
      <c r="L27" s="619"/>
      <c r="M27" s="619"/>
      <c r="N27" s="619">
        <v>0</v>
      </c>
      <c r="O27" s="619"/>
      <c r="P27" s="620"/>
      <c r="Q27" s="618">
        <v>0</v>
      </c>
      <c r="R27" s="619"/>
      <c r="S27" s="619"/>
      <c r="T27" s="619">
        <v>0</v>
      </c>
      <c r="U27" s="619"/>
      <c r="V27" s="619"/>
      <c r="W27" s="619">
        <v>0</v>
      </c>
      <c r="X27" s="619"/>
      <c r="Y27" s="620"/>
    </row>
    <row r="28" spans="1:25" x14ac:dyDescent="0.25">
      <c r="B28" s="625" t="str">
        <f>'Patient Population'!B29:D29</f>
        <v>Incident patients</v>
      </c>
      <c r="C28" s="626"/>
      <c r="D28" s="52">
        <v>2</v>
      </c>
      <c r="E28" s="54" t="s">
        <v>69</v>
      </c>
      <c r="F28" s="55">
        <v>-0.2</v>
      </c>
      <c r="G28" s="55">
        <v>0.2</v>
      </c>
      <c r="H28" s="612">
        <v>0</v>
      </c>
      <c r="I28" s="613"/>
      <c r="J28" s="613"/>
      <c r="K28" s="613">
        <v>0</v>
      </c>
      <c r="L28" s="613"/>
      <c r="M28" s="613"/>
      <c r="N28" s="613">
        <v>0</v>
      </c>
      <c r="O28" s="613"/>
      <c r="P28" s="614"/>
      <c r="Q28" s="612">
        <v>0</v>
      </c>
      <c r="R28" s="613"/>
      <c r="S28" s="613"/>
      <c r="T28" s="613">
        <v>0</v>
      </c>
      <c r="U28" s="613"/>
      <c r="V28" s="613"/>
      <c r="W28" s="613">
        <v>0</v>
      </c>
      <c r="X28" s="613"/>
      <c r="Y28" s="614"/>
    </row>
    <row r="29" spans="1:25" x14ac:dyDescent="0.25">
      <c r="B29" s="625" t="str">
        <f>'Patient Population'!B31:D31</f>
        <v>Mortality rate in patients with condition</v>
      </c>
      <c r="C29" s="626"/>
      <c r="D29" s="52">
        <v>3</v>
      </c>
      <c r="E29" s="54" t="s">
        <v>69</v>
      </c>
      <c r="F29" s="55">
        <v>-0.2</v>
      </c>
      <c r="G29" s="55">
        <v>0.2</v>
      </c>
      <c r="H29" s="612">
        <v>0</v>
      </c>
      <c r="I29" s="613"/>
      <c r="J29" s="613"/>
      <c r="K29" s="613">
        <v>0</v>
      </c>
      <c r="L29" s="613"/>
      <c r="M29" s="613"/>
      <c r="N29" s="613">
        <v>0</v>
      </c>
      <c r="O29" s="613"/>
      <c r="P29" s="614"/>
      <c r="Q29" s="612">
        <v>0</v>
      </c>
      <c r="R29" s="613"/>
      <c r="S29" s="613"/>
      <c r="T29" s="613">
        <v>0</v>
      </c>
      <c r="U29" s="613"/>
      <c r="V29" s="613"/>
      <c r="W29" s="613">
        <v>0</v>
      </c>
      <c r="X29" s="613"/>
      <c r="Y29" s="614"/>
    </row>
    <row r="30" spans="1:25" x14ac:dyDescent="0.25">
      <c r="B30" s="625" t="str">
        <f>'Patient Population'!B33:D33</f>
        <v>Patients eligible for the new intervention under the license (%)</v>
      </c>
      <c r="C30" s="626"/>
      <c r="D30" s="52">
        <v>4</v>
      </c>
      <c r="E30" s="54" t="s">
        <v>69</v>
      </c>
      <c r="F30" s="55">
        <v>-0.2</v>
      </c>
      <c r="G30" s="55">
        <v>0.2</v>
      </c>
      <c r="H30" s="612">
        <v>0</v>
      </c>
      <c r="I30" s="613"/>
      <c r="J30" s="613"/>
      <c r="K30" s="613">
        <v>0</v>
      </c>
      <c r="L30" s="613"/>
      <c r="M30" s="613"/>
      <c r="N30" s="613">
        <v>0</v>
      </c>
      <c r="O30" s="613"/>
      <c r="P30" s="614"/>
      <c r="Q30" s="612">
        <v>0</v>
      </c>
      <c r="R30" s="613"/>
      <c r="S30" s="613"/>
      <c r="T30" s="613">
        <v>0</v>
      </c>
      <c r="U30" s="613"/>
      <c r="V30" s="613"/>
      <c r="W30" s="613">
        <v>0</v>
      </c>
      <c r="X30" s="613"/>
      <c r="Y30" s="614"/>
    </row>
    <row r="31" spans="1:25" x14ac:dyDescent="0.25">
      <c r="B31" s="625" t="str">
        <f>'Patient Population'!B35:D35</f>
        <v>Sub-population of eligible patient population under consideration (%)</v>
      </c>
      <c r="C31" s="626"/>
      <c r="D31" s="52">
        <v>5</v>
      </c>
      <c r="E31" s="54" t="s">
        <v>69</v>
      </c>
      <c r="F31" s="55">
        <v>-0.2</v>
      </c>
      <c r="G31" s="55">
        <v>0.2</v>
      </c>
      <c r="H31" s="612">
        <v>0</v>
      </c>
      <c r="I31" s="613"/>
      <c r="J31" s="613"/>
      <c r="K31" s="613">
        <v>0</v>
      </c>
      <c r="L31" s="613"/>
      <c r="M31" s="613"/>
      <c r="N31" s="613">
        <v>0</v>
      </c>
      <c r="O31" s="613"/>
      <c r="P31" s="614"/>
      <c r="Q31" s="612">
        <v>0</v>
      </c>
      <c r="R31" s="613"/>
      <c r="S31" s="613"/>
      <c r="T31" s="613">
        <v>0</v>
      </c>
      <c r="U31" s="613"/>
      <c r="V31" s="613"/>
      <c r="W31" s="613">
        <v>0</v>
      </c>
      <c r="X31" s="613"/>
      <c r="Y31" s="614"/>
    </row>
    <row r="32" spans="1:25" x14ac:dyDescent="0.25">
      <c r="B32" s="625" t="str">
        <f>'Patient Population'!B65:G65</f>
        <v>Market share with intervention</v>
      </c>
      <c r="C32" s="626"/>
      <c r="D32" s="52">
        <v>6</v>
      </c>
      <c r="E32" s="54" t="s">
        <v>69</v>
      </c>
      <c r="F32" s="55">
        <v>-0.2</v>
      </c>
      <c r="G32" s="55">
        <v>0.2</v>
      </c>
      <c r="H32" s="612">
        <v>0</v>
      </c>
      <c r="I32" s="613"/>
      <c r="J32" s="613"/>
      <c r="K32" s="613">
        <v>0</v>
      </c>
      <c r="L32" s="613"/>
      <c r="M32" s="613"/>
      <c r="N32" s="613">
        <v>0</v>
      </c>
      <c r="O32" s="613"/>
      <c r="P32" s="614"/>
      <c r="Q32" s="612">
        <v>0</v>
      </c>
      <c r="R32" s="613"/>
      <c r="S32" s="613"/>
      <c r="T32" s="613">
        <v>0</v>
      </c>
      <c r="U32" s="613"/>
      <c r="V32" s="613"/>
      <c r="W32" s="613">
        <v>0</v>
      </c>
      <c r="X32" s="613"/>
      <c r="Y32" s="614"/>
    </row>
    <row r="33" spans="2:25" x14ac:dyDescent="0.25">
      <c r="B33" s="625" t="str">
        <f>'Patient Population'!B85:G85</f>
        <v>Discontinuation rates</v>
      </c>
      <c r="C33" s="626"/>
      <c r="D33" s="52">
        <v>7</v>
      </c>
      <c r="E33" s="54" t="s">
        <v>69</v>
      </c>
      <c r="F33" s="55">
        <v>-0.2</v>
      </c>
      <c r="G33" s="55">
        <v>0.2</v>
      </c>
      <c r="H33" s="612">
        <v>0</v>
      </c>
      <c r="I33" s="613"/>
      <c r="J33" s="613"/>
      <c r="K33" s="613">
        <v>0</v>
      </c>
      <c r="L33" s="613"/>
      <c r="M33" s="613"/>
      <c r="N33" s="613">
        <v>0</v>
      </c>
      <c r="O33" s="613"/>
      <c r="P33" s="614"/>
      <c r="Q33" s="612">
        <v>0</v>
      </c>
      <c r="R33" s="613"/>
      <c r="S33" s="613"/>
      <c r="T33" s="613">
        <v>0</v>
      </c>
      <c r="U33" s="613"/>
      <c r="V33" s="613"/>
      <c r="W33" s="613">
        <v>0</v>
      </c>
      <c r="X33" s="613"/>
      <c r="Y33" s="614"/>
    </row>
    <row r="34" spans="2:25" x14ac:dyDescent="0.25">
      <c r="B34" s="625" t="s">
        <v>62</v>
      </c>
      <c r="C34" s="626"/>
      <c r="D34" s="52">
        <v>8</v>
      </c>
      <c r="E34" s="54" t="s">
        <v>69</v>
      </c>
      <c r="F34" s="55">
        <v>-0.2</v>
      </c>
      <c r="G34" s="55">
        <v>0.2</v>
      </c>
      <c r="H34" s="612">
        <v>0</v>
      </c>
      <c r="I34" s="613"/>
      <c r="J34" s="613"/>
      <c r="K34" s="613">
        <v>0</v>
      </c>
      <c r="L34" s="613"/>
      <c r="M34" s="613"/>
      <c r="N34" s="613">
        <v>0</v>
      </c>
      <c r="O34" s="613"/>
      <c r="P34" s="614"/>
      <c r="Q34" s="612">
        <v>0</v>
      </c>
      <c r="R34" s="613"/>
      <c r="S34" s="613"/>
      <c r="T34" s="613">
        <v>0</v>
      </c>
      <c r="U34" s="613"/>
      <c r="V34" s="613"/>
      <c r="W34" s="613">
        <v>0</v>
      </c>
      <c r="X34" s="613"/>
      <c r="Y34" s="614"/>
    </row>
    <row r="35" spans="2:25" x14ac:dyDescent="0.25">
      <c r="B35" s="625" t="s">
        <v>63</v>
      </c>
      <c r="C35" s="626"/>
      <c r="D35" s="52">
        <v>9</v>
      </c>
      <c r="E35" s="54" t="s">
        <v>69</v>
      </c>
      <c r="F35" s="55">
        <v>-0.2</v>
      </c>
      <c r="G35" s="55">
        <v>0.2</v>
      </c>
      <c r="H35" s="612">
        <v>0</v>
      </c>
      <c r="I35" s="613"/>
      <c r="J35" s="613"/>
      <c r="K35" s="613">
        <v>0</v>
      </c>
      <c r="L35" s="613"/>
      <c r="M35" s="613"/>
      <c r="N35" s="613">
        <v>0</v>
      </c>
      <c r="O35" s="613"/>
      <c r="P35" s="614"/>
      <c r="Q35" s="612">
        <v>0</v>
      </c>
      <c r="R35" s="613"/>
      <c r="S35" s="613"/>
      <c r="T35" s="613">
        <v>0</v>
      </c>
      <c r="U35" s="613"/>
      <c r="V35" s="613"/>
      <c r="W35" s="613">
        <v>0</v>
      </c>
      <c r="X35" s="613"/>
      <c r="Y35" s="614"/>
    </row>
    <row r="36" spans="2:25" x14ac:dyDescent="0.25">
      <c r="B36" s="625" t="str">
        <f>'Additional Costs'!B25:E25</f>
        <v>Cost/cost-offset per patient per year</v>
      </c>
      <c r="C36" s="626"/>
      <c r="D36" s="52">
        <v>10</v>
      </c>
      <c r="E36" s="54" t="s">
        <v>69</v>
      </c>
      <c r="F36" s="55">
        <v>-0.2</v>
      </c>
      <c r="G36" s="55">
        <v>0.2</v>
      </c>
      <c r="H36" s="612">
        <v>0</v>
      </c>
      <c r="I36" s="613"/>
      <c r="J36" s="613"/>
      <c r="K36" s="613">
        <v>0</v>
      </c>
      <c r="L36" s="613"/>
      <c r="M36" s="613"/>
      <c r="N36" s="613">
        <v>0</v>
      </c>
      <c r="O36" s="613"/>
      <c r="P36" s="614"/>
      <c r="Q36" s="612">
        <v>0</v>
      </c>
      <c r="R36" s="613"/>
      <c r="S36" s="613"/>
      <c r="T36" s="613">
        <v>0</v>
      </c>
      <c r="U36" s="613"/>
      <c r="V36" s="613"/>
      <c r="W36" s="613">
        <v>0</v>
      </c>
      <c r="X36" s="613"/>
      <c r="Y36" s="614"/>
    </row>
    <row r="37" spans="2:25" x14ac:dyDescent="0.25">
      <c r="B37" s="627"/>
      <c r="C37" s="628"/>
      <c r="D37" s="52">
        <v>11</v>
      </c>
      <c r="E37" s="56"/>
      <c r="F37" s="56"/>
      <c r="G37" s="56"/>
      <c r="H37" s="606"/>
      <c r="I37" s="607"/>
      <c r="J37" s="607"/>
      <c r="K37" s="607"/>
      <c r="L37" s="607"/>
      <c r="M37" s="607"/>
      <c r="N37" s="607"/>
      <c r="O37" s="607"/>
      <c r="P37" s="608"/>
      <c r="Q37" s="606"/>
      <c r="R37" s="607"/>
      <c r="S37" s="607"/>
      <c r="T37" s="607"/>
      <c r="U37" s="607"/>
      <c r="V37" s="607"/>
      <c r="W37" s="607"/>
      <c r="X37" s="607"/>
      <c r="Y37" s="608"/>
    </row>
    <row r="38" spans="2:25" x14ac:dyDescent="0.25">
      <c r="B38" s="627"/>
      <c r="C38" s="628"/>
      <c r="D38" s="52">
        <v>12</v>
      </c>
      <c r="E38" s="56"/>
      <c r="F38" s="56"/>
      <c r="G38" s="56"/>
      <c r="H38" s="606"/>
      <c r="I38" s="607"/>
      <c r="J38" s="607"/>
      <c r="K38" s="607"/>
      <c r="L38" s="607"/>
      <c r="M38" s="607"/>
      <c r="N38" s="607"/>
      <c r="O38" s="607"/>
      <c r="P38" s="608"/>
      <c r="Q38" s="606"/>
      <c r="R38" s="607"/>
      <c r="S38" s="607"/>
      <c r="T38" s="607"/>
      <c r="U38" s="607"/>
      <c r="V38" s="607"/>
      <c r="W38" s="607"/>
      <c r="X38" s="607"/>
      <c r="Y38" s="608"/>
    </row>
    <row r="39" spans="2:25" x14ac:dyDescent="0.25">
      <c r="B39" s="627"/>
      <c r="C39" s="628"/>
      <c r="D39" s="52">
        <v>13</v>
      </c>
      <c r="E39" s="56"/>
      <c r="F39" s="56"/>
      <c r="G39" s="56"/>
      <c r="H39" s="606"/>
      <c r="I39" s="607"/>
      <c r="J39" s="607"/>
      <c r="K39" s="607"/>
      <c r="L39" s="607"/>
      <c r="M39" s="607"/>
      <c r="N39" s="607"/>
      <c r="O39" s="607"/>
      <c r="P39" s="608"/>
      <c r="Q39" s="606"/>
      <c r="R39" s="607"/>
      <c r="S39" s="607"/>
      <c r="T39" s="607"/>
      <c r="U39" s="607"/>
      <c r="V39" s="607"/>
      <c r="W39" s="607"/>
      <c r="X39" s="607"/>
      <c r="Y39" s="608"/>
    </row>
    <row r="40" spans="2:25" x14ac:dyDescent="0.25">
      <c r="B40" s="627"/>
      <c r="C40" s="628"/>
      <c r="D40" s="52">
        <v>14</v>
      </c>
      <c r="E40" s="56"/>
      <c r="F40" s="56"/>
      <c r="G40" s="56"/>
      <c r="H40" s="606"/>
      <c r="I40" s="607"/>
      <c r="J40" s="607"/>
      <c r="K40" s="607"/>
      <c r="L40" s="607"/>
      <c r="M40" s="607"/>
      <c r="N40" s="607"/>
      <c r="O40" s="607"/>
      <c r="P40" s="608"/>
      <c r="Q40" s="606"/>
      <c r="R40" s="607"/>
      <c r="S40" s="607"/>
      <c r="T40" s="607"/>
      <c r="U40" s="607"/>
      <c r="V40" s="607"/>
      <c r="W40" s="607"/>
      <c r="X40" s="607"/>
      <c r="Y40" s="608"/>
    </row>
    <row r="41" spans="2:25" x14ac:dyDescent="0.25">
      <c r="B41" s="627"/>
      <c r="C41" s="628"/>
      <c r="D41" s="52">
        <v>15</v>
      </c>
      <c r="E41" s="56"/>
      <c r="F41" s="56"/>
      <c r="G41" s="56"/>
      <c r="H41" s="606"/>
      <c r="I41" s="607"/>
      <c r="J41" s="607"/>
      <c r="K41" s="607"/>
      <c r="L41" s="607"/>
      <c r="M41" s="607"/>
      <c r="N41" s="607"/>
      <c r="O41" s="607"/>
      <c r="P41" s="608"/>
      <c r="Q41" s="606"/>
      <c r="R41" s="607"/>
      <c r="S41" s="607"/>
      <c r="T41" s="607"/>
      <c r="U41" s="607"/>
      <c r="V41" s="607"/>
      <c r="W41" s="607"/>
      <c r="X41" s="607"/>
      <c r="Y41" s="608"/>
    </row>
    <row r="42" spans="2:25" x14ac:dyDescent="0.25">
      <c r="B42" s="627"/>
      <c r="C42" s="628"/>
      <c r="D42" s="52">
        <v>16</v>
      </c>
      <c r="E42" s="56"/>
      <c r="F42" s="56"/>
      <c r="G42" s="56"/>
      <c r="H42" s="606"/>
      <c r="I42" s="607"/>
      <c r="J42" s="607"/>
      <c r="K42" s="607"/>
      <c r="L42" s="607"/>
      <c r="M42" s="607"/>
      <c r="N42" s="607"/>
      <c r="O42" s="607"/>
      <c r="P42" s="608"/>
      <c r="Q42" s="606"/>
      <c r="R42" s="607"/>
      <c r="S42" s="607"/>
      <c r="T42" s="607"/>
      <c r="U42" s="607"/>
      <c r="V42" s="607"/>
      <c r="W42" s="607"/>
      <c r="X42" s="607"/>
      <c r="Y42" s="608"/>
    </row>
    <row r="43" spans="2:25" x14ac:dyDescent="0.25">
      <c r="B43" s="627"/>
      <c r="C43" s="628"/>
      <c r="D43" s="52">
        <v>17</v>
      </c>
      <c r="E43" s="56"/>
      <c r="F43" s="56"/>
      <c r="G43" s="56"/>
      <c r="H43" s="606"/>
      <c r="I43" s="607"/>
      <c r="J43" s="607"/>
      <c r="K43" s="607"/>
      <c r="L43" s="607"/>
      <c r="M43" s="607"/>
      <c r="N43" s="607"/>
      <c r="O43" s="607"/>
      <c r="P43" s="608"/>
      <c r="Q43" s="606"/>
      <c r="R43" s="607"/>
      <c r="S43" s="607"/>
      <c r="T43" s="607"/>
      <c r="U43" s="607"/>
      <c r="V43" s="607"/>
      <c r="W43" s="607"/>
      <c r="X43" s="607"/>
      <c r="Y43" s="608"/>
    </row>
    <row r="44" spans="2:25" x14ac:dyDescent="0.25">
      <c r="B44" s="627"/>
      <c r="C44" s="628"/>
      <c r="D44" s="52">
        <v>18</v>
      </c>
      <c r="E44" s="56"/>
      <c r="F44" s="56"/>
      <c r="G44" s="56"/>
      <c r="H44" s="606"/>
      <c r="I44" s="607"/>
      <c r="J44" s="607"/>
      <c r="K44" s="607"/>
      <c r="L44" s="607"/>
      <c r="M44" s="607"/>
      <c r="N44" s="607"/>
      <c r="O44" s="607"/>
      <c r="P44" s="608"/>
      <c r="Q44" s="606"/>
      <c r="R44" s="607"/>
      <c r="S44" s="607"/>
      <c r="T44" s="607"/>
      <c r="U44" s="607"/>
      <c r="V44" s="607"/>
      <c r="W44" s="607"/>
      <c r="X44" s="607"/>
      <c r="Y44" s="608"/>
    </row>
    <row r="45" spans="2:25" x14ac:dyDescent="0.25">
      <c r="B45" s="627"/>
      <c r="C45" s="628"/>
      <c r="D45" s="52">
        <v>19</v>
      </c>
      <c r="E45" s="56"/>
      <c r="F45" s="56"/>
      <c r="G45" s="56"/>
      <c r="H45" s="606"/>
      <c r="I45" s="607"/>
      <c r="J45" s="607"/>
      <c r="K45" s="607"/>
      <c r="L45" s="607"/>
      <c r="M45" s="607"/>
      <c r="N45" s="607"/>
      <c r="O45" s="607"/>
      <c r="P45" s="608"/>
      <c r="Q45" s="606"/>
      <c r="R45" s="607"/>
      <c r="S45" s="607"/>
      <c r="T45" s="607"/>
      <c r="U45" s="607"/>
      <c r="V45" s="607"/>
      <c r="W45" s="607"/>
      <c r="X45" s="607"/>
      <c r="Y45" s="608"/>
    </row>
    <row r="46" spans="2:25" x14ac:dyDescent="0.25">
      <c r="B46" s="627"/>
      <c r="C46" s="628"/>
      <c r="D46" s="52">
        <v>20</v>
      </c>
      <c r="E46" s="56"/>
      <c r="F46" s="56"/>
      <c r="G46" s="56"/>
      <c r="H46" s="606"/>
      <c r="I46" s="607"/>
      <c r="J46" s="607"/>
      <c r="K46" s="607"/>
      <c r="L46" s="607"/>
      <c r="M46" s="607"/>
      <c r="N46" s="607"/>
      <c r="O46" s="607"/>
      <c r="P46" s="608"/>
      <c r="Q46" s="606"/>
      <c r="R46" s="607"/>
      <c r="S46" s="607"/>
      <c r="T46" s="607"/>
      <c r="U46" s="607"/>
      <c r="V46" s="607"/>
      <c r="W46" s="607"/>
      <c r="X46" s="607"/>
      <c r="Y46" s="608"/>
    </row>
    <row r="47" spans="2:25" x14ac:dyDescent="0.25">
      <c r="B47" s="627"/>
      <c r="C47" s="628"/>
      <c r="D47" s="52">
        <v>21</v>
      </c>
      <c r="E47" s="56"/>
      <c r="F47" s="56"/>
      <c r="G47" s="56"/>
      <c r="H47" s="606"/>
      <c r="I47" s="607"/>
      <c r="J47" s="607"/>
      <c r="K47" s="607"/>
      <c r="L47" s="607"/>
      <c r="M47" s="607"/>
      <c r="N47" s="607"/>
      <c r="O47" s="607"/>
      <c r="P47" s="608"/>
      <c r="Q47" s="606"/>
      <c r="R47" s="607"/>
      <c r="S47" s="607"/>
      <c r="T47" s="607"/>
      <c r="U47" s="607"/>
      <c r="V47" s="607"/>
      <c r="W47" s="607"/>
      <c r="X47" s="607"/>
      <c r="Y47" s="608"/>
    </row>
    <row r="48" spans="2:25" x14ac:dyDescent="0.25">
      <c r="B48" s="627"/>
      <c r="C48" s="628"/>
      <c r="D48" s="52">
        <v>22</v>
      </c>
      <c r="E48" s="56"/>
      <c r="F48" s="56"/>
      <c r="G48" s="56"/>
      <c r="H48" s="606"/>
      <c r="I48" s="607"/>
      <c r="J48" s="607"/>
      <c r="K48" s="607"/>
      <c r="L48" s="607"/>
      <c r="M48" s="607"/>
      <c r="N48" s="607"/>
      <c r="O48" s="607"/>
      <c r="P48" s="608"/>
      <c r="Q48" s="606"/>
      <c r="R48" s="607"/>
      <c r="S48" s="607"/>
      <c r="T48" s="607"/>
      <c r="U48" s="607"/>
      <c r="V48" s="607"/>
      <c r="W48" s="607"/>
      <c r="X48" s="607"/>
      <c r="Y48" s="608"/>
    </row>
    <row r="49" spans="2:30" ht="15.75" thickBot="1" x14ac:dyDescent="0.3">
      <c r="B49" s="627"/>
      <c r="C49" s="628"/>
      <c r="D49" s="53">
        <v>23</v>
      </c>
      <c r="E49" s="57"/>
      <c r="F49" s="57"/>
      <c r="G49" s="57"/>
      <c r="H49" s="609"/>
      <c r="I49" s="610"/>
      <c r="J49" s="610"/>
      <c r="K49" s="610"/>
      <c r="L49" s="610"/>
      <c r="M49" s="610"/>
      <c r="N49" s="610"/>
      <c r="O49" s="610"/>
      <c r="P49" s="611"/>
      <c r="Q49" s="609"/>
      <c r="R49" s="610"/>
      <c r="S49" s="610"/>
      <c r="T49" s="610"/>
      <c r="U49" s="610"/>
      <c r="V49" s="610"/>
      <c r="W49" s="610"/>
      <c r="X49" s="610"/>
      <c r="Y49" s="611"/>
    </row>
    <row r="53" spans="2:30" ht="15.75" thickBot="1" x14ac:dyDescent="0.3">
      <c r="I53" s="20"/>
      <c r="J53" s="20"/>
      <c r="K53" s="20"/>
      <c r="L53" s="20"/>
      <c r="M53" s="20"/>
      <c r="N53" s="20"/>
      <c r="O53" s="20"/>
      <c r="P53" s="20"/>
      <c r="Q53" s="20"/>
    </row>
    <row r="54" spans="2:30" ht="15.75" thickBot="1" x14ac:dyDescent="0.3">
      <c r="M54" s="603" t="s">
        <v>54</v>
      </c>
      <c r="N54" s="604"/>
      <c r="O54" s="604"/>
      <c r="P54" s="604"/>
      <c r="Q54" s="605"/>
      <c r="S54" s="603" t="s">
        <v>55</v>
      </c>
      <c r="T54" s="604"/>
      <c r="U54" s="604"/>
      <c r="V54" s="604"/>
      <c r="W54" s="605"/>
      <c r="X54" s="20"/>
      <c r="Y54" s="603" t="s">
        <v>56</v>
      </c>
      <c r="Z54" s="604"/>
      <c r="AA54" s="604"/>
      <c r="AB54" s="604"/>
      <c r="AC54" s="605"/>
    </row>
    <row r="55" spans="2:30" x14ac:dyDescent="0.25">
      <c r="X55" s="20"/>
    </row>
    <row r="56" spans="2:30" x14ac:dyDescent="0.25">
      <c r="M56" s="59" t="s">
        <v>70</v>
      </c>
      <c r="N56" s="61" t="s">
        <v>71</v>
      </c>
      <c r="O56" s="59" t="s">
        <v>67</v>
      </c>
      <c r="P56" s="59" t="s">
        <v>68</v>
      </c>
      <c r="Q56" s="59" t="s">
        <v>72</v>
      </c>
      <c r="R56" s="41"/>
      <c r="S56" s="59" t="s">
        <v>70</v>
      </c>
      <c r="T56" s="61" t="s">
        <v>71</v>
      </c>
      <c r="U56" s="59" t="s">
        <v>67</v>
      </c>
      <c r="V56" s="59" t="s">
        <v>68</v>
      </c>
      <c r="W56" s="59" t="s">
        <v>72</v>
      </c>
      <c r="X56" s="20"/>
      <c r="Y56" s="59" t="s">
        <v>70</v>
      </c>
      <c r="Z56" s="61" t="s">
        <v>71</v>
      </c>
      <c r="AA56" s="59" t="s">
        <v>67</v>
      </c>
      <c r="AB56" s="59" t="s">
        <v>68</v>
      </c>
      <c r="AC56" s="59" t="s">
        <v>72</v>
      </c>
      <c r="AD56" s="259"/>
    </row>
    <row r="57" spans="2:30" x14ac:dyDescent="0.25">
      <c r="M57" s="60" t="str">
        <f>IF(OR(Q57=0,Q57=""),"",RANK(Q57,Q$57:Q$79,0)+COUNTIF(Q$57:Q57,Q57)-1)</f>
        <v/>
      </c>
      <c r="N57" s="62" t="str">
        <f t="shared" ref="N57:N79" si="0">IF(B27="","",B27)</f>
        <v>Prevalent patients</v>
      </c>
      <c r="O57" s="122" t="str">
        <f>IF(H27=0,"",H27)</f>
        <v/>
      </c>
      <c r="P57" s="122" t="str">
        <f t="shared" ref="P57:P79" si="1">IF(Q27=0,"",Q27)</f>
        <v/>
      </c>
      <c r="Q57" s="122" t="str">
        <f t="shared" ref="Q57:Q79" si="2">IF(OR(O57="",P57=""),"",MAX(ABS(P57-O57),ABS(Gross_Drug_BI-O57),ABS(Gross_Drug_BI-P57)))</f>
        <v/>
      </c>
      <c r="R57" s="58"/>
      <c r="S57" s="60" t="str">
        <f>IF(OR(W57=0,W57=""),"",RANK(W57,W$57:W$79,0)+COUNTIF(W$57:W57,W57)-1)</f>
        <v/>
      </c>
      <c r="T57" s="62" t="str">
        <f t="shared" ref="T57:T79" si="3">IF(B27="","",B27)</f>
        <v>Prevalent patients</v>
      </c>
      <c r="U57" s="122" t="str">
        <f t="shared" ref="U57:U79" si="4">IF(K27=0,"",K27)</f>
        <v/>
      </c>
      <c r="V57" s="122" t="str">
        <f t="shared" ref="V57:V79" si="5">IF(T27=0,"",T27)</f>
        <v/>
      </c>
      <c r="W57" s="267" t="str">
        <f t="shared" ref="W57:W79" si="6">IF(OR(U57="",V57=""),"",MAX(ABS(V57-U57),ABS(Net_Drug_BI-U57),ABS(Net_Drug_BI-V57)))</f>
        <v/>
      </c>
      <c r="X57" s="20"/>
      <c r="Y57" s="60" t="str">
        <f>IF(OR(AC57=0,AC57=""),"",RANK(AC57,AC$57:AC$79,0)+COUNTIF(AC$57:AC57,AC57)-1)</f>
        <v/>
      </c>
      <c r="Z57" s="62" t="str">
        <f t="shared" ref="Z57:Z79" si="7">IF(B27="","",B27)</f>
        <v>Prevalent patients</v>
      </c>
      <c r="AA57" s="122" t="str">
        <f t="shared" ref="AA57:AA79" si="8">IF(N27=0,"",N27)</f>
        <v/>
      </c>
      <c r="AB57" s="122" t="str">
        <f t="shared" ref="AB57:AB79" si="9">IF(W27=0,"",W27)</f>
        <v/>
      </c>
      <c r="AC57" s="267" t="str">
        <f t="shared" ref="AC57:AC79" si="10">IF(OR(AA57="",AB57=""),"",MAX(ABS(AB57-AA57),ABS(Net_BI-AA57),ABS(Net_BI-AB57)))</f>
        <v/>
      </c>
    </row>
    <row r="58" spans="2:30" x14ac:dyDescent="0.25">
      <c r="M58" s="60" t="str">
        <f>IF(OR(Q58=0,Q58=""),"",RANK(Q58,Q$57:Q$79,0)+COUNTIF(Q$57:Q58,Q58)-1)</f>
        <v/>
      </c>
      <c r="N58" s="62" t="str">
        <f t="shared" si="0"/>
        <v>Incident patients</v>
      </c>
      <c r="O58" s="122" t="str">
        <f t="shared" ref="O58:O79" si="11">IF(H28=0,"",H28)</f>
        <v/>
      </c>
      <c r="P58" s="122" t="str">
        <f t="shared" si="1"/>
        <v/>
      </c>
      <c r="Q58" s="122" t="str">
        <f t="shared" si="2"/>
        <v/>
      </c>
      <c r="R58" s="58"/>
      <c r="S58" s="60" t="str">
        <f>IF(OR(W58=0,W58=""),"",RANK(W58,W$57:W$79,0)+COUNTIF(W$57:W58,W58)-1)</f>
        <v/>
      </c>
      <c r="T58" s="62" t="str">
        <f t="shared" si="3"/>
        <v>Incident patients</v>
      </c>
      <c r="U58" s="122" t="str">
        <f t="shared" si="4"/>
        <v/>
      </c>
      <c r="V58" s="122" t="str">
        <f t="shared" si="5"/>
        <v/>
      </c>
      <c r="W58" s="267" t="str">
        <f t="shared" si="6"/>
        <v/>
      </c>
      <c r="X58" s="20"/>
      <c r="Y58" s="60" t="str">
        <f>IF(OR(AC58=0,AC58=""),"",RANK(AC58,AC$57:AC$79,0)+COUNTIF(AC$57:AC58,AC58)-1)</f>
        <v/>
      </c>
      <c r="Z58" s="62" t="str">
        <f t="shared" si="7"/>
        <v>Incident patients</v>
      </c>
      <c r="AA58" s="122" t="str">
        <f t="shared" si="8"/>
        <v/>
      </c>
      <c r="AB58" s="122" t="str">
        <f t="shared" si="9"/>
        <v/>
      </c>
      <c r="AC58" s="267" t="str">
        <f t="shared" si="10"/>
        <v/>
      </c>
    </row>
    <row r="59" spans="2:30" x14ac:dyDescent="0.25">
      <c r="M59" s="60" t="str">
        <f>IF(OR(Q59=0,Q59=""),"",RANK(Q59,Q$57:Q$79,0)+COUNTIF(Q$57:Q59,Q59)-1)</f>
        <v/>
      </c>
      <c r="N59" s="62" t="str">
        <f t="shared" si="0"/>
        <v>Mortality rate in patients with condition</v>
      </c>
      <c r="O59" s="122" t="str">
        <f t="shared" si="11"/>
        <v/>
      </c>
      <c r="P59" s="122" t="str">
        <f t="shared" si="1"/>
        <v/>
      </c>
      <c r="Q59" s="122" t="str">
        <f t="shared" si="2"/>
        <v/>
      </c>
      <c r="R59" s="58"/>
      <c r="S59" s="60" t="str">
        <f>IF(OR(W59=0,W59=""),"",RANK(W59,W$57:W$79,0)+COUNTIF(W$57:W59,W59)-1)</f>
        <v/>
      </c>
      <c r="T59" s="62" t="str">
        <f t="shared" si="3"/>
        <v>Mortality rate in patients with condition</v>
      </c>
      <c r="U59" s="122" t="str">
        <f t="shared" si="4"/>
        <v/>
      </c>
      <c r="V59" s="122" t="str">
        <f t="shared" si="5"/>
        <v/>
      </c>
      <c r="W59" s="267" t="str">
        <f t="shared" si="6"/>
        <v/>
      </c>
      <c r="X59" s="20"/>
      <c r="Y59" s="60" t="str">
        <f>IF(OR(AC59=0,AC59=""),"",RANK(AC59,AC$57:AC$79,0)+COUNTIF(AC$57:AC59,AC59)-1)</f>
        <v/>
      </c>
      <c r="Z59" s="62" t="str">
        <f t="shared" si="7"/>
        <v>Mortality rate in patients with condition</v>
      </c>
      <c r="AA59" s="122" t="str">
        <f t="shared" si="8"/>
        <v/>
      </c>
      <c r="AB59" s="122" t="str">
        <f t="shared" si="9"/>
        <v/>
      </c>
      <c r="AC59" s="267" t="str">
        <f t="shared" si="10"/>
        <v/>
      </c>
    </row>
    <row r="60" spans="2:30" x14ac:dyDescent="0.25">
      <c r="M60" s="60" t="str">
        <f>IF(OR(Q60=0,Q60=""),"",RANK(Q60,Q$57:Q$79,0)+COUNTIF(Q$57:Q60,Q60)-1)</f>
        <v/>
      </c>
      <c r="N60" s="62" t="str">
        <f t="shared" si="0"/>
        <v>Patients eligible for the new intervention under the license (%)</v>
      </c>
      <c r="O60" s="122" t="str">
        <f t="shared" si="11"/>
        <v/>
      </c>
      <c r="P60" s="122" t="str">
        <f t="shared" si="1"/>
        <v/>
      </c>
      <c r="Q60" s="122" t="str">
        <f t="shared" si="2"/>
        <v/>
      </c>
      <c r="R60" s="58"/>
      <c r="S60" s="60" t="str">
        <f>IF(OR(W60=0,W60=""),"",RANK(W60,W$57:W$79,0)+COUNTIF(W$57:W60,W60)-1)</f>
        <v/>
      </c>
      <c r="T60" s="62" t="str">
        <f t="shared" si="3"/>
        <v>Patients eligible for the new intervention under the license (%)</v>
      </c>
      <c r="U60" s="122" t="str">
        <f t="shared" si="4"/>
        <v/>
      </c>
      <c r="V60" s="122" t="str">
        <f t="shared" si="5"/>
        <v/>
      </c>
      <c r="W60" s="267" t="str">
        <f t="shared" si="6"/>
        <v/>
      </c>
      <c r="X60" s="20"/>
      <c r="Y60" s="60" t="str">
        <f>IF(OR(AC60=0,AC60=""),"",RANK(AC60,AC$57:AC$79,0)+COUNTIF(AC$57:AC60,AC60)-1)</f>
        <v/>
      </c>
      <c r="Z60" s="62" t="str">
        <f t="shared" si="7"/>
        <v>Patients eligible for the new intervention under the license (%)</v>
      </c>
      <c r="AA60" s="122" t="str">
        <f t="shared" si="8"/>
        <v/>
      </c>
      <c r="AB60" s="122" t="str">
        <f t="shared" si="9"/>
        <v/>
      </c>
      <c r="AC60" s="267" t="str">
        <f t="shared" si="10"/>
        <v/>
      </c>
    </row>
    <row r="61" spans="2:30" x14ac:dyDescent="0.25">
      <c r="M61" s="60" t="str">
        <f>IF(OR(Q61=0,Q61=""),"",RANK(Q61,Q$57:Q$79,0)+COUNTIF(Q$57:Q61,Q61)-1)</f>
        <v/>
      </c>
      <c r="N61" s="62" t="str">
        <f t="shared" si="0"/>
        <v>Sub-population of eligible patient population under consideration (%)</v>
      </c>
      <c r="O61" s="122" t="str">
        <f t="shared" si="11"/>
        <v/>
      </c>
      <c r="P61" s="122" t="str">
        <f t="shared" si="1"/>
        <v/>
      </c>
      <c r="Q61" s="122" t="str">
        <f t="shared" si="2"/>
        <v/>
      </c>
      <c r="R61" s="58"/>
      <c r="S61" s="60" t="str">
        <f>IF(OR(W61=0,W61=""),"",RANK(W61,W$57:W$79,0)+COUNTIF(W$57:W61,W61)-1)</f>
        <v/>
      </c>
      <c r="T61" s="62" t="str">
        <f t="shared" si="3"/>
        <v>Sub-population of eligible patient population under consideration (%)</v>
      </c>
      <c r="U61" s="122" t="str">
        <f t="shared" si="4"/>
        <v/>
      </c>
      <c r="V61" s="122" t="str">
        <f t="shared" si="5"/>
        <v/>
      </c>
      <c r="W61" s="267" t="str">
        <f t="shared" si="6"/>
        <v/>
      </c>
      <c r="Y61" s="60" t="str">
        <f>IF(OR(AC61=0,AC61=""),"",RANK(AC61,AC$57:AC$79,0)+COUNTIF(AC$57:AC61,AC61)-1)</f>
        <v/>
      </c>
      <c r="Z61" s="62" t="str">
        <f t="shared" si="7"/>
        <v>Sub-population of eligible patient population under consideration (%)</v>
      </c>
      <c r="AA61" s="122" t="str">
        <f t="shared" si="8"/>
        <v/>
      </c>
      <c r="AB61" s="122" t="str">
        <f t="shared" si="9"/>
        <v/>
      </c>
      <c r="AC61" s="267" t="str">
        <f t="shared" si="10"/>
        <v/>
      </c>
    </row>
    <row r="62" spans="2:30" x14ac:dyDescent="0.25">
      <c r="M62" s="60" t="str">
        <f>IF(OR(Q62=0,Q62=""),"",RANK(Q62,Q$57:Q$79,0)+COUNTIF(Q$57:Q62,Q62)-1)</f>
        <v/>
      </c>
      <c r="N62" s="62" t="str">
        <f t="shared" si="0"/>
        <v>Market share with intervention</v>
      </c>
      <c r="O62" s="122" t="str">
        <f t="shared" si="11"/>
        <v/>
      </c>
      <c r="P62" s="122" t="str">
        <f t="shared" si="1"/>
        <v/>
      </c>
      <c r="Q62" s="122" t="str">
        <f t="shared" si="2"/>
        <v/>
      </c>
      <c r="R62" s="58"/>
      <c r="S62" s="60" t="str">
        <f>IF(OR(W62=0,W62=""),"",RANK(W62,W$57:W$79,0)+COUNTIF(W$57:W62,W62)-1)</f>
        <v/>
      </c>
      <c r="T62" s="62" t="str">
        <f t="shared" si="3"/>
        <v>Market share with intervention</v>
      </c>
      <c r="U62" s="122" t="str">
        <f t="shared" si="4"/>
        <v/>
      </c>
      <c r="V62" s="122" t="str">
        <f t="shared" si="5"/>
        <v/>
      </c>
      <c r="W62" s="267" t="str">
        <f t="shared" si="6"/>
        <v/>
      </c>
      <c r="Y62" s="60" t="str">
        <f>IF(OR(AC62=0,AC62=""),"",RANK(AC62,AC$57:AC$79,0)+COUNTIF(AC$57:AC62,AC62)-1)</f>
        <v/>
      </c>
      <c r="Z62" s="62" t="str">
        <f t="shared" si="7"/>
        <v>Market share with intervention</v>
      </c>
      <c r="AA62" s="122" t="str">
        <f t="shared" si="8"/>
        <v/>
      </c>
      <c r="AB62" s="122" t="str">
        <f t="shared" si="9"/>
        <v/>
      </c>
      <c r="AC62" s="267" t="str">
        <f t="shared" si="10"/>
        <v/>
      </c>
    </row>
    <row r="63" spans="2:30" x14ac:dyDescent="0.25">
      <c r="M63" s="60" t="str">
        <f>IF(OR(Q63=0,Q63=""),"",RANK(Q63,Q$57:Q$79,0)+COUNTIF(Q$57:Q63,Q63)-1)</f>
        <v/>
      </c>
      <c r="N63" s="62" t="str">
        <f t="shared" si="0"/>
        <v>Discontinuation rates</v>
      </c>
      <c r="O63" s="122" t="str">
        <f t="shared" si="11"/>
        <v/>
      </c>
      <c r="P63" s="122" t="str">
        <f t="shared" si="1"/>
        <v/>
      </c>
      <c r="Q63" s="122" t="str">
        <f t="shared" si="2"/>
        <v/>
      </c>
      <c r="R63" s="58"/>
      <c r="S63" s="60" t="str">
        <f>IF(OR(W63=0,W63=""),"",RANK(W63,W$57:W$79,0)+COUNTIF(W$57:W63,W63)-1)</f>
        <v/>
      </c>
      <c r="T63" s="62" t="str">
        <f t="shared" si="3"/>
        <v>Discontinuation rates</v>
      </c>
      <c r="U63" s="122" t="str">
        <f t="shared" si="4"/>
        <v/>
      </c>
      <c r="V63" s="122" t="str">
        <f t="shared" si="5"/>
        <v/>
      </c>
      <c r="W63" s="267" t="str">
        <f t="shared" si="6"/>
        <v/>
      </c>
      <c r="Y63" s="60" t="str">
        <f>IF(OR(AC63=0,AC63=""),"",RANK(AC63,AC$57:AC$79,0)+COUNTIF(AC$57:AC63,AC63)-1)</f>
        <v/>
      </c>
      <c r="Z63" s="62" t="str">
        <f t="shared" si="7"/>
        <v>Discontinuation rates</v>
      </c>
      <c r="AA63" s="122" t="str">
        <f t="shared" si="8"/>
        <v/>
      </c>
      <c r="AB63" s="122" t="str">
        <f t="shared" si="9"/>
        <v/>
      </c>
      <c r="AC63" s="267" t="str">
        <f t="shared" si="10"/>
        <v/>
      </c>
    </row>
    <row r="64" spans="2:30" x14ac:dyDescent="0.25">
      <c r="M64" s="60" t="str">
        <f>IF(OR(Q64=0,Q64=""),"",RANK(Q64,Q$57:Q$79,0)+COUNTIF(Q$57:Q64,Q64)-1)</f>
        <v/>
      </c>
      <c r="N64" s="62" t="str">
        <f t="shared" si="0"/>
        <v>Cost of intervention</v>
      </c>
      <c r="O64" s="122" t="str">
        <f t="shared" si="11"/>
        <v/>
      </c>
      <c r="P64" s="122" t="str">
        <f t="shared" si="1"/>
        <v/>
      </c>
      <c r="Q64" s="122" t="str">
        <f t="shared" si="2"/>
        <v/>
      </c>
      <c r="R64" s="58"/>
      <c r="S64" s="60" t="str">
        <f>IF(OR(W64=0,W64=""),"",RANK(W64,W$57:W$79,0)+COUNTIF(W$57:W64,W64)-1)</f>
        <v/>
      </c>
      <c r="T64" s="62" t="str">
        <f t="shared" si="3"/>
        <v>Cost of intervention</v>
      </c>
      <c r="U64" s="122" t="str">
        <f t="shared" si="4"/>
        <v/>
      </c>
      <c r="V64" s="122" t="str">
        <f t="shared" si="5"/>
        <v/>
      </c>
      <c r="W64" s="267" t="str">
        <f t="shared" si="6"/>
        <v/>
      </c>
      <c r="Y64" s="60" t="str">
        <f>IF(OR(AC64=0,AC64=""),"",RANK(AC64,AC$57:AC$79,0)+COUNTIF(AC$57:AC64,AC64)-1)</f>
        <v/>
      </c>
      <c r="Z64" s="62" t="str">
        <f t="shared" si="7"/>
        <v>Cost of intervention</v>
      </c>
      <c r="AA64" s="122" t="str">
        <f t="shared" si="8"/>
        <v/>
      </c>
      <c r="AB64" s="122" t="str">
        <f t="shared" si="9"/>
        <v/>
      </c>
      <c r="AC64" s="267" t="str">
        <f t="shared" si="10"/>
        <v/>
      </c>
    </row>
    <row r="65" spans="13:29" x14ac:dyDescent="0.25">
      <c r="M65" s="60" t="str">
        <f>IF(OR(Q65=0,Q65=""),"",RANK(Q65,Q$57:Q$79,0)+COUNTIF(Q$57:Q65,Q65)-1)</f>
        <v/>
      </c>
      <c r="N65" s="62" t="str">
        <f t="shared" si="0"/>
        <v>Cost of comparators</v>
      </c>
      <c r="O65" s="122" t="str">
        <f t="shared" si="11"/>
        <v/>
      </c>
      <c r="P65" s="122" t="str">
        <f t="shared" si="1"/>
        <v/>
      </c>
      <c r="Q65" s="122" t="str">
        <f t="shared" si="2"/>
        <v/>
      </c>
      <c r="R65" s="58"/>
      <c r="S65" s="60" t="str">
        <f>IF(OR(W65=0,W65=""),"",RANK(W65,W$57:W$79,0)+COUNTIF(W$57:W65,W65)-1)</f>
        <v/>
      </c>
      <c r="T65" s="62" t="str">
        <f t="shared" si="3"/>
        <v>Cost of comparators</v>
      </c>
      <c r="U65" s="122" t="str">
        <f t="shared" si="4"/>
        <v/>
      </c>
      <c r="V65" s="122" t="str">
        <f t="shared" si="5"/>
        <v/>
      </c>
      <c r="W65" s="267" t="str">
        <f t="shared" si="6"/>
        <v/>
      </c>
      <c r="Y65" s="60" t="str">
        <f>IF(OR(AC65=0,AC65=""),"",RANK(AC65,AC$57:AC$79,0)+COUNTIF(AC$57:AC65,AC65)-1)</f>
        <v/>
      </c>
      <c r="Z65" s="62" t="str">
        <f t="shared" si="7"/>
        <v>Cost of comparators</v>
      </c>
      <c r="AA65" s="122" t="str">
        <f t="shared" si="8"/>
        <v/>
      </c>
      <c r="AB65" s="122" t="str">
        <f t="shared" si="9"/>
        <v/>
      </c>
      <c r="AC65" s="267" t="str">
        <f t="shared" si="10"/>
        <v/>
      </c>
    </row>
    <row r="66" spans="13:29" x14ac:dyDescent="0.25">
      <c r="M66" s="60" t="str">
        <f>IF(OR(Q66=0,Q66=""),"",RANK(Q66,Q$57:Q$79,0)+COUNTIF(Q$57:Q66,Q66)-1)</f>
        <v/>
      </c>
      <c r="N66" s="62" t="str">
        <f t="shared" si="0"/>
        <v>Cost/cost-offset per patient per year</v>
      </c>
      <c r="O66" s="122" t="str">
        <f t="shared" si="11"/>
        <v/>
      </c>
      <c r="P66" s="122" t="str">
        <f t="shared" si="1"/>
        <v/>
      </c>
      <c r="Q66" s="122" t="str">
        <f t="shared" si="2"/>
        <v/>
      </c>
      <c r="R66" s="58"/>
      <c r="S66" s="60" t="str">
        <f>IF(OR(W66=0,W66=""),"",RANK(W66,W$57:W$79,0)+COUNTIF(W$57:W66,W66)-1)</f>
        <v/>
      </c>
      <c r="T66" s="62" t="str">
        <f t="shared" si="3"/>
        <v>Cost/cost-offset per patient per year</v>
      </c>
      <c r="U66" s="122" t="str">
        <f t="shared" si="4"/>
        <v/>
      </c>
      <c r="V66" s="122" t="str">
        <f t="shared" si="5"/>
        <v/>
      </c>
      <c r="W66" s="267" t="str">
        <f t="shared" si="6"/>
        <v/>
      </c>
      <c r="Y66" s="60" t="str">
        <f>IF(OR(AC66=0,AC66=""),"",RANK(AC66,AC$57:AC$79,0)+COUNTIF(AC$57:AC66,AC66)-1)</f>
        <v/>
      </c>
      <c r="Z66" s="62" t="str">
        <f t="shared" si="7"/>
        <v>Cost/cost-offset per patient per year</v>
      </c>
      <c r="AA66" s="122" t="str">
        <f t="shared" si="8"/>
        <v/>
      </c>
      <c r="AB66" s="122" t="str">
        <f t="shared" si="9"/>
        <v/>
      </c>
      <c r="AC66" s="267" t="str">
        <f t="shared" si="10"/>
        <v/>
      </c>
    </row>
    <row r="67" spans="13:29" x14ac:dyDescent="0.25">
      <c r="M67" s="60" t="str">
        <f>IF(OR(Q67=0,Q67=""),"",RANK(Q67,Q$57:Q$79,0)+COUNTIF(Q$57:Q67,Q67)-1)</f>
        <v/>
      </c>
      <c r="N67" s="62" t="str">
        <f t="shared" si="0"/>
        <v/>
      </c>
      <c r="O67" s="122" t="str">
        <f t="shared" si="11"/>
        <v/>
      </c>
      <c r="P67" s="122" t="str">
        <f t="shared" si="1"/>
        <v/>
      </c>
      <c r="Q67" s="122" t="str">
        <f t="shared" si="2"/>
        <v/>
      </c>
      <c r="S67" s="60" t="str">
        <f>IF(OR(W67=0,W67=""),"",RANK(W67,W$57:W$79,0)+COUNTIF(W$57:W67,W67)-1)</f>
        <v/>
      </c>
      <c r="T67" s="62" t="str">
        <f t="shared" si="3"/>
        <v/>
      </c>
      <c r="U67" s="122" t="str">
        <f t="shared" si="4"/>
        <v/>
      </c>
      <c r="V67" s="122" t="str">
        <f t="shared" si="5"/>
        <v/>
      </c>
      <c r="W67" s="267" t="str">
        <f t="shared" si="6"/>
        <v/>
      </c>
      <c r="Y67" s="60" t="str">
        <f>IF(OR(AC67=0,AC67=""),"",RANK(AC67,AC$57:AC$79,0)+COUNTIF(AC$57:AC67,AC67)-1)</f>
        <v/>
      </c>
      <c r="Z67" s="62" t="str">
        <f t="shared" si="7"/>
        <v/>
      </c>
      <c r="AA67" s="122" t="str">
        <f t="shared" si="8"/>
        <v/>
      </c>
      <c r="AB67" s="122" t="str">
        <f t="shared" si="9"/>
        <v/>
      </c>
      <c r="AC67" s="267" t="str">
        <f t="shared" si="10"/>
        <v/>
      </c>
    </row>
    <row r="68" spans="13:29" x14ac:dyDescent="0.25">
      <c r="M68" s="60" t="str">
        <f>IF(OR(Q68=0,Q68=""),"",RANK(Q68,Q$57:Q$79,0)+COUNTIF(Q$57:Q68,Q68)-1)</f>
        <v/>
      </c>
      <c r="N68" s="62" t="str">
        <f t="shared" si="0"/>
        <v/>
      </c>
      <c r="O68" s="122" t="str">
        <f t="shared" si="11"/>
        <v/>
      </c>
      <c r="P68" s="122" t="str">
        <f t="shared" si="1"/>
        <v/>
      </c>
      <c r="Q68" s="122" t="str">
        <f t="shared" si="2"/>
        <v/>
      </c>
      <c r="S68" s="60" t="str">
        <f>IF(OR(W68=0,W68=""),"",RANK(W68,W$57:W$79,0)+COUNTIF(W$57:W68,W68)-1)</f>
        <v/>
      </c>
      <c r="T68" s="62" t="str">
        <f t="shared" si="3"/>
        <v/>
      </c>
      <c r="U68" s="122" t="str">
        <f t="shared" si="4"/>
        <v/>
      </c>
      <c r="V68" s="122" t="str">
        <f t="shared" si="5"/>
        <v/>
      </c>
      <c r="W68" s="267" t="str">
        <f t="shared" si="6"/>
        <v/>
      </c>
      <c r="Y68" s="60" t="str">
        <f>IF(OR(AC68=0,AC68=""),"",RANK(AC68,AC$57:AC$79,0)+COUNTIF(AC$57:AC68,AC68)-1)</f>
        <v/>
      </c>
      <c r="Z68" s="62" t="str">
        <f t="shared" si="7"/>
        <v/>
      </c>
      <c r="AA68" s="122" t="str">
        <f t="shared" si="8"/>
        <v/>
      </c>
      <c r="AB68" s="122" t="str">
        <f t="shared" si="9"/>
        <v/>
      </c>
      <c r="AC68" s="267" t="str">
        <f t="shared" si="10"/>
        <v/>
      </c>
    </row>
    <row r="69" spans="13:29" x14ac:dyDescent="0.25">
      <c r="M69" s="60" t="str">
        <f>IF(OR(Q69=0,Q69=""),"",RANK(Q69,Q$57:Q$79,0)+COUNTIF(Q$57:Q69,Q69)-1)</f>
        <v/>
      </c>
      <c r="N69" s="62" t="str">
        <f t="shared" si="0"/>
        <v/>
      </c>
      <c r="O69" s="122" t="str">
        <f t="shared" si="11"/>
        <v/>
      </c>
      <c r="P69" s="122" t="str">
        <f t="shared" si="1"/>
        <v/>
      </c>
      <c r="Q69" s="122" t="str">
        <f t="shared" si="2"/>
        <v/>
      </c>
      <c r="S69" s="60" t="str">
        <f>IF(OR(W69=0,W69=""),"",RANK(W69,W$57:W$79,0)+COUNTIF(W$57:W69,W69)-1)</f>
        <v/>
      </c>
      <c r="T69" s="62" t="str">
        <f t="shared" si="3"/>
        <v/>
      </c>
      <c r="U69" s="122" t="str">
        <f t="shared" si="4"/>
        <v/>
      </c>
      <c r="V69" s="122" t="str">
        <f t="shared" si="5"/>
        <v/>
      </c>
      <c r="W69" s="267" t="str">
        <f t="shared" si="6"/>
        <v/>
      </c>
      <c r="Y69" s="60" t="str">
        <f>IF(OR(AC69=0,AC69=""),"",RANK(AC69,AC$57:AC$79,0)+COUNTIF(AC$57:AC69,AC69)-1)</f>
        <v/>
      </c>
      <c r="Z69" s="62" t="str">
        <f t="shared" si="7"/>
        <v/>
      </c>
      <c r="AA69" s="122" t="str">
        <f t="shared" si="8"/>
        <v/>
      </c>
      <c r="AB69" s="122" t="str">
        <f t="shared" si="9"/>
        <v/>
      </c>
      <c r="AC69" s="267" t="str">
        <f t="shared" si="10"/>
        <v/>
      </c>
    </row>
    <row r="70" spans="13:29" x14ac:dyDescent="0.25">
      <c r="M70" s="60" t="str">
        <f>IF(OR(Q70=0,Q70=""),"",RANK(Q70,Q$57:Q$79,0)+COUNTIF(Q$57:Q70,Q70)-1)</f>
        <v/>
      </c>
      <c r="N70" s="62" t="str">
        <f t="shared" si="0"/>
        <v/>
      </c>
      <c r="O70" s="122" t="str">
        <f t="shared" si="11"/>
        <v/>
      </c>
      <c r="P70" s="122" t="str">
        <f t="shared" si="1"/>
        <v/>
      </c>
      <c r="Q70" s="122" t="str">
        <f t="shared" si="2"/>
        <v/>
      </c>
      <c r="S70" s="60" t="str">
        <f>IF(OR(W70=0,W70=""),"",RANK(W70,W$57:W$79,0)+COUNTIF(W$57:W70,W70)-1)</f>
        <v/>
      </c>
      <c r="T70" s="62" t="str">
        <f t="shared" si="3"/>
        <v/>
      </c>
      <c r="U70" s="122" t="str">
        <f t="shared" si="4"/>
        <v/>
      </c>
      <c r="V70" s="122" t="str">
        <f t="shared" si="5"/>
        <v/>
      </c>
      <c r="W70" s="267" t="str">
        <f t="shared" si="6"/>
        <v/>
      </c>
      <c r="Y70" s="60" t="str">
        <f>IF(OR(AC70=0,AC70=""),"",RANK(AC70,AC$57:AC$79,0)+COUNTIF(AC$57:AC70,AC70)-1)</f>
        <v/>
      </c>
      <c r="Z70" s="62" t="str">
        <f t="shared" si="7"/>
        <v/>
      </c>
      <c r="AA70" s="122" t="str">
        <f t="shared" si="8"/>
        <v/>
      </c>
      <c r="AB70" s="122" t="str">
        <f t="shared" si="9"/>
        <v/>
      </c>
      <c r="AC70" s="267" t="str">
        <f t="shared" si="10"/>
        <v/>
      </c>
    </row>
    <row r="71" spans="13:29" x14ac:dyDescent="0.25">
      <c r="M71" s="60" t="str">
        <f>IF(OR(Q71=0,Q71=""),"",RANK(Q71,Q$57:Q$79,0)+COUNTIF(Q$57:Q71,Q71)-1)</f>
        <v/>
      </c>
      <c r="N71" s="62" t="str">
        <f t="shared" si="0"/>
        <v/>
      </c>
      <c r="O71" s="122" t="str">
        <f t="shared" si="11"/>
        <v/>
      </c>
      <c r="P71" s="122" t="str">
        <f t="shared" si="1"/>
        <v/>
      </c>
      <c r="Q71" s="122" t="str">
        <f t="shared" si="2"/>
        <v/>
      </c>
      <c r="S71" s="60" t="str">
        <f>IF(OR(W71=0,W71=""),"",RANK(W71,W$57:W$79,0)+COUNTIF(W$57:W71,W71)-1)</f>
        <v/>
      </c>
      <c r="T71" s="62" t="str">
        <f t="shared" si="3"/>
        <v/>
      </c>
      <c r="U71" s="122" t="str">
        <f t="shared" si="4"/>
        <v/>
      </c>
      <c r="V71" s="122" t="str">
        <f t="shared" si="5"/>
        <v/>
      </c>
      <c r="W71" s="267" t="str">
        <f t="shared" si="6"/>
        <v/>
      </c>
      <c r="Y71" s="60" t="str">
        <f>IF(OR(AC71=0,AC71=""),"",RANK(AC71,AC$57:AC$79,0)+COUNTIF(AC$57:AC71,AC71)-1)</f>
        <v/>
      </c>
      <c r="Z71" s="62" t="str">
        <f t="shared" si="7"/>
        <v/>
      </c>
      <c r="AA71" s="122" t="str">
        <f t="shared" si="8"/>
        <v/>
      </c>
      <c r="AB71" s="122" t="str">
        <f t="shared" si="9"/>
        <v/>
      </c>
      <c r="AC71" s="267" t="str">
        <f t="shared" si="10"/>
        <v/>
      </c>
    </row>
    <row r="72" spans="13:29" x14ac:dyDescent="0.25">
      <c r="M72" s="60" t="str">
        <f>IF(OR(Q72=0,Q72=""),"",RANK(Q72,Q$57:Q$79,0)+COUNTIF(Q$57:Q72,Q72)-1)</f>
        <v/>
      </c>
      <c r="N72" s="62" t="str">
        <f t="shared" si="0"/>
        <v/>
      </c>
      <c r="O72" s="122" t="str">
        <f t="shared" si="11"/>
        <v/>
      </c>
      <c r="P72" s="122" t="str">
        <f t="shared" si="1"/>
        <v/>
      </c>
      <c r="Q72" s="122" t="str">
        <f t="shared" si="2"/>
        <v/>
      </c>
      <c r="S72" s="60" t="str">
        <f>IF(OR(W72=0,W72=""),"",RANK(W72,W$57:W$79,0)+COUNTIF(W$57:W72,W72)-1)</f>
        <v/>
      </c>
      <c r="T72" s="62" t="str">
        <f t="shared" si="3"/>
        <v/>
      </c>
      <c r="U72" s="122" t="str">
        <f t="shared" si="4"/>
        <v/>
      </c>
      <c r="V72" s="122" t="str">
        <f t="shared" si="5"/>
        <v/>
      </c>
      <c r="W72" s="267" t="str">
        <f t="shared" si="6"/>
        <v/>
      </c>
      <c r="Y72" s="60" t="str">
        <f>IF(OR(AC72=0,AC72=""),"",RANK(AC72,AC$57:AC$79,0)+COUNTIF(AC$57:AC72,AC72)-1)</f>
        <v/>
      </c>
      <c r="Z72" s="62" t="str">
        <f t="shared" si="7"/>
        <v/>
      </c>
      <c r="AA72" s="122" t="str">
        <f t="shared" si="8"/>
        <v/>
      </c>
      <c r="AB72" s="122" t="str">
        <f t="shared" si="9"/>
        <v/>
      </c>
      <c r="AC72" s="267" t="str">
        <f t="shared" si="10"/>
        <v/>
      </c>
    </row>
    <row r="73" spans="13:29" x14ac:dyDescent="0.25">
      <c r="M73" s="60" t="str">
        <f>IF(OR(Q73=0,Q73=""),"",RANK(Q73,Q$57:Q$79,0)+COUNTIF(Q$57:Q73,Q73)-1)</f>
        <v/>
      </c>
      <c r="N73" s="62" t="str">
        <f t="shared" si="0"/>
        <v/>
      </c>
      <c r="O73" s="122" t="str">
        <f t="shared" si="11"/>
        <v/>
      </c>
      <c r="P73" s="122" t="str">
        <f t="shared" si="1"/>
        <v/>
      </c>
      <c r="Q73" s="122" t="str">
        <f t="shared" si="2"/>
        <v/>
      </c>
      <c r="S73" s="60" t="str">
        <f>IF(OR(W73=0,W73=""),"",RANK(W73,W$57:W$79,0)+COUNTIF(W$57:W73,W73)-1)</f>
        <v/>
      </c>
      <c r="T73" s="62" t="str">
        <f t="shared" si="3"/>
        <v/>
      </c>
      <c r="U73" s="122" t="str">
        <f t="shared" si="4"/>
        <v/>
      </c>
      <c r="V73" s="122" t="str">
        <f t="shared" si="5"/>
        <v/>
      </c>
      <c r="W73" s="267" t="str">
        <f t="shared" si="6"/>
        <v/>
      </c>
      <c r="Y73" s="60" t="str">
        <f>IF(OR(AC73=0,AC73=""),"",RANK(AC73,AC$57:AC$79,0)+COUNTIF(AC$57:AC73,AC73)-1)</f>
        <v/>
      </c>
      <c r="Z73" s="62" t="str">
        <f t="shared" si="7"/>
        <v/>
      </c>
      <c r="AA73" s="122" t="str">
        <f t="shared" si="8"/>
        <v/>
      </c>
      <c r="AB73" s="122" t="str">
        <f t="shared" si="9"/>
        <v/>
      </c>
      <c r="AC73" s="267" t="str">
        <f t="shared" si="10"/>
        <v/>
      </c>
    </row>
    <row r="74" spans="13:29" x14ac:dyDescent="0.25">
      <c r="M74" s="60" t="str">
        <f>IF(OR(Q74=0,Q74=""),"",RANK(Q74,Q$57:Q$79,0)+COUNTIF(Q$57:Q74,Q74)-1)</f>
        <v/>
      </c>
      <c r="N74" s="62" t="str">
        <f t="shared" si="0"/>
        <v/>
      </c>
      <c r="O74" s="122" t="str">
        <f t="shared" si="11"/>
        <v/>
      </c>
      <c r="P74" s="122" t="str">
        <f t="shared" si="1"/>
        <v/>
      </c>
      <c r="Q74" s="122" t="str">
        <f t="shared" si="2"/>
        <v/>
      </c>
      <c r="S74" s="60" t="str">
        <f>IF(OR(W74=0,W74=""),"",RANK(W74,W$57:W$79,0)+COUNTIF(W$57:W74,W74)-1)</f>
        <v/>
      </c>
      <c r="T74" s="62" t="str">
        <f t="shared" si="3"/>
        <v/>
      </c>
      <c r="U74" s="122" t="str">
        <f t="shared" si="4"/>
        <v/>
      </c>
      <c r="V74" s="122" t="str">
        <f t="shared" si="5"/>
        <v/>
      </c>
      <c r="W74" s="267" t="str">
        <f t="shared" si="6"/>
        <v/>
      </c>
      <c r="Y74" s="60" t="str">
        <f>IF(OR(AC74=0,AC74=""),"",RANK(AC74,AC$57:AC$79,0)+COUNTIF(AC$57:AC74,AC74)-1)</f>
        <v/>
      </c>
      <c r="Z74" s="62" t="str">
        <f t="shared" si="7"/>
        <v/>
      </c>
      <c r="AA74" s="122" t="str">
        <f t="shared" si="8"/>
        <v/>
      </c>
      <c r="AB74" s="122" t="str">
        <f t="shared" si="9"/>
        <v/>
      </c>
      <c r="AC74" s="267" t="str">
        <f t="shared" si="10"/>
        <v/>
      </c>
    </row>
    <row r="75" spans="13:29" x14ac:dyDescent="0.25">
      <c r="M75" s="60" t="str">
        <f>IF(OR(Q75=0,Q75=""),"",RANK(Q75,Q$57:Q$79,0)+COUNTIF(Q$57:Q75,Q75)-1)</f>
        <v/>
      </c>
      <c r="N75" s="62" t="str">
        <f t="shared" si="0"/>
        <v/>
      </c>
      <c r="O75" s="122" t="str">
        <f t="shared" si="11"/>
        <v/>
      </c>
      <c r="P75" s="122" t="str">
        <f t="shared" si="1"/>
        <v/>
      </c>
      <c r="Q75" s="122" t="str">
        <f t="shared" si="2"/>
        <v/>
      </c>
      <c r="S75" s="60" t="str">
        <f>IF(OR(W75=0,W75=""),"",RANK(W75,W$57:W$79,0)+COUNTIF(W$57:W75,W75)-1)</f>
        <v/>
      </c>
      <c r="T75" s="62" t="str">
        <f t="shared" si="3"/>
        <v/>
      </c>
      <c r="U75" s="122" t="str">
        <f t="shared" si="4"/>
        <v/>
      </c>
      <c r="V75" s="122" t="str">
        <f t="shared" si="5"/>
        <v/>
      </c>
      <c r="W75" s="267" t="str">
        <f t="shared" si="6"/>
        <v/>
      </c>
      <c r="Y75" s="60" t="str">
        <f>IF(OR(AC75=0,AC75=""),"",RANK(AC75,AC$57:AC$79,0)+COUNTIF(AC$57:AC75,AC75)-1)</f>
        <v/>
      </c>
      <c r="Z75" s="62" t="str">
        <f t="shared" si="7"/>
        <v/>
      </c>
      <c r="AA75" s="122" t="str">
        <f t="shared" si="8"/>
        <v/>
      </c>
      <c r="AB75" s="122" t="str">
        <f t="shared" si="9"/>
        <v/>
      </c>
      <c r="AC75" s="267" t="str">
        <f t="shared" si="10"/>
        <v/>
      </c>
    </row>
    <row r="76" spans="13:29" x14ac:dyDescent="0.25">
      <c r="M76" s="60" t="str">
        <f>IF(OR(Q76=0,Q76=""),"",RANK(Q76,Q$57:Q$79,0)+COUNTIF(Q$57:Q76,Q76)-1)</f>
        <v/>
      </c>
      <c r="N76" s="62" t="str">
        <f t="shared" si="0"/>
        <v/>
      </c>
      <c r="O76" s="122" t="str">
        <f t="shared" si="11"/>
        <v/>
      </c>
      <c r="P76" s="122" t="str">
        <f t="shared" si="1"/>
        <v/>
      </c>
      <c r="Q76" s="122" t="str">
        <f t="shared" si="2"/>
        <v/>
      </c>
      <c r="S76" s="60" t="str">
        <f>IF(OR(W76=0,W76=""),"",RANK(W76,W$57:W$79,0)+COUNTIF(W$57:W76,W76)-1)</f>
        <v/>
      </c>
      <c r="T76" s="62" t="str">
        <f t="shared" si="3"/>
        <v/>
      </c>
      <c r="U76" s="122" t="str">
        <f t="shared" si="4"/>
        <v/>
      </c>
      <c r="V76" s="122" t="str">
        <f t="shared" si="5"/>
        <v/>
      </c>
      <c r="W76" s="267" t="str">
        <f t="shared" si="6"/>
        <v/>
      </c>
      <c r="Y76" s="60" t="str">
        <f>IF(OR(AC76=0,AC76=""),"",RANK(AC76,AC$57:AC$79,0)+COUNTIF(AC$57:AC76,AC76)-1)</f>
        <v/>
      </c>
      <c r="Z76" s="62" t="str">
        <f t="shared" si="7"/>
        <v/>
      </c>
      <c r="AA76" s="122" t="str">
        <f t="shared" si="8"/>
        <v/>
      </c>
      <c r="AB76" s="122" t="str">
        <f t="shared" si="9"/>
        <v/>
      </c>
      <c r="AC76" s="267" t="str">
        <f t="shared" si="10"/>
        <v/>
      </c>
    </row>
    <row r="77" spans="13:29" x14ac:dyDescent="0.25">
      <c r="M77" s="60" t="str">
        <f>IF(OR(Q77=0,Q77=""),"",RANK(Q77,Q$57:Q$79,0)+COUNTIF(Q$57:Q77,Q77)-1)</f>
        <v/>
      </c>
      <c r="N77" s="62" t="str">
        <f t="shared" si="0"/>
        <v/>
      </c>
      <c r="O77" s="122" t="str">
        <f t="shared" si="11"/>
        <v/>
      </c>
      <c r="P77" s="122" t="str">
        <f t="shared" si="1"/>
        <v/>
      </c>
      <c r="Q77" s="122" t="str">
        <f t="shared" si="2"/>
        <v/>
      </c>
      <c r="S77" s="60" t="str">
        <f>IF(OR(W77=0,W77=""),"",RANK(W77,W$57:W$79,0)+COUNTIF(W$57:W77,W77)-1)</f>
        <v/>
      </c>
      <c r="T77" s="62" t="str">
        <f t="shared" si="3"/>
        <v/>
      </c>
      <c r="U77" s="122" t="str">
        <f t="shared" si="4"/>
        <v/>
      </c>
      <c r="V77" s="122" t="str">
        <f t="shared" si="5"/>
        <v/>
      </c>
      <c r="W77" s="267" t="str">
        <f t="shared" si="6"/>
        <v/>
      </c>
      <c r="Y77" s="60" t="str">
        <f>IF(OR(AC77=0,AC77=""),"",RANK(AC77,AC$57:AC$79,0)+COUNTIF(AC$57:AC77,AC77)-1)</f>
        <v/>
      </c>
      <c r="Z77" s="62" t="str">
        <f t="shared" si="7"/>
        <v/>
      </c>
      <c r="AA77" s="122" t="str">
        <f t="shared" si="8"/>
        <v/>
      </c>
      <c r="AB77" s="122" t="str">
        <f t="shared" si="9"/>
        <v/>
      </c>
      <c r="AC77" s="267" t="str">
        <f t="shared" si="10"/>
        <v/>
      </c>
    </row>
    <row r="78" spans="13:29" x14ac:dyDescent="0.25">
      <c r="M78" s="60" t="str">
        <f>IF(OR(Q78=0,Q78=""),"",RANK(Q78,Q$57:Q$79,0)+COUNTIF(Q$57:Q78,Q78)-1)</f>
        <v/>
      </c>
      <c r="N78" s="62" t="str">
        <f t="shared" si="0"/>
        <v/>
      </c>
      <c r="O78" s="122" t="str">
        <f t="shared" si="11"/>
        <v/>
      </c>
      <c r="P78" s="122" t="str">
        <f t="shared" si="1"/>
        <v/>
      </c>
      <c r="Q78" s="122" t="str">
        <f t="shared" si="2"/>
        <v/>
      </c>
      <c r="S78" s="60" t="str">
        <f>IF(OR(W78=0,W78=""),"",RANK(W78,W$57:W$79,0)+COUNTIF(W$57:W78,W78)-1)</f>
        <v/>
      </c>
      <c r="T78" s="62" t="str">
        <f t="shared" si="3"/>
        <v/>
      </c>
      <c r="U78" s="122" t="str">
        <f t="shared" si="4"/>
        <v/>
      </c>
      <c r="V78" s="122" t="str">
        <f t="shared" si="5"/>
        <v/>
      </c>
      <c r="W78" s="267" t="str">
        <f t="shared" si="6"/>
        <v/>
      </c>
      <c r="Y78" s="60" t="str">
        <f>IF(OR(AC78=0,AC78=""),"",RANK(AC78,AC$57:AC$79,0)+COUNTIF(AC$57:AC78,AC78)-1)</f>
        <v/>
      </c>
      <c r="Z78" s="62" t="str">
        <f t="shared" si="7"/>
        <v/>
      </c>
      <c r="AA78" s="122" t="str">
        <f t="shared" si="8"/>
        <v/>
      </c>
      <c r="AB78" s="122" t="str">
        <f t="shared" si="9"/>
        <v/>
      </c>
      <c r="AC78" s="267" t="str">
        <f t="shared" si="10"/>
        <v/>
      </c>
    </row>
    <row r="79" spans="13:29" x14ac:dyDescent="0.25">
      <c r="M79" s="60" t="str">
        <f>IF(OR(Q79=0,Q79=""),"",RANK(Q79,Q$57:Q$79,0)+COUNTIF(Q$57:Q79,Q79)-1)</f>
        <v/>
      </c>
      <c r="N79" s="62" t="str">
        <f t="shared" si="0"/>
        <v/>
      </c>
      <c r="O79" s="122" t="str">
        <f t="shared" si="11"/>
        <v/>
      </c>
      <c r="P79" s="122" t="str">
        <f t="shared" si="1"/>
        <v/>
      </c>
      <c r="Q79" s="122" t="str">
        <f t="shared" si="2"/>
        <v/>
      </c>
      <c r="S79" s="60" t="str">
        <f>IF(OR(W79=0,W79=""),"",RANK(W79,W$57:W$79,0)+COUNTIF(W$57:W79,W79)-1)</f>
        <v/>
      </c>
      <c r="T79" s="62" t="str">
        <f t="shared" si="3"/>
        <v/>
      </c>
      <c r="U79" s="122" t="str">
        <f t="shared" si="4"/>
        <v/>
      </c>
      <c r="V79" s="122" t="str">
        <f t="shared" si="5"/>
        <v/>
      </c>
      <c r="W79" s="267" t="str">
        <f t="shared" si="6"/>
        <v/>
      </c>
      <c r="Y79" s="60" t="str">
        <f>IF(OR(AC79=0,AC79=""),"",RANK(AC79,AC$57:AC$79,0)+COUNTIF(AC$57:AC79,AC79)-1)</f>
        <v/>
      </c>
      <c r="Z79" s="62" t="str">
        <f t="shared" si="7"/>
        <v/>
      </c>
      <c r="AA79" s="122" t="str">
        <f t="shared" si="8"/>
        <v/>
      </c>
      <c r="AB79" s="122" t="str">
        <f t="shared" si="9"/>
        <v/>
      </c>
      <c r="AC79" s="267" t="str">
        <f t="shared" si="10"/>
        <v/>
      </c>
    </row>
    <row r="82" spans="13:29" x14ac:dyDescent="0.25">
      <c r="M82" s="59" t="s">
        <v>73</v>
      </c>
      <c r="N82" s="61" t="s">
        <v>71</v>
      </c>
      <c r="O82" s="59" t="s">
        <v>67</v>
      </c>
      <c r="P82" s="59" t="s">
        <v>68</v>
      </c>
      <c r="Q82" s="59" t="s">
        <v>72</v>
      </c>
      <c r="R82" s="41"/>
      <c r="S82" s="59" t="s">
        <v>73</v>
      </c>
      <c r="T82" s="61" t="s">
        <v>71</v>
      </c>
      <c r="U82" s="59" t="s">
        <v>67</v>
      </c>
      <c r="V82" s="59" t="s">
        <v>68</v>
      </c>
      <c r="W82" s="59" t="s">
        <v>72</v>
      </c>
      <c r="Y82" s="59" t="s">
        <v>73</v>
      </c>
      <c r="Z82" s="61" t="s">
        <v>71</v>
      </c>
      <c r="AA82" s="59" t="s">
        <v>67</v>
      </c>
      <c r="AB82" s="59" t="s">
        <v>68</v>
      </c>
      <c r="AC82" s="59" t="s">
        <v>72</v>
      </c>
    </row>
    <row r="83" spans="13:29" x14ac:dyDescent="0.25">
      <c r="M83" s="266">
        <v>1</v>
      </c>
      <c r="N83" s="62" t="str">
        <f>IFERROR(VLOOKUP($M83,$M$57:$Q$79,2,FALSE),"")</f>
        <v/>
      </c>
      <c r="O83" s="122" t="e">
        <f>IF(Q83="",NA(),IFERROR(VLOOKUP($M83,$M$57:$Q$79,3,FALSE),""))</f>
        <v>#N/A</v>
      </c>
      <c r="P83" s="122" t="e">
        <f>IF(Q83="",NA(),IFERROR(VLOOKUP($M83,$M$57:$Q$79,4,FALSE),""))</f>
        <v>#N/A</v>
      </c>
      <c r="Q83" s="122" t="str">
        <f>IFERROR(VLOOKUP(1,$M$57:$Q$79,5,FALSE),"")</f>
        <v/>
      </c>
      <c r="R83" s="58"/>
      <c r="S83" s="60">
        <v>1</v>
      </c>
      <c r="T83" s="62" t="str">
        <f>IFERROR(VLOOKUP($S83,$S$57:$W$79,2,FALSE),"")</f>
        <v/>
      </c>
      <c r="U83" s="122" t="e">
        <f>IF(W83="",NA(),IFERROR(VLOOKUP($S83,$S$57:$W$79,3,FALSE),""))</f>
        <v>#N/A</v>
      </c>
      <c r="V83" s="122" t="e">
        <f>IF(W83="",NA(),IFERROR(VLOOKUP($S83,$S$57:$W$79,4,FALSE),""))</f>
        <v>#N/A</v>
      </c>
      <c r="W83" s="122" t="str">
        <f>IFERROR(VLOOKUP($S83,$S$57:$W$79,5,FALSE),"")</f>
        <v/>
      </c>
      <c r="Y83" s="60">
        <v>1</v>
      </c>
      <c r="Z83" s="62" t="str">
        <f>IFERROR(VLOOKUP($Y83,$Y$57:$AC$79,2,FALSE),"")</f>
        <v/>
      </c>
      <c r="AA83" s="122" t="e">
        <f>IF(AC83="",NA(),IFERROR(VLOOKUP($Y83,$Y$57:$AC$79,3,FALSE),""))</f>
        <v>#N/A</v>
      </c>
      <c r="AB83" s="122" t="e">
        <f>IF(AC83="",NA(),IFERROR(VLOOKUP($Y83,$Y$57:$AC$79,4,FALSE),""))</f>
        <v>#N/A</v>
      </c>
      <c r="AC83" s="122" t="str">
        <f>IFERROR(VLOOKUP($Y83,$Y$57:$AC$79,5,FALSE),"")</f>
        <v/>
      </c>
    </row>
    <row r="84" spans="13:29" x14ac:dyDescent="0.25">
      <c r="M84" s="60">
        <v>2</v>
      </c>
      <c r="N84" s="62" t="str">
        <f>IFERROR(VLOOKUP($M84,$M$57:$Q$79,2,FALSE),"")</f>
        <v/>
      </c>
      <c r="O84" s="122" t="e">
        <f t="shared" ref="O84:O106" si="12">IF(Q84="",NA(),IFERROR(VLOOKUP($M84,$M$57:$Q$79,3,FALSE),""))</f>
        <v>#N/A</v>
      </c>
      <c r="P84" s="122" t="e">
        <f t="shared" ref="P84:P106" si="13">IF(Q84="",NA(),IFERROR(VLOOKUP($M84,$M$57:$Q$79,4,FALSE),""))</f>
        <v>#N/A</v>
      </c>
      <c r="Q84" s="122" t="str">
        <f>IFERROR(VLOOKUP(2,$M$57:$Q$79,5,FALSE),"")</f>
        <v/>
      </c>
      <c r="R84" s="58"/>
      <c r="S84" s="60">
        <v>2</v>
      </c>
      <c r="T84" s="62" t="str">
        <f t="shared" ref="T84:T106" si="14">IFERROR(VLOOKUP($S84,$S$57:$W$79,2,FALSE),"")</f>
        <v/>
      </c>
      <c r="U84" s="122" t="e">
        <f t="shared" ref="U84:U106" si="15">IF(W84="",NA(),IFERROR(VLOOKUP($S84,$S$57:$W$79,3,FALSE),""))</f>
        <v>#N/A</v>
      </c>
      <c r="V84" s="122" t="e">
        <f t="shared" ref="V84:V106" si="16">IF(W84="",NA(),IFERROR(VLOOKUP($S84,$S$57:$W$79,4,FALSE),""))</f>
        <v>#N/A</v>
      </c>
      <c r="W84" s="122" t="str">
        <f t="shared" ref="W84:W106" si="17">IFERROR(VLOOKUP($S84,$S$57:$W$79,5,FALSE),"")</f>
        <v/>
      </c>
      <c r="Y84" s="60">
        <v>2</v>
      </c>
      <c r="Z84" s="62" t="str">
        <f t="shared" ref="Z84:Z106" si="18">IFERROR(VLOOKUP($Y84,$Y$57:$AC$79,2,FALSE),"")</f>
        <v/>
      </c>
      <c r="AA84" s="122" t="e">
        <f t="shared" ref="AA84:AA106" si="19">IF(AC84="",NA(),IFERROR(VLOOKUP($Y84,$Y$57:$AC$79,3,FALSE),""))</f>
        <v>#N/A</v>
      </c>
      <c r="AB84" s="122" t="e">
        <f t="shared" ref="AB84:AB106" si="20">IF(AC84="",NA(),IFERROR(VLOOKUP($Y84,$Y$57:$AC$79,4,FALSE),""))</f>
        <v>#N/A</v>
      </c>
      <c r="AC84" s="122" t="str">
        <f t="shared" ref="AC84:AC106" si="21">IFERROR(VLOOKUP($Y84,$Y$57:$AC$79,5,FALSE),"")</f>
        <v/>
      </c>
    </row>
    <row r="85" spans="13:29" x14ac:dyDescent="0.25">
      <c r="M85" s="60">
        <v>3</v>
      </c>
      <c r="N85" s="62" t="str">
        <f>IFERROR(VLOOKUP($M85,$M$57:$Q$79,2,FALSE),"")</f>
        <v/>
      </c>
      <c r="O85" s="122" t="e">
        <f t="shared" si="12"/>
        <v>#N/A</v>
      </c>
      <c r="P85" s="122" t="e">
        <f t="shared" si="13"/>
        <v>#N/A</v>
      </c>
      <c r="Q85" s="122" t="str">
        <f>IFERROR(VLOOKUP(3,$M$57:$Q$79,5,FALSE),"")</f>
        <v/>
      </c>
      <c r="R85" s="58"/>
      <c r="S85" s="60">
        <v>3</v>
      </c>
      <c r="T85" s="62" t="str">
        <f t="shared" si="14"/>
        <v/>
      </c>
      <c r="U85" s="122" t="e">
        <f t="shared" si="15"/>
        <v>#N/A</v>
      </c>
      <c r="V85" s="122" t="e">
        <f t="shared" si="16"/>
        <v>#N/A</v>
      </c>
      <c r="W85" s="122" t="str">
        <f t="shared" si="17"/>
        <v/>
      </c>
      <c r="Y85" s="60">
        <v>3</v>
      </c>
      <c r="Z85" s="62" t="str">
        <f t="shared" si="18"/>
        <v/>
      </c>
      <c r="AA85" s="122" t="e">
        <f t="shared" si="19"/>
        <v>#N/A</v>
      </c>
      <c r="AB85" s="122" t="e">
        <f t="shared" si="20"/>
        <v>#N/A</v>
      </c>
      <c r="AC85" s="122" t="str">
        <f t="shared" si="21"/>
        <v/>
      </c>
    </row>
    <row r="86" spans="13:29" x14ac:dyDescent="0.25">
      <c r="M86" s="60">
        <v>4</v>
      </c>
      <c r="N86" s="62" t="str">
        <f t="shared" ref="N86:N92" si="22">IFERROR(VLOOKUP($M86,$M$57:$Q$79,2,FALSE),"")</f>
        <v/>
      </c>
      <c r="O86" s="122" t="e">
        <f t="shared" si="12"/>
        <v>#N/A</v>
      </c>
      <c r="P86" s="122" t="e">
        <f t="shared" si="13"/>
        <v>#N/A</v>
      </c>
      <c r="Q86" s="122" t="str">
        <f>IFERROR(VLOOKUP(4,$M$57:$Q$79,5,FALSE),"")</f>
        <v/>
      </c>
      <c r="R86" s="58"/>
      <c r="S86" s="60">
        <v>4</v>
      </c>
      <c r="T86" s="62" t="str">
        <f t="shared" si="14"/>
        <v/>
      </c>
      <c r="U86" s="122" t="e">
        <f t="shared" si="15"/>
        <v>#N/A</v>
      </c>
      <c r="V86" s="122" t="e">
        <f t="shared" si="16"/>
        <v>#N/A</v>
      </c>
      <c r="W86" s="122" t="str">
        <f t="shared" si="17"/>
        <v/>
      </c>
      <c r="Y86" s="60">
        <v>4</v>
      </c>
      <c r="Z86" s="62" t="str">
        <f t="shared" si="18"/>
        <v/>
      </c>
      <c r="AA86" s="122" t="e">
        <f t="shared" si="19"/>
        <v>#N/A</v>
      </c>
      <c r="AB86" s="122" t="e">
        <f t="shared" si="20"/>
        <v>#N/A</v>
      </c>
      <c r="AC86" s="122" t="str">
        <f t="shared" si="21"/>
        <v/>
      </c>
    </row>
    <row r="87" spans="13:29" x14ac:dyDescent="0.25">
      <c r="M87" s="60">
        <v>5</v>
      </c>
      <c r="N87" s="62" t="str">
        <f t="shared" si="22"/>
        <v/>
      </c>
      <c r="O87" s="122" t="e">
        <f t="shared" si="12"/>
        <v>#N/A</v>
      </c>
      <c r="P87" s="122" t="e">
        <f t="shared" si="13"/>
        <v>#N/A</v>
      </c>
      <c r="Q87" s="122" t="str">
        <f>IFERROR(VLOOKUP(5,$M$57:$Q$79,5,FALSE),"")</f>
        <v/>
      </c>
      <c r="R87" s="58"/>
      <c r="S87" s="60">
        <v>5</v>
      </c>
      <c r="T87" s="62" t="str">
        <f t="shared" si="14"/>
        <v/>
      </c>
      <c r="U87" s="122" t="e">
        <f t="shared" si="15"/>
        <v>#N/A</v>
      </c>
      <c r="V87" s="122" t="e">
        <f t="shared" si="16"/>
        <v>#N/A</v>
      </c>
      <c r="W87" s="122" t="str">
        <f t="shared" si="17"/>
        <v/>
      </c>
      <c r="Y87" s="60">
        <v>5</v>
      </c>
      <c r="Z87" s="62" t="str">
        <f t="shared" si="18"/>
        <v/>
      </c>
      <c r="AA87" s="122" t="e">
        <f t="shared" si="19"/>
        <v>#N/A</v>
      </c>
      <c r="AB87" s="122" t="e">
        <f t="shared" si="20"/>
        <v>#N/A</v>
      </c>
      <c r="AC87" s="122" t="str">
        <f t="shared" si="21"/>
        <v/>
      </c>
    </row>
    <row r="88" spans="13:29" x14ac:dyDescent="0.25">
      <c r="M88" s="60">
        <v>6</v>
      </c>
      <c r="N88" s="62" t="str">
        <f t="shared" si="22"/>
        <v/>
      </c>
      <c r="O88" s="122" t="e">
        <f t="shared" si="12"/>
        <v>#N/A</v>
      </c>
      <c r="P88" s="122" t="e">
        <f t="shared" si="13"/>
        <v>#N/A</v>
      </c>
      <c r="Q88" s="122" t="str">
        <f>IFERROR(VLOOKUP(6,$M$57:$Q$79,5,FALSE),"")</f>
        <v/>
      </c>
      <c r="R88" s="58"/>
      <c r="S88" s="60">
        <v>6</v>
      </c>
      <c r="T88" s="62" t="str">
        <f t="shared" si="14"/>
        <v/>
      </c>
      <c r="U88" s="122" t="e">
        <f t="shared" si="15"/>
        <v>#N/A</v>
      </c>
      <c r="V88" s="122" t="e">
        <f t="shared" si="16"/>
        <v>#N/A</v>
      </c>
      <c r="W88" s="122" t="str">
        <f t="shared" si="17"/>
        <v/>
      </c>
      <c r="Y88" s="60">
        <v>6</v>
      </c>
      <c r="Z88" s="62" t="str">
        <f t="shared" si="18"/>
        <v/>
      </c>
      <c r="AA88" s="122" t="e">
        <f t="shared" si="19"/>
        <v>#N/A</v>
      </c>
      <c r="AB88" s="122" t="e">
        <f t="shared" si="20"/>
        <v>#N/A</v>
      </c>
      <c r="AC88" s="122" t="str">
        <f t="shared" si="21"/>
        <v/>
      </c>
    </row>
    <row r="89" spans="13:29" x14ac:dyDescent="0.25">
      <c r="M89" s="60">
        <v>7</v>
      </c>
      <c r="N89" s="62" t="str">
        <f t="shared" si="22"/>
        <v/>
      </c>
      <c r="O89" s="122" t="e">
        <f t="shared" si="12"/>
        <v>#N/A</v>
      </c>
      <c r="P89" s="122" t="e">
        <f t="shared" si="13"/>
        <v>#N/A</v>
      </c>
      <c r="Q89" s="122" t="str">
        <f>IFERROR(VLOOKUP(7,$M$57:$Q$79,5,FALSE),"")</f>
        <v/>
      </c>
      <c r="R89" s="58"/>
      <c r="S89" s="60">
        <v>7</v>
      </c>
      <c r="T89" s="62" t="str">
        <f t="shared" si="14"/>
        <v/>
      </c>
      <c r="U89" s="122" t="e">
        <f t="shared" si="15"/>
        <v>#N/A</v>
      </c>
      <c r="V89" s="122" t="e">
        <f t="shared" si="16"/>
        <v>#N/A</v>
      </c>
      <c r="W89" s="122" t="str">
        <f t="shared" si="17"/>
        <v/>
      </c>
      <c r="Y89" s="60">
        <v>7</v>
      </c>
      <c r="Z89" s="62" t="str">
        <f t="shared" si="18"/>
        <v/>
      </c>
      <c r="AA89" s="122" t="e">
        <f t="shared" si="19"/>
        <v>#N/A</v>
      </c>
      <c r="AB89" s="122" t="e">
        <f t="shared" si="20"/>
        <v>#N/A</v>
      </c>
      <c r="AC89" s="122" t="str">
        <f t="shared" si="21"/>
        <v/>
      </c>
    </row>
    <row r="90" spans="13:29" x14ac:dyDescent="0.25">
      <c r="M90" s="60">
        <v>8</v>
      </c>
      <c r="N90" s="62" t="str">
        <f t="shared" si="22"/>
        <v/>
      </c>
      <c r="O90" s="122" t="e">
        <f t="shared" si="12"/>
        <v>#N/A</v>
      </c>
      <c r="P90" s="122" t="e">
        <f t="shared" si="13"/>
        <v>#N/A</v>
      </c>
      <c r="Q90" s="122" t="str">
        <f>IFERROR(VLOOKUP(8,$M$57:$Q$79,5,FALSE),"")</f>
        <v/>
      </c>
      <c r="R90" s="58"/>
      <c r="S90" s="60">
        <v>8</v>
      </c>
      <c r="T90" s="62" t="str">
        <f t="shared" si="14"/>
        <v/>
      </c>
      <c r="U90" s="122" t="e">
        <f t="shared" si="15"/>
        <v>#N/A</v>
      </c>
      <c r="V90" s="122" t="e">
        <f t="shared" si="16"/>
        <v>#N/A</v>
      </c>
      <c r="W90" s="122" t="str">
        <f t="shared" si="17"/>
        <v/>
      </c>
      <c r="Y90" s="60">
        <v>8</v>
      </c>
      <c r="Z90" s="62" t="str">
        <f t="shared" si="18"/>
        <v/>
      </c>
      <c r="AA90" s="122" t="e">
        <f t="shared" si="19"/>
        <v>#N/A</v>
      </c>
      <c r="AB90" s="122" t="e">
        <f t="shared" si="20"/>
        <v>#N/A</v>
      </c>
      <c r="AC90" s="122" t="str">
        <f t="shared" si="21"/>
        <v/>
      </c>
    </row>
    <row r="91" spans="13:29" x14ac:dyDescent="0.25">
      <c r="M91" s="60">
        <v>9</v>
      </c>
      <c r="N91" s="62" t="str">
        <f t="shared" si="22"/>
        <v/>
      </c>
      <c r="O91" s="122" t="e">
        <f t="shared" si="12"/>
        <v>#N/A</v>
      </c>
      <c r="P91" s="122" t="e">
        <f t="shared" si="13"/>
        <v>#N/A</v>
      </c>
      <c r="Q91" s="122" t="str">
        <f>IFERROR(VLOOKUP(9,$M$57:$Q$79,5,FALSE),"")</f>
        <v/>
      </c>
      <c r="R91" s="58"/>
      <c r="S91" s="60">
        <v>9</v>
      </c>
      <c r="T91" s="62" t="str">
        <f t="shared" si="14"/>
        <v/>
      </c>
      <c r="U91" s="122" t="e">
        <f t="shared" si="15"/>
        <v>#N/A</v>
      </c>
      <c r="V91" s="122" t="e">
        <f t="shared" si="16"/>
        <v>#N/A</v>
      </c>
      <c r="W91" s="122" t="str">
        <f t="shared" si="17"/>
        <v/>
      </c>
      <c r="Y91" s="60">
        <v>9</v>
      </c>
      <c r="Z91" s="62" t="str">
        <f t="shared" si="18"/>
        <v/>
      </c>
      <c r="AA91" s="122" t="e">
        <f t="shared" si="19"/>
        <v>#N/A</v>
      </c>
      <c r="AB91" s="122" t="e">
        <f t="shared" si="20"/>
        <v>#N/A</v>
      </c>
      <c r="AC91" s="122" t="str">
        <f t="shared" si="21"/>
        <v/>
      </c>
    </row>
    <row r="92" spans="13:29" x14ac:dyDescent="0.25">
      <c r="M92" s="60">
        <v>10</v>
      </c>
      <c r="N92" s="62" t="str">
        <f t="shared" si="22"/>
        <v/>
      </c>
      <c r="O92" s="122" t="e">
        <f t="shared" si="12"/>
        <v>#N/A</v>
      </c>
      <c r="P92" s="122" t="e">
        <f t="shared" si="13"/>
        <v>#N/A</v>
      </c>
      <c r="Q92" s="122" t="str">
        <f>IFERROR(VLOOKUP(10,$M$57:$Q$79,5,FALSE),"")</f>
        <v/>
      </c>
      <c r="R92" s="58"/>
      <c r="S92" s="60">
        <v>10</v>
      </c>
      <c r="T92" s="62" t="str">
        <f t="shared" si="14"/>
        <v/>
      </c>
      <c r="U92" s="122" t="e">
        <f t="shared" si="15"/>
        <v>#N/A</v>
      </c>
      <c r="V92" s="122" t="e">
        <f t="shared" si="16"/>
        <v>#N/A</v>
      </c>
      <c r="W92" s="122" t="str">
        <f t="shared" si="17"/>
        <v/>
      </c>
      <c r="Y92" s="60">
        <v>10</v>
      </c>
      <c r="Z92" s="62" t="str">
        <f t="shared" si="18"/>
        <v/>
      </c>
      <c r="AA92" s="122" t="e">
        <f t="shared" si="19"/>
        <v>#N/A</v>
      </c>
      <c r="AB92" s="122" t="e">
        <f t="shared" si="20"/>
        <v>#N/A</v>
      </c>
      <c r="AC92" s="122" t="str">
        <f t="shared" si="21"/>
        <v/>
      </c>
    </row>
    <row r="93" spans="13:29" x14ac:dyDescent="0.25">
      <c r="M93" s="60">
        <v>11</v>
      </c>
      <c r="N93" s="62"/>
      <c r="O93" s="122" t="e">
        <f t="shared" si="12"/>
        <v>#N/A</v>
      </c>
      <c r="P93" s="122" t="e">
        <f t="shared" si="13"/>
        <v>#N/A</v>
      </c>
      <c r="Q93" s="122"/>
      <c r="S93" s="60">
        <v>11</v>
      </c>
      <c r="T93" s="62" t="str">
        <f t="shared" si="14"/>
        <v/>
      </c>
      <c r="U93" s="122" t="e">
        <f t="shared" si="15"/>
        <v>#N/A</v>
      </c>
      <c r="V93" s="122" t="e">
        <f t="shared" si="16"/>
        <v>#N/A</v>
      </c>
      <c r="W93" s="122" t="str">
        <f t="shared" si="17"/>
        <v/>
      </c>
      <c r="Y93" s="60">
        <v>11</v>
      </c>
      <c r="Z93" s="62" t="str">
        <f t="shared" si="18"/>
        <v/>
      </c>
      <c r="AA93" s="122" t="e">
        <f t="shared" si="19"/>
        <v>#N/A</v>
      </c>
      <c r="AB93" s="122" t="e">
        <f t="shared" si="20"/>
        <v>#N/A</v>
      </c>
      <c r="AC93" s="122" t="str">
        <f t="shared" si="21"/>
        <v/>
      </c>
    </row>
    <row r="94" spans="13:29" x14ac:dyDescent="0.25">
      <c r="M94" s="60">
        <v>12</v>
      </c>
      <c r="N94" s="62"/>
      <c r="O94" s="122" t="e">
        <f t="shared" si="12"/>
        <v>#N/A</v>
      </c>
      <c r="P94" s="122" t="e">
        <f t="shared" si="13"/>
        <v>#N/A</v>
      </c>
      <c r="Q94" s="122" t="str">
        <f>IFERROR(VLOOKUP(12,$M$57:$Q$79,5,FALSE),"")</f>
        <v/>
      </c>
      <c r="S94" s="60">
        <v>12</v>
      </c>
      <c r="T94" s="62" t="str">
        <f t="shared" si="14"/>
        <v/>
      </c>
      <c r="U94" s="122" t="e">
        <f t="shared" si="15"/>
        <v>#N/A</v>
      </c>
      <c r="V94" s="122" t="e">
        <f t="shared" si="16"/>
        <v>#N/A</v>
      </c>
      <c r="W94" s="122" t="str">
        <f t="shared" si="17"/>
        <v/>
      </c>
      <c r="Y94" s="60">
        <v>12</v>
      </c>
      <c r="Z94" s="62" t="str">
        <f t="shared" si="18"/>
        <v/>
      </c>
      <c r="AA94" s="122" t="e">
        <f t="shared" si="19"/>
        <v>#N/A</v>
      </c>
      <c r="AB94" s="122" t="e">
        <f t="shared" si="20"/>
        <v>#N/A</v>
      </c>
      <c r="AC94" s="122" t="str">
        <f t="shared" si="21"/>
        <v/>
      </c>
    </row>
    <row r="95" spans="13:29" x14ac:dyDescent="0.25">
      <c r="M95" s="60">
        <v>13</v>
      </c>
      <c r="N95" s="62"/>
      <c r="O95" s="122" t="e">
        <f t="shared" si="12"/>
        <v>#N/A</v>
      </c>
      <c r="P95" s="122" t="e">
        <f t="shared" si="13"/>
        <v>#N/A</v>
      </c>
      <c r="Q95" s="122" t="str">
        <f>IFERROR(VLOOKUP(13,$M$57:$Q$79,5,FALSE),"")</f>
        <v/>
      </c>
      <c r="S95" s="60">
        <v>13</v>
      </c>
      <c r="T95" s="62" t="str">
        <f t="shared" si="14"/>
        <v/>
      </c>
      <c r="U95" s="122" t="e">
        <f t="shared" si="15"/>
        <v>#N/A</v>
      </c>
      <c r="V95" s="122" t="e">
        <f t="shared" si="16"/>
        <v>#N/A</v>
      </c>
      <c r="W95" s="122" t="str">
        <f t="shared" si="17"/>
        <v/>
      </c>
      <c r="Y95" s="60">
        <v>13</v>
      </c>
      <c r="Z95" s="62" t="str">
        <f t="shared" si="18"/>
        <v/>
      </c>
      <c r="AA95" s="122" t="e">
        <f t="shared" si="19"/>
        <v>#N/A</v>
      </c>
      <c r="AB95" s="122" t="e">
        <f t="shared" si="20"/>
        <v>#N/A</v>
      </c>
      <c r="AC95" s="122" t="str">
        <f t="shared" si="21"/>
        <v/>
      </c>
    </row>
    <row r="96" spans="13:29" x14ac:dyDescent="0.25">
      <c r="M96" s="60">
        <v>14</v>
      </c>
      <c r="N96" s="62" t="str">
        <f t="shared" ref="N96:N106" si="23">IFERROR(VLOOKUP($M96,$M$57:$Q$79,2,FALSE),"")</f>
        <v/>
      </c>
      <c r="O96" s="122" t="e">
        <f t="shared" si="12"/>
        <v>#N/A</v>
      </c>
      <c r="P96" s="122" t="e">
        <f t="shared" si="13"/>
        <v>#N/A</v>
      </c>
      <c r="Q96" s="122" t="str">
        <f>IFERROR(VLOOKUP(14,$M$57:$Q$79,5,FALSE),"")</f>
        <v/>
      </c>
      <c r="S96" s="60">
        <v>14</v>
      </c>
      <c r="T96" s="62" t="str">
        <f t="shared" si="14"/>
        <v/>
      </c>
      <c r="U96" s="122" t="e">
        <f t="shared" si="15"/>
        <v>#N/A</v>
      </c>
      <c r="V96" s="122" t="e">
        <f t="shared" si="16"/>
        <v>#N/A</v>
      </c>
      <c r="W96" s="122" t="str">
        <f t="shared" si="17"/>
        <v/>
      </c>
      <c r="Y96" s="60">
        <v>14</v>
      </c>
      <c r="Z96" s="62" t="str">
        <f t="shared" si="18"/>
        <v/>
      </c>
      <c r="AA96" s="122" t="e">
        <f t="shared" si="19"/>
        <v>#N/A</v>
      </c>
      <c r="AB96" s="122" t="e">
        <f t="shared" si="20"/>
        <v>#N/A</v>
      </c>
      <c r="AC96" s="122" t="str">
        <f t="shared" si="21"/>
        <v/>
      </c>
    </row>
    <row r="97" spans="13:29" x14ac:dyDescent="0.25">
      <c r="M97" s="60">
        <v>15</v>
      </c>
      <c r="N97" s="62" t="str">
        <f t="shared" si="23"/>
        <v/>
      </c>
      <c r="O97" s="122" t="e">
        <f t="shared" si="12"/>
        <v>#N/A</v>
      </c>
      <c r="P97" s="122" t="e">
        <f t="shared" si="13"/>
        <v>#N/A</v>
      </c>
      <c r="Q97" s="122" t="str">
        <f>IFERROR(VLOOKUP(15,$M$57:$Q$79,5,FALSE),"")</f>
        <v/>
      </c>
      <c r="S97" s="60">
        <v>15</v>
      </c>
      <c r="T97" s="62" t="str">
        <f t="shared" si="14"/>
        <v/>
      </c>
      <c r="U97" s="122" t="e">
        <f t="shared" si="15"/>
        <v>#N/A</v>
      </c>
      <c r="V97" s="122" t="e">
        <f t="shared" si="16"/>
        <v>#N/A</v>
      </c>
      <c r="W97" s="122" t="str">
        <f t="shared" si="17"/>
        <v/>
      </c>
      <c r="Y97" s="60">
        <v>15</v>
      </c>
      <c r="Z97" s="62" t="str">
        <f t="shared" si="18"/>
        <v/>
      </c>
      <c r="AA97" s="122" t="e">
        <f t="shared" si="19"/>
        <v>#N/A</v>
      </c>
      <c r="AB97" s="122" t="e">
        <f t="shared" si="20"/>
        <v>#N/A</v>
      </c>
      <c r="AC97" s="122" t="str">
        <f t="shared" si="21"/>
        <v/>
      </c>
    </row>
    <row r="98" spans="13:29" x14ac:dyDescent="0.25">
      <c r="M98" s="60">
        <v>16</v>
      </c>
      <c r="N98" s="62" t="str">
        <f t="shared" si="23"/>
        <v/>
      </c>
      <c r="O98" s="122" t="e">
        <f t="shared" si="12"/>
        <v>#N/A</v>
      </c>
      <c r="P98" s="122" t="e">
        <f t="shared" si="13"/>
        <v>#N/A</v>
      </c>
      <c r="Q98" s="122" t="str">
        <f>IFERROR(VLOOKUP(16,$M$57:$Q$79,5,FALSE),"")</f>
        <v/>
      </c>
      <c r="S98" s="60">
        <v>16</v>
      </c>
      <c r="T98" s="62" t="str">
        <f t="shared" si="14"/>
        <v/>
      </c>
      <c r="U98" s="122" t="e">
        <f t="shared" si="15"/>
        <v>#N/A</v>
      </c>
      <c r="V98" s="122" t="e">
        <f t="shared" si="16"/>
        <v>#N/A</v>
      </c>
      <c r="W98" s="122" t="str">
        <f t="shared" si="17"/>
        <v/>
      </c>
      <c r="Y98" s="60">
        <v>16</v>
      </c>
      <c r="Z98" s="62" t="str">
        <f t="shared" si="18"/>
        <v/>
      </c>
      <c r="AA98" s="122" t="e">
        <f t="shared" si="19"/>
        <v>#N/A</v>
      </c>
      <c r="AB98" s="122" t="e">
        <f t="shared" si="20"/>
        <v>#N/A</v>
      </c>
      <c r="AC98" s="122" t="str">
        <f t="shared" si="21"/>
        <v/>
      </c>
    </row>
    <row r="99" spans="13:29" x14ac:dyDescent="0.25">
      <c r="M99" s="60">
        <v>17</v>
      </c>
      <c r="N99" s="62" t="str">
        <f t="shared" si="23"/>
        <v/>
      </c>
      <c r="O99" s="122" t="e">
        <f t="shared" si="12"/>
        <v>#N/A</v>
      </c>
      <c r="P99" s="122" t="e">
        <f t="shared" si="13"/>
        <v>#N/A</v>
      </c>
      <c r="Q99" s="122" t="str">
        <f>IFERROR(VLOOKUP(17,$M$57:$Q$79,5,FALSE),"")</f>
        <v/>
      </c>
      <c r="S99" s="60">
        <v>17</v>
      </c>
      <c r="T99" s="62" t="str">
        <f t="shared" si="14"/>
        <v/>
      </c>
      <c r="U99" s="122" t="e">
        <f t="shared" si="15"/>
        <v>#N/A</v>
      </c>
      <c r="V99" s="122" t="e">
        <f t="shared" si="16"/>
        <v>#N/A</v>
      </c>
      <c r="W99" s="122" t="str">
        <f t="shared" si="17"/>
        <v/>
      </c>
      <c r="Y99" s="60">
        <v>17</v>
      </c>
      <c r="Z99" s="62" t="str">
        <f t="shared" si="18"/>
        <v/>
      </c>
      <c r="AA99" s="122" t="e">
        <f t="shared" si="19"/>
        <v>#N/A</v>
      </c>
      <c r="AB99" s="122" t="e">
        <f t="shared" si="20"/>
        <v>#N/A</v>
      </c>
      <c r="AC99" s="122" t="str">
        <f t="shared" si="21"/>
        <v/>
      </c>
    </row>
    <row r="100" spans="13:29" x14ac:dyDescent="0.25">
      <c r="M100" s="60">
        <v>18</v>
      </c>
      <c r="N100" s="62" t="str">
        <f t="shared" si="23"/>
        <v/>
      </c>
      <c r="O100" s="122" t="e">
        <f t="shared" si="12"/>
        <v>#N/A</v>
      </c>
      <c r="P100" s="122" t="e">
        <f t="shared" si="13"/>
        <v>#N/A</v>
      </c>
      <c r="Q100" s="122" t="str">
        <f>IFERROR(VLOOKUP(18,$M$57:$Q$79,5,FALSE),"")</f>
        <v/>
      </c>
      <c r="S100" s="60">
        <v>18</v>
      </c>
      <c r="T100" s="62" t="str">
        <f t="shared" si="14"/>
        <v/>
      </c>
      <c r="U100" s="122" t="e">
        <f t="shared" si="15"/>
        <v>#N/A</v>
      </c>
      <c r="V100" s="122" t="e">
        <f t="shared" si="16"/>
        <v>#N/A</v>
      </c>
      <c r="W100" s="122" t="str">
        <f t="shared" si="17"/>
        <v/>
      </c>
      <c r="Y100" s="60">
        <v>18</v>
      </c>
      <c r="Z100" s="62" t="str">
        <f t="shared" si="18"/>
        <v/>
      </c>
      <c r="AA100" s="122" t="e">
        <f t="shared" si="19"/>
        <v>#N/A</v>
      </c>
      <c r="AB100" s="122" t="e">
        <f t="shared" si="20"/>
        <v>#N/A</v>
      </c>
      <c r="AC100" s="122" t="str">
        <f t="shared" si="21"/>
        <v/>
      </c>
    </row>
    <row r="101" spans="13:29" x14ac:dyDescent="0.25">
      <c r="M101" s="60">
        <v>19</v>
      </c>
      <c r="N101" s="62" t="str">
        <f t="shared" si="23"/>
        <v/>
      </c>
      <c r="O101" s="122" t="e">
        <f t="shared" si="12"/>
        <v>#N/A</v>
      </c>
      <c r="P101" s="122" t="e">
        <f t="shared" si="13"/>
        <v>#N/A</v>
      </c>
      <c r="Q101" s="122" t="str">
        <f>IFERROR(VLOOKUP(19,$M$57:$Q$79,5,FALSE),"")</f>
        <v/>
      </c>
      <c r="S101" s="60">
        <v>19</v>
      </c>
      <c r="T101" s="62" t="str">
        <f t="shared" si="14"/>
        <v/>
      </c>
      <c r="U101" s="122" t="e">
        <f t="shared" si="15"/>
        <v>#N/A</v>
      </c>
      <c r="V101" s="122" t="e">
        <f t="shared" si="16"/>
        <v>#N/A</v>
      </c>
      <c r="W101" s="122" t="str">
        <f t="shared" si="17"/>
        <v/>
      </c>
      <c r="Y101" s="60">
        <v>19</v>
      </c>
      <c r="Z101" s="62" t="str">
        <f t="shared" si="18"/>
        <v/>
      </c>
      <c r="AA101" s="122" t="e">
        <f t="shared" si="19"/>
        <v>#N/A</v>
      </c>
      <c r="AB101" s="122" t="e">
        <f t="shared" si="20"/>
        <v>#N/A</v>
      </c>
      <c r="AC101" s="122" t="str">
        <f t="shared" si="21"/>
        <v/>
      </c>
    </row>
    <row r="102" spans="13:29" x14ac:dyDescent="0.25">
      <c r="M102" s="60">
        <v>20</v>
      </c>
      <c r="N102" s="62" t="str">
        <f t="shared" si="23"/>
        <v/>
      </c>
      <c r="O102" s="122" t="e">
        <f t="shared" si="12"/>
        <v>#N/A</v>
      </c>
      <c r="P102" s="122" t="e">
        <f t="shared" si="13"/>
        <v>#N/A</v>
      </c>
      <c r="Q102" s="122" t="str">
        <f>IFERROR(VLOOKUP(20,$M$57:$Q$79,5,FALSE),"")</f>
        <v/>
      </c>
      <c r="S102" s="60">
        <v>20</v>
      </c>
      <c r="T102" s="62" t="str">
        <f t="shared" si="14"/>
        <v/>
      </c>
      <c r="U102" s="122" t="e">
        <f t="shared" si="15"/>
        <v>#N/A</v>
      </c>
      <c r="V102" s="122" t="e">
        <f t="shared" si="16"/>
        <v>#N/A</v>
      </c>
      <c r="W102" s="122" t="str">
        <f t="shared" si="17"/>
        <v/>
      </c>
      <c r="Y102" s="60">
        <v>20</v>
      </c>
      <c r="Z102" s="62" t="str">
        <f t="shared" si="18"/>
        <v/>
      </c>
      <c r="AA102" s="122" t="e">
        <f t="shared" si="19"/>
        <v>#N/A</v>
      </c>
      <c r="AB102" s="122" t="e">
        <f t="shared" si="20"/>
        <v>#N/A</v>
      </c>
      <c r="AC102" s="122" t="str">
        <f t="shared" si="21"/>
        <v/>
      </c>
    </row>
    <row r="103" spans="13:29" x14ac:dyDescent="0.25">
      <c r="M103" s="60">
        <v>21</v>
      </c>
      <c r="N103" s="62" t="str">
        <f t="shared" si="23"/>
        <v/>
      </c>
      <c r="O103" s="122" t="e">
        <f t="shared" si="12"/>
        <v>#N/A</v>
      </c>
      <c r="P103" s="122" t="e">
        <f t="shared" si="13"/>
        <v>#N/A</v>
      </c>
      <c r="Q103" s="122" t="str">
        <f>IFERROR(VLOOKUP(21,$M$57:$Q$79,5,FALSE),"")</f>
        <v/>
      </c>
      <c r="S103" s="60">
        <v>21</v>
      </c>
      <c r="T103" s="62" t="str">
        <f t="shared" si="14"/>
        <v/>
      </c>
      <c r="U103" s="122" t="e">
        <f t="shared" si="15"/>
        <v>#N/A</v>
      </c>
      <c r="V103" s="122" t="e">
        <f t="shared" si="16"/>
        <v>#N/A</v>
      </c>
      <c r="W103" s="122" t="str">
        <f t="shared" si="17"/>
        <v/>
      </c>
      <c r="Y103" s="60">
        <v>21</v>
      </c>
      <c r="Z103" s="62" t="str">
        <f t="shared" si="18"/>
        <v/>
      </c>
      <c r="AA103" s="122" t="e">
        <f t="shared" si="19"/>
        <v>#N/A</v>
      </c>
      <c r="AB103" s="122" t="e">
        <f t="shared" si="20"/>
        <v>#N/A</v>
      </c>
      <c r="AC103" s="122" t="str">
        <f t="shared" si="21"/>
        <v/>
      </c>
    </row>
    <row r="104" spans="13:29" x14ac:dyDescent="0.25">
      <c r="M104" s="60">
        <v>22</v>
      </c>
      <c r="N104" s="62" t="str">
        <f t="shared" si="23"/>
        <v/>
      </c>
      <c r="O104" s="122" t="e">
        <f t="shared" si="12"/>
        <v>#N/A</v>
      </c>
      <c r="P104" s="122" t="e">
        <f t="shared" si="13"/>
        <v>#N/A</v>
      </c>
      <c r="Q104" s="122" t="str">
        <f>IFERROR(VLOOKUP(22,$M$57:$Q$79,5,FALSE),"")</f>
        <v/>
      </c>
      <c r="S104" s="60">
        <v>22</v>
      </c>
      <c r="T104" s="62" t="str">
        <f t="shared" si="14"/>
        <v/>
      </c>
      <c r="U104" s="122" t="e">
        <f t="shared" si="15"/>
        <v>#N/A</v>
      </c>
      <c r="V104" s="122" t="e">
        <f t="shared" si="16"/>
        <v>#N/A</v>
      </c>
      <c r="W104" s="122" t="str">
        <f t="shared" si="17"/>
        <v/>
      </c>
      <c r="Y104" s="60">
        <v>22</v>
      </c>
      <c r="Z104" s="62" t="str">
        <f t="shared" si="18"/>
        <v/>
      </c>
      <c r="AA104" s="122" t="e">
        <f t="shared" si="19"/>
        <v>#N/A</v>
      </c>
      <c r="AB104" s="122" t="e">
        <f t="shared" si="20"/>
        <v>#N/A</v>
      </c>
      <c r="AC104" s="122" t="str">
        <f t="shared" si="21"/>
        <v/>
      </c>
    </row>
    <row r="105" spans="13:29" x14ac:dyDescent="0.25">
      <c r="M105" s="60">
        <v>23</v>
      </c>
      <c r="N105" s="62" t="str">
        <f t="shared" si="23"/>
        <v/>
      </c>
      <c r="O105" s="122" t="e">
        <f t="shared" si="12"/>
        <v>#N/A</v>
      </c>
      <c r="P105" s="122" t="e">
        <f t="shared" si="13"/>
        <v>#N/A</v>
      </c>
      <c r="Q105" s="122" t="str">
        <f>IFERROR(VLOOKUP(23,$M$57:$Q$79,5,FALSE),"")</f>
        <v/>
      </c>
      <c r="S105" s="60">
        <v>23</v>
      </c>
      <c r="T105" s="62" t="str">
        <f t="shared" si="14"/>
        <v/>
      </c>
      <c r="U105" s="122" t="e">
        <f t="shared" si="15"/>
        <v>#N/A</v>
      </c>
      <c r="V105" s="122" t="e">
        <f t="shared" si="16"/>
        <v>#N/A</v>
      </c>
      <c r="W105" s="122" t="str">
        <f t="shared" si="17"/>
        <v/>
      </c>
      <c r="Y105" s="60">
        <v>23</v>
      </c>
      <c r="Z105" s="62" t="str">
        <f t="shared" si="18"/>
        <v/>
      </c>
      <c r="AA105" s="122" t="e">
        <f t="shared" si="19"/>
        <v>#N/A</v>
      </c>
      <c r="AB105" s="122" t="e">
        <f t="shared" si="20"/>
        <v>#N/A</v>
      </c>
      <c r="AC105" s="122" t="str">
        <f t="shared" si="21"/>
        <v/>
      </c>
    </row>
    <row r="106" spans="13:29" x14ac:dyDescent="0.25">
      <c r="M106" s="60">
        <v>24</v>
      </c>
      <c r="N106" s="62" t="str">
        <f t="shared" si="23"/>
        <v/>
      </c>
      <c r="O106" s="122" t="e">
        <f t="shared" si="12"/>
        <v>#N/A</v>
      </c>
      <c r="P106" s="122" t="e">
        <f t="shared" si="13"/>
        <v>#N/A</v>
      </c>
      <c r="Q106" s="122" t="str">
        <f>IFERROR(VLOOKUP(24,$M$57:$Q$79,5,FALSE),"")</f>
        <v/>
      </c>
      <c r="S106" s="60">
        <v>24</v>
      </c>
      <c r="T106" s="62" t="str">
        <f t="shared" si="14"/>
        <v/>
      </c>
      <c r="U106" s="122" t="e">
        <f t="shared" si="15"/>
        <v>#N/A</v>
      </c>
      <c r="V106" s="122" t="e">
        <f t="shared" si="16"/>
        <v>#N/A</v>
      </c>
      <c r="W106" s="122" t="str">
        <f t="shared" si="17"/>
        <v/>
      </c>
      <c r="Y106" s="60">
        <v>24</v>
      </c>
      <c r="Z106" s="62" t="str">
        <f t="shared" si="18"/>
        <v/>
      </c>
      <c r="AA106" s="122" t="e">
        <f t="shared" si="19"/>
        <v>#N/A</v>
      </c>
      <c r="AB106" s="122" t="e">
        <f t="shared" si="20"/>
        <v>#N/A</v>
      </c>
      <c r="AC106" s="122" t="str">
        <f t="shared" si="21"/>
        <v/>
      </c>
    </row>
  </sheetData>
  <mergeCells count="174">
    <mergeCell ref="B44:C44"/>
    <mergeCell ref="B46:C46"/>
    <mergeCell ref="B45:C45"/>
    <mergeCell ref="B48:C48"/>
    <mergeCell ref="B49:C49"/>
    <mergeCell ref="B47:C47"/>
    <mergeCell ref="B35:C35"/>
    <mergeCell ref="B36:C36"/>
    <mergeCell ref="B37:C37"/>
    <mergeCell ref="B39:C39"/>
    <mergeCell ref="B38:C38"/>
    <mergeCell ref="B40:C40"/>
    <mergeCell ref="B42:C42"/>
    <mergeCell ref="B41:C41"/>
    <mergeCell ref="B43:C43"/>
    <mergeCell ref="B26:C26"/>
    <mergeCell ref="B27:C27"/>
    <mergeCell ref="B28:C28"/>
    <mergeCell ref="B29:C29"/>
    <mergeCell ref="B30:C30"/>
    <mergeCell ref="B32:C32"/>
    <mergeCell ref="B31:C31"/>
    <mergeCell ref="B33:C33"/>
    <mergeCell ref="B34:C34"/>
    <mergeCell ref="B17:J20"/>
    <mergeCell ref="H25:P25"/>
    <mergeCell ref="Q25:Y25"/>
    <mergeCell ref="K48:M48"/>
    <mergeCell ref="N48:P48"/>
    <mergeCell ref="K46:M46"/>
    <mergeCell ref="N46:P46"/>
    <mergeCell ref="K44:M44"/>
    <mergeCell ref="N44:P44"/>
    <mergeCell ref="H41:J41"/>
    <mergeCell ref="H48:J48"/>
    <mergeCell ref="H46:J46"/>
    <mergeCell ref="H44:J44"/>
    <mergeCell ref="H39:J39"/>
    <mergeCell ref="K39:M39"/>
    <mergeCell ref="K41:M41"/>
    <mergeCell ref="H27:J27"/>
    <mergeCell ref="K27:M27"/>
    <mergeCell ref="N27:P27"/>
    <mergeCell ref="Q27:S27"/>
    <mergeCell ref="T27:V27"/>
    <mergeCell ref="W27:Y27"/>
    <mergeCell ref="H26:J26"/>
    <mergeCell ref="K26:M26"/>
    <mergeCell ref="N26:P26"/>
    <mergeCell ref="Q26:S26"/>
    <mergeCell ref="T26:V26"/>
    <mergeCell ref="W26:Y26"/>
    <mergeCell ref="H29:J29"/>
    <mergeCell ref="K29:M29"/>
    <mergeCell ref="N29:P29"/>
    <mergeCell ref="Q29:S29"/>
    <mergeCell ref="T29:V29"/>
    <mergeCell ref="W29:Y29"/>
    <mergeCell ref="H28:J28"/>
    <mergeCell ref="K28:M28"/>
    <mergeCell ref="N28:P28"/>
    <mergeCell ref="Q28:S28"/>
    <mergeCell ref="T28:V28"/>
    <mergeCell ref="W28:Y28"/>
    <mergeCell ref="H31:J31"/>
    <mergeCell ref="K31:M31"/>
    <mergeCell ref="N31:P31"/>
    <mergeCell ref="Q31:S31"/>
    <mergeCell ref="T31:V31"/>
    <mergeCell ref="W31:Y31"/>
    <mergeCell ref="H30:J30"/>
    <mergeCell ref="K30:M30"/>
    <mergeCell ref="N30:P30"/>
    <mergeCell ref="Q30:S30"/>
    <mergeCell ref="T30:V30"/>
    <mergeCell ref="W30:Y30"/>
    <mergeCell ref="H32:J32"/>
    <mergeCell ref="K32:M32"/>
    <mergeCell ref="N32:P32"/>
    <mergeCell ref="Q32:S32"/>
    <mergeCell ref="T32:V32"/>
    <mergeCell ref="W32:Y32"/>
    <mergeCell ref="H34:J34"/>
    <mergeCell ref="K34:M34"/>
    <mergeCell ref="N34:P34"/>
    <mergeCell ref="Q34:S34"/>
    <mergeCell ref="T34:V34"/>
    <mergeCell ref="W34:Y34"/>
    <mergeCell ref="H33:J33"/>
    <mergeCell ref="K33:M33"/>
    <mergeCell ref="N33:P33"/>
    <mergeCell ref="Q33:S33"/>
    <mergeCell ref="T33:V33"/>
    <mergeCell ref="W33:Y33"/>
    <mergeCell ref="H38:J38"/>
    <mergeCell ref="K38:M38"/>
    <mergeCell ref="N38:P38"/>
    <mergeCell ref="Q38:S38"/>
    <mergeCell ref="T38:V38"/>
    <mergeCell ref="W38:Y38"/>
    <mergeCell ref="H37:J37"/>
    <mergeCell ref="K37:M37"/>
    <mergeCell ref="N37:P37"/>
    <mergeCell ref="Q37:S37"/>
    <mergeCell ref="T37:V37"/>
    <mergeCell ref="W37:Y37"/>
    <mergeCell ref="H36:J36"/>
    <mergeCell ref="K36:M36"/>
    <mergeCell ref="N36:P36"/>
    <mergeCell ref="Q36:S36"/>
    <mergeCell ref="T36:V36"/>
    <mergeCell ref="W36:Y36"/>
    <mergeCell ref="H35:J35"/>
    <mergeCell ref="K35:M35"/>
    <mergeCell ref="N35:P35"/>
    <mergeCell ref="Q35:S35"/>
    <mergeCell ref="T35:V35"/>
    <mergeCell ref="W35:Y35"/>
    <mergeCell ref="N39:P39"/>
    <mergeCell ref="Q39:S39"/>
    <mergeCell ref="T39:V39"/>
    <mergeCell ref="W39:Y39"/>
    <mergeCell ref="H40:J40"/>
    <mergeCell ref="K40:M40"/>
    <mergeCell ref="N40:P40"/>
    <mergeCell ref="Q40:S40"/>
    <mergeCell ref="T40:V40"/>
    <mergeCell ref="W40:Y40"/>
    <mergeCell ref="H43:J43"/>
    <mergeCell ref="K43:M43"/>
    <mergeCell ref="N43:P43"/>
    <mergeCell ref="Q43:S43"/>
    <mergeCell ref="T43:V43"/>
    <mergeCell ref="W43:Y43"/>
    <mergeCell ref="N41:P41"/>
    <mergeCell ref="Q41:S41"/>
    <mergeCell ref="T41:V41"/>
    <mergeCell ref="W41:Y41"/>
    <mergeCell ref="H42:J42"/>
    <mergeCell ref="K42:M42"/>
    <mergeCell ref="N42:P42"/>
    <mergeCell ref="Q42:S42"/>
    <mergeCell ref="T42:V42"/>
    <mergeCell ref="W42:Y42"/>
    <mergeCell ref="Q44:S44"/>
    <mergeCell ref="T44:V44"/>
    <mergeCell ref="W44:Y44"/>
    <mergeCell ref="H45:J45"/>
    <mergeCell ref="K45:M45"/>
    <mergeCell ref="N45:P45"/>
    <mergeCell ref="Q45:S45"/>
    <mergeCell ref="T45:V45"/>
    <mergeCell ref="W45:Y45"/>
    <mergeCell ref="Q46:S46"/>
    <mergeCell ref="T46:V46"/>
    <mergeCell ref="W46:Y46"/>
    <mergeCell ref="H47:J47"/>
    <mergeCell ref="K47:M47"/>
    <mergeCell ref="N47:P47"/>
    <mergeCell ref="Q47:S47"/>
    <mergeCell ref="T47:V47"/>
    <mergeCell ref="W47:Y47"/>
    <mergeCell ref="M54:Q54"/>
    <mergeCell ref="Q48:S48"/>
    <mergeCell ref="T48:V48"/>
    <mergeCell ref="W48:Y48"/>
    <mergeCell ref="H49:J49"/>
    <mergeCell ref="K49:M49"/>
    <mergeCell ref="N49:P49"/>
    <mergeCell ref="Q49:S49"/>
    <mergeCell ref="T49:V49"/>
    <mergeCell ref="W49:Y49"/>
    <mergeCell ref="S54:W54"/>
    <mergeCell ref="Y54:AC54"/>
  </mergeCells>
  <dataValidations disablePrompts="1" count="1">
    <dataValidation type="list" allowBlank="1" showInputMessage="1" showErrorMessage="1" sqref="C29:C36 C38:C49" xr:uid="{00000000-0002-0000-0B00-000000000000}">
      <formula1>"Yes,No"</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69</vt:i4>
      </vt:variant>
    </vt:vector>
  </HeadingPairs>
  <TitlesOfParts>
    <vt:vector size="81" baseType="lpstr">
      <vt:lpstr>Title page</vt:lpstr>
      <vt:lpstr>Version Control</vt:lpstr>
      <vt:lpstr>Instructions</vt:lpstr>
      <vt:lpstr>Irish Population Estimates</vt:lpstr>
      <vt:lpstr>Patient Population</vt:lpstr>
      <vt:lpstr>Drug Acquisition Costs</vt:lpstr>
      <vt:lpstr>Drug Acquisition Costs (PAS)</vt:lpstr>
      <vt:lpstr>Additional Costs</vt:lpstr>
      <vt:lpstr>Results</vt:lpstr>
      <vt:lpstr>Results (PAS)</vt:lpstr>
      <vt:lpstr>References</vt:lpstr>
      <vt:lpstr>Analysis of Uncertainty</vt:lpstr>
      <vt:lpstr>'Drug Acquisition Costs'!CHO</vt:lpstr>
      <vt:lpstr>CHO</vt:lpstr>
      <vt:lpstr>'Drug Acquisition Costs'!CHT</vt:lpstr>
      <vt:lpstr>CHT</vt:lpstr>
      <vt:lpstr>'Drug Acquisition Costs'!CNF</vt:lpstr>
      <vt:lpstr>CNF</vt:lpstr>
      <vt:lpstr>'Drug Acquisition Costs'!CYF</vt:lpstr>
      <vt:lpstr>CYF</vt:lpstr>
      <vt:lpstr>DaysInYear</vt:lpstr>
      <vt:lpstr>'Drug Acquisition Costs'!DF</vt:lpstr>
      <vt:lpstr>DF</vt:lpstr>
      <vt:lpstr>'Drug Acquisition Costs'!Gross_Drug_BI</vt:lpstr>
      <vt:lpstr>Gross_Drug_BI</vt:lpstr>
      <vt:lpstr>InterventionINN</vt:lpstr>
      <vt:lpstr>Mort_1</vt:lpstr>
      <vt:lpstr>Mort_2</vt:lpstr>
      <vt:lpstr>Mort_3</vt:lpstr>
      <vt:lpstr>Mort_4</vt:lpstr>
      <vt:lpstr>Mort_5</vt:lpstr>
      <vt:lpstr>'Drug Acquisition Costs'!MR</vt:lpstr>
      <vt:lpstr>MR</vt:lpstr>
      <vt:lpstr>'Drug Acquisition Costs'!MRB</vt:lpstr>
      <vt:lpstr>MRB</vt:lpstr>
      <vt:lpstr>NameComparator1</vt:lpstr>
      <vt:lpstr>NameComparator10</vt:lpstr>
      <vt:lpstr>NameComparator11</vt:lpstr>
      <vt:lpstr>NameComparator12</vt:lpstr>
      <vt:lpstr>NameComparator2</vt:lpstr>
      <vt:lpstr>NameComparator3</vt:lpstr>
      <vt:lpstr>NameComparator4</vt:lpstr>
      <vt:lpstr>NameComparator5</vt:lpstr>
      <vt:lpstr>NameComparator6</vt:lpstr>
      <vt:lpstr>NameComparator7</vt:lpstr>
      <vt:lpstr>NameComparator8</vt:lpstr>
      <vt:lpstr>NameComparator9</vt:lpstr>
      <vt:lpstr>Net_BI</vt:lpstr>
      <vt:lpstr>Net_Drug_BI</vt:lpstr>
      <vt:lpstr>NumberofComparators</vt:lpstr>
      <vt:lpstr>'Drug Acquisition Costs'!PC</vt:lpstr>
      <vt:lpstr>PC</vt:lpstr>
      <vt:lpstr>StartComp10DAC</vt:lpstr>
      <vt:lpstr>StartComp10DACPAS</vt:lpstr>
      <vt:lpstr>StartComp11DAC</vt:lpstr>
      <vt:lpstr>StartComp11DACPAS</vt:lpstr>
      <vt:lpstr>StartComp12DAC</vt:lpstr>
      <vt:lpstr>StartComp12DACPAS</vt:lpstr>
      <vt:lpstr>StartComp1DAC</vt:lpstr>
      <vt:lpstr>StartComp1DACPAS</vt:lpstr>
      <vt:lpstr>StartComp2DAC</vt:lpstr>
      <vt:lpstr>StartComp2DACPAS</vt:lpstr>
      <vt:lpstr>StartComp3DAC</vt:lpstr>
      <vt:lpstr>StartComp3DACPAS</vt:lpstr>
      <vt:lpstr>StartComp4DAC</vt:lpstr>
      <vt:lpstr>StartComp4DACPAS</vt:lpstr>
      <vt:lpstr>StartComp5DAC</vt:lpstr>
      <vt:lpstr>StartComp5DACPAS</vt:lpstr>
      <vt:lpstr>StartComp6DAC</vt:lpstr>
      <vt:lpstr>StartComp6DACPAS</vt:lpstr>
      <vt:lpstr>StartComp7DAC</vt:lpstr>
      <vt:lpstr>StartComp7DACPAS</vt:lpstr>
      <vt:lpstr>StartComp8DAC</vt:lpstr>
      <vt:lpstr>StartComp8DACPAS</vt:lpstr>
      <vt:lpstr>StartComp9DAC</vt:lpstr>
      <vt:lpstr>StartComp9DACPAS</vt:lpstr>
      <vt:lpstr>StartIntDAC</vt:lpstr>
      <vt:lpstr>StartIntDACPAS</vt:lpstr>
      <vt:lpstr>tblSA_OWSA</vt:lpstr>
      <vt:lpstr>'Drug Acquisition Costs'!VT</vt:lpstr>
      <vt:lpstr>VT</vt:lpstr>
    </vt:vector>
  </TitlesOfParts>
  <Company>St James's Hospital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Lamrock, Felicity</dc:creator>
  <cp:lastModifiedBy>Geraghty, Niamh (NCPE)</cp:lastModifiedBy>
  <dcterms:created xsi:type="dcterms:W3CDTF">2018-05-04T12:51:19Z</dcterms:created>
  <dcterms:modified xsi:type="dcterms:W3CDTF">2023-05-08T08:44:16Z</dcterms:modified>
</cp:coreProperties>
</file>